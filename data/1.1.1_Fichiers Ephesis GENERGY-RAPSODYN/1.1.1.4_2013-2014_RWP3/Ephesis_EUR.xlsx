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60" yWindow="-30" windowWidth="19200" windowHeight="7950" tabRatio="874" firstSheet="4" activeTab="7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Data" sheetId="9" r:id="rId8"/>
    <sheet name="Level" sheetId="8" r:id="rId9"/>
    <sheet name="Files" sheetId="10" r:id="rId10"/>
    <sheet name="ForestComplementaryInfo" sheetId="11" r:id="rId11"/>
    <sheet name="StaticData" sheetId="12" r:id="rId12"/>
    <sheet name="Meteo_data" sheetId="13" r:id="rId13"/>
    <sheet name="Soil_data" sheetId="14" r:id="rId14"/>
    <sheet name="INN_data" sheetId="15" r:id="rId15"/>
    <sheet name="Parcellaire_data" sheetId="16" r:id="rId16"/>
    <sheet name="ITK_data" sheetId="17" r:id="rId17"/>
  </sheets>
  <definedNames>
    <definedName name="_xlnm._FilterDatabase" localSheetId="7">Data!$A$1:$CM$865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</definedNames>
  <calcPr calcId="145621"/>
</workbook>
</file>

<file path=xl/calcChain.xml><?xml version="1.0" encoding="utf-8"?>
<calcChain xmlns="http://schemas.openxmlformats.org/spreadsheetml/2006/main">
  <c r="AC3" i="9" l="1"/>
  <c r="AC4" i="9"/>
  <c r="AC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C140" i="9"/>
  <c r="AC141" i="9"/>
  <c r="AC142" i="9"/>
  <c r="AC143" i="9"/>
  <c r="AC144" i="9"/>
  <c r="AC145" i="9"/>
  <c r="AC146" i="9"/>
  <c r="AC147" i="9"/>
  <c r="AC148" i="9"/>
  <c r="AC149" i="9"/>
  <c r="AC150" i="9"/>
  <c r="AC151" i="9"/>
  <c r="AC152" i="9"/>
  <c r="AC153" i="9"/>
  <c r="AC154" i="9"/>
  <c r="AC155" i="9"/>
  <c r="AC156" i="9"/>
  <c r="AC157" i="9"/>
  <c r="AC158" i="9"/>
  <c r="AC159" i="9"/>
  <c r="AC160" i="9"/>
  <c r="AC161" i="9"/>
  <c r="AC162" i="9"/>
  <c r="AC163" i="9"/>
  <c r="AC164" i="9"/>
  <c r="AC165" i="9"/>
  <c r="AC166" i="9"/>
  <c r="AC167" i="9"/>
  <c r="AC168" i="9"/>
  <c r="AC169" i="9"/>
  <c r="AC170" i="9"/>
  <c r="AC171" i="9"/>
  <c r="AC172" i="9"/>
  <c r="AC173" i="9"/>
  <c r="AC174" i="9"/>
  <c r="AC175" i="9"/>
  <c r="AC176" i="9"/>
  <c r="AC177" i="9"/>
  <c r="AC178" i="9"/>
  <c r="AC179" i="9"/>
  <c r="AC180" i="9"/>
  <c r="AC181" i="9"/>
  <c r="AC182" i="9"/>
  <c r="AC183" i="9"/>
  <c r="AC184" i="9"/>
  <c r="AC185" i="9"/>
  <c r="AC186" i="9"/>
  <c r="AC187" i="9"/>
  <c r="AC188" i="9"/>
  <c r="AC189" i="9"/>
  <c r="AC190" i="9"/>
  <c r="AC191" i="9"/>
  <c r="AC192" i="9"/>
  <c r="AC193" i="9"/>
  <c r="AC194" i="9"/>
  <c r="AC195" i="9"/>
  <c r="AC196" i="9"/>
  <c r="AC197" i="9"/>
  <c r="AC198" i="9"/>
  <c r="AC199" i="9"/>
  <c r="AC200" i="9"/>
  <c r="AC201" i="9"/>
  <c r="AC202" i="9"/>
  <c r="AC203" i="9"/>
  <c r="AC204" i="9"/>
  <c r="AC205" i="9"/>
  <c r="AC206" i="9"/>
  <c r="AC207" i="9"/>
  <c r="AC208" i="9"/>
  <c r="AC209" i="9"/>
  <c r="AC210" i="9"/>
  <c r="AC211" i="9"/>
  <c r="AC212" i="9"/>
  <c r="AC213" i="9"/>
  <c r="AC214" i="9"/>
  <c r="AC215" i="9"/>
  <c r="AC216" i="9"/>
  <c r="AC217" i="9"/>
  <c r="AC218" i="9"/>
  <c r="AC219" i="9"/>
  <c r="AC220" i="9"/>
  <c r="AC221" i="9"/>
  <c r="AC222" i="9"/>
  <c r="AC223" i="9"/>
  <c r="AC224" i="9"/>
  <c r="AC225" i="9"/>
  <c r="AC226" i="9"/>
  <c r="AC227" i="9"/>
  <c r="AC228" i="9"/>
  <c r="AC229" i="9"/>
  <c r="AC230" i="9"/>
  <c r="AC231" i="9"/>
  <c r="AC232" i="9"/>
  <c r="AC233" i="9"/>
  <c r="AC234" i="9"/>
  <c r="AC235" i="9"/>
  <c r="AC236" i="9"/>
  <c r="AC237" i="9"/>
  <c r="AC238" i="9"/>
  <c r="AC239" i="9"/>
  <c r="AC240" i="9"/>
  <c r="AC241" i="9"/>
  <c r="AC242" i="9"/>
  <c r="AC243" i="9"/>
  <c r="AC244" i="9"/>
  <c r="AC245" i="9"/>
  <c r="AC246" i="9"/>
  <c r="AC247" i="9"/>
  <c r="AC248" i="9"/>
  <c r="AC249" i="9"/>
  <c r="AC250" i="9"/>
  <c r="AC251" i="9"/>
  <c r="AC252" i="9"/>
  <c r="AC253" i="9"/>
  <c r="AC254" i="9"/>
  <c r="AC255" i="9"/>
  <c r="AC256" i="9"/>
  <c r="AC257" i="9"/>
  <c r="AC258" i="9"/>
  <c r="AC259" i="9"/>
  <c r="AC260" i="9"/>
  <c r="AC261" i="9"/>
  <c r="AC262" i="9"/>
  <c r="AC263" i="9"/>
  <c r="AC264" i="9"/>
  <c r="AC265" i="9"/>
  <c r="AC266" i="9"/>
  <c r="AC267" i="9"/>
  <c r="AC268" i="9"/>
  <c r="AC269" i="9"/>
  <c r="AC270" i="9"/>
  <c r="AC271" i="9"/>
  <c r="AC272" i="9"/>
  <c r="AC273" i="9"/>
  <c r="AC274" i="9"/>
  <c r="AC275" i="9"/>
  <c r="AC276" i="9"/>
  <c r="AC277" i="9"/>
  <c r="AC278" i="9"/>
  <c r="AC279" i="9"/>
  <c r="AC280" i="9"/>
  <c r="AC281" i="9"/>
  <c r="AC282" i="9"/>
  <c r="AC283" i="9"/>
  <c r="AC284" i="9"/>
  <c r="AC285" i="9"/>
  <c r="AC286" i="9"/>
  <c r="AC287" i="9"/>
  <c r="AC288" i="9"/>
  <c r="AC289" i="9"/>
  <c r="AC290" i="9"/>
  <c r="AC291" i="9"/>
  <c r="AC292" i="9"/>
  <c r="AC293" i="9"/>
  <c r="AC294" i="9"/>
  <c r="AC295" i="9"/>
  <c r="AC296" i="9"/>
  <c r="AC297" i="9"/>
  <c r="AC298" i="9"/>
  <c r="AC299" i="9"/>
  <c r="AC300" i="9"/>
  <c r="AC301" i="9"/>
  <c r="AC302" i="9"/>
  <c r="AC303" i="9"/>
  <c r="AC304" i="9"/>
  <c r="AC305" i="9"/>
  <c r="AC306" i="9"/>
  <c r="AC307" i="9"/>
  <c r="AC308" i="9"/>
  <c r="AC309" i="9"/>
  <c r="AC310" i="9"/>
  <c r="AC311" i="9"/>
  <c r="AC312" i="9"/>
  <c r="AC313" i="9"/>
  <c r="AC314" i="9"/>
  <c r="AC315" i="9"/>
  <c r="AC316" i="9"/>
  <c r="AC317" i="9"/>
  <c r="AC318" i="9"/>
  <c r="AC319" i="9"/>
  <c r="AC320" i="9"/>
  <c r="AC321" i="9"/>
  <c r="AC322" i="9"/>
  <c r="AC323" i="9"/>
  <c r="AC324" i="9"/>
  <c r="AC325" i="9"/>
  <c r="AC326" i="9"/>
  <c r="AC327" i="9"/>
  <c r="AC328" i="9"/>
  <c r="AC329" i="9"/>
  <c r="AC330" i="9"/>
  <c r="AC331" i="9"/>
  <c r="AC332" i="9"/>
  <c r="AC333" i="9"/>
  <c r="AC334" i="9"/>
  <c r="AC335" i="9"/>
  <c r="AC336" i="9"/>
  <c r="AC337" i="9"/>
  <c r="AC338" i="9"/>
  <c r="AC339" i="9"/>
  <c r="AC340" i="9"/>
  <c r="AC341" i="9"/>
  <c r="AC342" i="9"/>
  <c r="AC343" i="9"/>
  <c r="AC344" i="9"/>
  <c r="AC345" i="9"/>
  <c r="AC346" i="9"/>
  <c r="AC347" i="9"/>
  <c r="AC348" i="9"/>
  <c r="AC349" i="9"/>
  <c r="AC350" i="9"/>
  <c r="AC351" i="9"/>
  <c r="AC352" i="9"/>
  <c r="AC353" i="9"/>
  <c r="AC354" i="9"/>
  <c r="AC355" i="9"/>
  <c r="AC356" i="9"/>
  <c r="AC357" i="9"/>
  <c r="AC358" i="9"/>
  <c r="AC359" i="9"/>
  <c r="AC360" i="9"/>
  <c r="AC361" i="9"/>
  <c r="AC362" i="9"/>
  <c r="AC363" i="9"/>
  <c r="AC364" i="9"/>
  <c r="AC365" i="9"/>
  <c r="AC366" i="9"/>
  <c r="AC367" i="9"/>
  <c r="AC368" i="9"/>
  <c r="AC369" i="9"/>
  <c r="AC370" i="9"/>
  <c r="AC371" i="9"/>
  <c r="AC372" i="9"/>
  <c r="AC373" i="9"/>
  <c r="AC374" i="9"/>
  <c r="AC375" i="9"/>
  <c r="AC376" i="9"/>
  <c r="AC377" i="9"/>
  <c r="AC378" i="9"/>
  <c r="AC379" i="9"/>
  <c r="AC380" i="9"/>
  <c r="AC381" i="9"/>
  <c r="AC382" i="9"/>
  <c r="AC383" i="9"/>
  <c r="AC384" i="9"/>
  <c r="AC385" i="9"/>
  <c r="AC386" i="9"/>
  <c r="AC387" i="9"/>
  <c r="AC388" i="9"/>
  <c r="AC389" i="9"/>
  <c r="AC390" i="9"/>
  <c r="AC391" i="9"/>
  <c r="AC392" i="9"/>
  <c r="AC393" i="9"/>
  <c r="AC394" i="9"/>
  <c r="AC395" i="9"/>
  <c r="AC396" i="9"/>
  <c r="AC397" i="9"/>
  <c r="AC398" i="9"/>
  <c r="AC399" i="9"/>
  <c r="AC400" i="9"/>
  <c r="AC401" i="9"/>
  <c r="AC402" i="9"/>
  <c r="AC403" i="9"/>
  <c r="AC404" i="9"/>
  <c r="AC405" i="9"/>
  <c r="AC406" i="9"/>
  <c r="AC407" i="9"/>
  <c r="AC408" i="9"/>
  <c r="AC409" i="9"/>
  <c r="AC410" i="9"/>
  <c r="AC411" i="9"/>
  <c r="AC412" i="9"/>
  <c r="AC413" i="9"/>
  <c r="AC414" i="9"/>
  <c r="AC415" i="9"/>
  <c r="AC416" i="9"/>
  <c r="AC417" i="9"/>
  <c r="AC418" i="9"/>
  <c r="AC419" i="9"/>
  <c r="AC420" i="9"/>
  <c r="AC421" i="9"/>
  <c r="AC422" i="9"/>
  <c r="AC423" i="9"/>
  <c r="AC424" i="9"/>
  <c r="AC425" i="9"/>
  <c r="AC426" i="9"/>
  <c r="AC427" i="9"/>
  <c r="AC428" i="9"/>
  <c r="AC429" i="9"/>
  <c r="AC430" i="9"/>
  <c r="AC431" i="9"/>
  <c r="AC432" i="9"/>
  <c r="AC433" i="9"/>
  <c r="AC434" i="9"/>
  <c r="AC435" i="9"/>
  <c r="AC436" i="9"/>
  <c r="AC437" i="9"/>
  <c r="AC438" i="9"/>
  <c r="AC439" i="9"/>
  <c r="AC440" i="9"/>
  <c r="AC441" i="9"/>
  <c r="AC442" i="9"/>
  <c r="AC443" i="9"/>
  <c r="AC444" i="9"/>
  <c r="AC445" i="9"/>
  <c r="AC446" i="9"/>
  <c r="AC447" i="9"/>
  <c r="AC448" i="9"/>
  <c r="AC449" i="9"/>
  <c r="AC450" i="9"/>
  <c r="AC451" i="9"/>
  <c r="AC452" i="9"/>
  <c r="AC453" i="9"/>
  <c r="AC454" i="9"/>
  <c r="AC455" i="9"/>
  <c r="AC456" i="9"/>
  <c r="AC457" i="9"/>
  <c r="AC458" i="9"/>
  <c r="AC459" i="9"/>
  <c r="AC460" i="9"/>
  <c r="AC461" i="9"/>
  <c r="AC462" i="9"/>
  <c r="AC463" i="9"/>
  <c r="AC464" i="9"/>
  <c r="AC465" i="9"/>
  <c r="AC466" i="9"/>
  <c r="AC467" i="9"/>
  <c r="AC468" i="9"/>
  <c r="AC469" i="9"/>
  <c r="AC470" i="9"/>
  <c r="AC471" i="9"/>
  <c r="AC472" i="9"/>
  <c r="AC473" i="9"/>
  <c r="AC474" i="9"/>
  <c r="AC475" i="9"/>
  <c r="AC476" i="9"/>
  <c r="AC477" i="9"/>
  <c r="AC478" i="9"/>
  <c r="AC479" i="9"/>
  <c r="AC480" i="9"/>
  <c r="AC481" i="9"/>
  <c r="AC482" i="9"/>
  <c r="AC483" i="9"/>
  <c r="AC484" i="9"/>
  <c r="AC485" i="9"/>
  <c r="AC486" i="9"/>
  <c r="AC487" i="9"/>
  <c r="AC488" i="9"/>
  <c r="AC489" i="9"/>
  <c r="AC490" i="9"/>
  <c r="AC491" i="9"/>
  <c r="AC492" i="9"/>
  <c r="AC493" i="9"/>
  <c r="AC494" i="9"/>
  <c r="AC495" i="9"/>
  <c r="AC496" i="9"/>
  <c r="AC497" i="9"/>
  <c r="AC498" i="9"/>
  <c r="AC499" i="9"/>
  <c r="AC500" i="9"/>
  <c r="AC501" i="9"/>
  <c r="AC502" i="9"/>
  <c r="AC503" i="9"/>
  <c r="AC504" i="9"/>
  <c r="AC505" i="9"/>
  <c r="AC506" i="9"/>
  <c r="AC507" i="9"/>
  <c r="AC508" i="9"/>
  <c r="AC509" i="9"/>
  <c r="AC510" i="9"/>
  <c r="AC511" i="9"/>
  <c r="AC512" i="9"/>
  <c r="AC513" i="9"/>
  <c r="AC514" i="9"/>
  <c r="AC515" i="9"/>
  <c r="AC516" i="9"/>
  <c r="AC517" i="9"/>
  <c r="AC518" i="9"/>
  <c r="AC519" i="9"/>
  <c r="AC520" i="9"/>
  <c r="AC521" i="9"/>
  <c r="AC522" i="9"/>
  <c r="AC523" i="9"/>
  <c r="AC524" i="9"/>
  <c r="AC525" i="9"/>
  <c r="AC526" i="9"/>
  <c r="AC527" i="9"/>
  <c r="AC528" i="9"/>
  <c r="AC529" i="9"/>
  <c r="AC530" i="9"/>
  <c r="AC531" i="9"/>
  <c r="AC532" i="9"/>
  <c r="AC533" i="9"/>
  <c r="AC534" i="9"/>
  <c r="AC535" i="9"/>
  <c r="AC536" i="9"/>
  <c r="AC537" i="9"/>
  <c r="AC538" i="9"/>
  <c r="AC539" i="9"/>
  <c r="AC540" i="9"/>
  <c r="AC541" i="9"/>
  <c r="AC542" i="9"/>
  <c r="AC543" i="9"/>
  <c r="AC544" i="9"/>
  <c r="AC545" i="9"/>
  <c r="AC546" i="9"/>
  <c r="AC547" i="9"/>
  <c r="AC548" i="9"/>
  <c r="AC549" i="9"/>
  <c r="AC550" i="9"/>
  <c r="AC551" i="9"/>
  <c r="AC552" i="9"/>
  <c r="AC553" i="9"/>
  <c r="AC554" i="9"/>
  <c r="AC555" i="9"/>
  <c r="AC556" i="9"/>
  <c r="AC557" i="9"/>
  <c r="AC558" i="9"/>
  <c r="AC559" i="9"/>
  <c r="AC560" i="9"/>
  <c r="AC561" i="9"/>
  <c r="AC562" i="9"/>
  <c r="AC563" i="9"/>
  <c r="AC564" i="9"/>
  <c r="AC565" i="9"/>
  <c r="AC566" i="9"/>
  <c r="AC567" i="9"/>
  <c r="AC568" i="9"/>
  <c r="AC569" i="9"/>
  <c r="AC570" i="9"/>
  <c r="AC571" i="9"/>
  <c r="AC572" i="9"/>
  <c r="AC573" i="9"/>
  <c r="AC574" i="9"/>
  <c r="AC575" i="9"/>
  <c r="AC576" i="9"/>
  <c r="AC577" i="9"/>
  <c r="AC578" i="9"/>
  <c r="AC579" i="9"/>
  <c r="AC580" i="9"/>
  <c r="AC581" i="9"/>
  <c r="AC582" i="9"/>
  <c r="AC583" i="9"/>
  <c r="AC584" i="9"/>
  <c r="AC585" i="9"/>
  <c r="AC586" i="9"/>
  <c r="AC587" i="9"/>
  <c r="AC588" i="9"/>
  <c r="AC589" i="9"/>
  <c r="AC590" i="9"/>
  <c r="AC591" i="9"/>
  <c r="AC592" i="9"/>
  <c r="AC593" i="9"/>
  <c r="AC594" i="9"/>
  <c r="AC595" i="9"/>
  <c r="AC596" i="9"/>
  <c r="AC597" i="9"/>
  <c r="AC598" i="9"/>
  <c r="AC599" i="9"/>
  <c r="AC600" i="9"/>
  <c r="AC601" i="9"/>
  <c r="AC602" i="9"/>
  <c r="AC603" i="9"/>
  <c r="AC604" i="9"/>
  <c r="AC605" i="9"/>
  <c r="AC606" i="9"/>
  <c r="AC607" i="9"/>
  <c r="AC608" i="9"/>
  <c r="AC609" i="9"/>
  <c r="AC610" i="9"/>
  <c r="AC611" i="9"/>
  <c r="AC612" i="9"/>
  <c r="AC613" i="9"/>
  <c r="AC614" i="9"/>
  <c r="AC615" i="9"/>
  <c r="AC616" i="9"/>
  <c r="AC617" i="9"/>
  <c r="AC618" i="9"/>
  <c r="AC619" i="9"/>
  <c r="AC620" i="9"/>
  <c r="AC621" i="9"/>
  <c r="AC622" i="9"/>
  <c r="AC623" i="9"/>
  <c r="AC624" i="9"/>
  <c r="AC625" i="9"/>
  <c r="AC626" i="9"/>
  <c r="AC627" i="9"/>
  <c r="AC628" i="9"/>
  <c r="AC629" i="9"/>
  <c r="AC630" i="9"/>
  <c r="AC631" i="9"/>
  <c r="AC632" i="9"/>
  <c r="AC633" i="9"/>
  <c r="AC634" i="9"/>
  <c r="AC635" i="9"/>
  <c r="AC636" i="9"/>
  <c r="AC637" i="9"/>
  <c r="AC638" i="9"/>
  <c r="AC639" i="9"/>
  <c r="AC640" i="9"/>
  <c r="AC641" i="9"/>
  <c r="AC642" i="9"/>
  <c r="AC643" i="9"/>
  <c r="AC644" i="9"/>
  <c r="AC645" i="9"/>
  <c r="AC646" i="9"/>
  <c r="AC647" i="9"/>
  <c r="AC648" i="9"/>
  <c r="AC649" i="9"/>
  <c r="AC650" i="9"/>
  <c r="AC651" i="9"/>
  <c r="AC652" i="9"/>
  <c r="AC653" i="9"/>
  <c r="AC654" i="9"/>
  <c r="AC655" i="9"/>
  <c r="AC656" i="9"/>
  <c r="AC657" i="9"/>
  <c r="AC658" i="9"/>
  <c r="AC659" i="9"/>
  <c r="AC660" i="9"/>
  <c r="AC661" i="9"/>
  <c r="AC662" i="9"/>
  <c r="AC663" i="9"/>
  <c r="AC664" i="9"/>
  <c r="AC665" i="9"/>
  <c r="AC666" i="9"/>
  <c r="AC667" i="9"/>
  <c r="AC668" i="9"/>
  <c r="AC669" i="9"/>
  <c r="AC670" i="9"/>
  <c r="AC671" i="9"/>
  <c r="AC672" i="9"/>
  <c r="AC673" i="9"/>
  <c r="AC674" i="9"/>
  <c r="AC675" i="9"/>
  <c r="AC676" i="9"/>
  <c r="AC677" i="9"/>
  <c r="AC678" i="9"/>
  <c r="AC679" i="9"/>
  <c r="AC680" i="9"/>
  <c r="AC681" i="9"/>
  <c r="AC682" i="9"/>
  <c r="AC683" i="9"/>
  <c r="AC684" i="9"/>
  <c r="AC685" i="9"/>
  <c r="AC686" i="9"/>
  <c r="AC687" i="9"/>
  <c r="AC688" i="9"/>
  <c r="AC689" i="9"/>
  <c r="AC690" i="9"/>
  <c r="AC691" i="9"/>
  <c r="AC692" i="9"/>
  <c r="AC693" i="9"/>
  <c r="AC694" i="9"/>
  <c r="AC695" i="9"/>
  <c r="AC696" i="9"/>
  <c r="AC697" i="9"/>
  <c r="AC698" i="9"/>
  <c r="AC699" i="9"/>
  <c r="AC700" i="9"/>
  <c r="AC701" i="9"/>
  <c r="AC702" i="9"/>
  <c r="AC703" i="9"/>
  <c r="AC704" i="9"/>
  <c r="AC705" i="9"/>
  <c r="AC706" i="9"/>
  <c r="AC707" i="9"/>
  <c r="AC708" i="9"/>
  <c r="AC709" i="9"/>
  <c r="AC710" i="9"/>
  <c r="AC711" i="9"/>
  <c r="AC712" i="9"/>
  <c r="AC713" i="9"/>
  <c r="AC714" i="9"/>
  <c r="AC715" i="9"/>
  <c r="AC716" i="9"/>
  <c r="AC717" i="9"/>
  <c r="AC718" i="9"/>
  <c r="AC719" i="9"/>
  <c r="AC720" i="9"/>
  <c r="AC721" i="9"/>
  <c r="AC722" i="9"/>
  <c r="AC723" i="9"/>
  <c r="AC724" i="9"/>
  <c r="AC725" i="9"/>
  <c r="AC726" i="9"/>
  <c r="AC727" i="9"/>
  <c r="AC728" i="9"/>
  <c r="AC729" i="9"/>
  <c r="AC730" i="9"/>
  <c r="AC731" i="9"/>
  <c r="AC732" i="9"/>
  <c r="AC733" i="9"/>
  <c r="AC734" i="9"/>
  <c r="AC735" i="9"/>
  <c r="AC736" i="9"/>
  <c r="AC737" i="9"/>
  <c r="AC738" i="9"/>
  <c r="AC739" i="9"/>
  <c r="AC740" i="9"/>
  <c r="AC741" i="9"/>
  <c r="AC742" i="9"/>
  <c r="AC743" i="9"/>
  <c r="AC744" i="9"/>
  <c r="AC745" i="9"/>
  <c r="AC746" i="9"/>
  <c r="AC747" i="9"/>
  <c r="AC748" i="9"/>
  <c r="AC749" i="9"/>
  <c r="AC750" i="9"/>
  <c r="AC751" i="9"/>
  <c r="AC752" i="9"/>
  <c r="AC753" i="9"/>
  <c r="AC754" i="9"/>
  <c r="AC755" i="9"/>
  <c r="AC756" i="9"/>
  <c r="AC757" i="9"/>
  <c r="AC758" i="9"/>
  <c r="AC759" i="9"/>
  <c r="AC760" i="9"/>
  <c r="AC761" i="9"/>
  <c r="AC762" i="9"/>
  <c r="AC763" i="9"/>
  <c r="AC764" i="9"/>
  <c r="AC765" i="9"/>
  <c r="AC766" i="9"/>
  <c r="AC767" i="9"/>
  <c r="AC768" i="9"/>
  <c r="AC769" i="9"/>
  <c r="AC770" i="9"/>
  <c r="AC771" i="9"/>
  <c r="AC772" i="9"/>
  <c r="AC773" i="9"/>
  <c r="AC774" i="9"/>
  <c r="AC775" i="9"/>
  <c r="AC776" i="9"/>
  <c r="AC777" i="9"/>
  <c r="AC778" i="9"/>
  <c r="AC779" i="9"/>
  <c r="AC780" i="9"/>
  <c r="AC781" i="9"/>
  <c r="AC782" i="9"/>
  <c r="AC783" i="9"/>
  <c r="AC784" i="9"/>
  <c r="AC785" i="9"/>
  <c r="AC786" i="9"/>
  <c r="AC787" i="9"/>
  <c r="AC788" i="9"/>
  <c r="AC789" i="9"/>
  <c r="AC790" i="9"/>
  <c r="AC791" i="9"/>
  <c r="AC792" i="9"/>
  <c r="AC793" i="9"/>
  <c r="AC794" i="9"/>
  <c r="AC795" i="9"/>
  <c r="AC796" i="9"/>
  <c r="AC797" i="9"/>
  <c r="AC798" i="9"/>
  <c r="AC799" i="9"/>
  <c r="AC800" i="9"/>
  <c r="AC801" i="9"/>
  <c r="AC802" i="9"/>
  <c r="AC803" i="9"/>
  <c r="AC804" i="9"/>
  <c r="AC805" i="9"/>
  <c r="AC806" i="9"/>
  <c r="AC807" i="9"/>
  <c r="AC808" i="9"/>
  <c r="AC809" i="9"/>
  <c r="AC810" i="9"/>
  <c r="AC811" i="9"/>
  <c r="AC812" i="9"/>
  <c r="AC813" i="9"/>
  <c r="AC814" i="9"/>
  <c r="AC815" i="9"/>
  <c r="AC816" i="9"/>
  <c r="AC817" i="9"/>
  <c r="AC818" i="9"/>
  <c r="AC819" i="9"/>
  <c r="AC820" i="9"/>
  <c r="AC821" i="9"/>
  <c r="AC822" i="9"/>
  <c r="AC823" i="9"/>
  <c r="AC824" i="9"/>
  <c r="AC825" i="9"/>
  <c r="AC826" i="9"/>
  <c r="AC827" i="9"/>
  <c r="AC828" i="9"/>
  <c r="AC829" i="9"/>
  <c r="AC830" i="9"/>
  <c r="AC831" i="9"/>
  <c r="AC832" i="9"/>
  <c r="AC833" i="9"/>
  <c r="AC834" i="9"/>
  <c r="AC835" i="9"/>
  <c r="AC836" i="9"/>
  <c r="AC837" i="9"/>
  <c r="AC838" i="9"/>
  <c r="AC839" i="9"/>
  <c r="AC840" i="9"/>
  <c r="AC841" i="9"/>
  <c r="AC842" i="9"/>
  <c r="AC843" i="9"/>
  <c r="AC844" i="9"/>
  <c r="AC845" i="9"/>
  <c r="AC846" i="9"/>
  <c r="AC847" i="9"/>
  <c r="AC848" i="9"/>
  <c r="AC849" i="9"/>
  <c r="AC850" i="9"/>
  <c r="AC851" i="9"/>
  <c r="AC852" i="9"/>
  <c r="AC853" i="9"/>
  <c r="AC854" i="9"/>
  <c r="AC855" i="9"/>
  <c r="AC856" i="9"/>
  <c r="AC857" i="9"/>
  <c r="AC858" i="9"/>
  <c r="AC859" i="9"/>
  <c r="AC860" i="9"/>
  <c r="AC861" i="9"/>
  <c r="AC862" i="9"/>
  <c r="AC863" i="9"/>
  <c r="AC864" i="9"/>
  <c r="AC865" i="9"/>
  <c r="AC2" i="9"/>
  <c r="W7" i="15" l="1"/>
  <c r="X7" i="15"/>
  <c r="Y7" i="15"/>
  <c r="T7" i="15"/>
  <c r="S7" i="15"/>
  <c r="O7" i="15"/>
  <c r="R7" i="15"/>
  <c r="L11" i="15"/>
  <c r="L7" i="15"/>
  <c r="L6" i="15"/>
  <c r="L8" i="15"/>
  <c r="L9" i="15"/>
  <c r="L10" i="15"/>
  <c r="L12" i="15"/>
  <c r="L13" i="15"/>
  <c r="L14" i="15"/>
  <c r="R4" i="15"/>
  <c r="R5" i="15"/>
  <c r="R6" i="15"/>
  <c r="R3" i="15"/>
  <c r="L4" i="15"/>
  <c r="L5" i="15"/>
  <c r="L3" i="15"/>
  <c r="W14" i="15" l="1"/>
  <c r="R14" i="15"/>
  <c r="O14" i="15"/>
  <c r="W13" i="15"/>
  <c r="R13" i="15"/>
  <c r="O13" i="15"/>
  <c r="W12" i="15"/>
  <c r="R12" i="15"/>
  <c r="O12" i="15"/>
  <c r="J12" i="15"/>
  <c r="W11" i="15"/>
  <c r="R11" i="15"/>
  <c r="O11" i="15"/>
  <c r="W10" i="15"/>
  <c r="R10" i="15"/>
  <c r="O10" i="15"/>
  <c r="W9" i="15"/>
  <c r="R9" i="15"/>
  <c r="O9" i="15"/>
  <c r="W8" i="15"/>
  <c r="R8" i="15"/>
  <c r="O8" i="15"/>
  <c r="W6" i="15"/>
  <c r="J6" i="15"/>
  <c r="W5" i="15"/>
  <c r="J5" i="15"/>
  <c r="W4" i="15"/>
  <c r="J4" i="15"/>
  <c r="S4" i="15" s="1"/>
  <c r="T4" i="15" s="1"/>
  <c r="W3" i="15"/>
  <c r="X13" i="15" l="1"/>
  <c r="X11" i="15"/>
  <c r="X4" i="15"/>
  <c r="Y4" i="15" s="1"/>
  <c r="X14" i="15"/>
  <c r="J10" i="15"/>
  <c r="S10" i="15" s="1"/>
  <c r="T10" i="15" s="1"/>
  <c r="J9" i="15"/>
  <c r="J11" i="15"/>
  <c r="S11" i="15" s="1"/>
  <c r="T11" i="15" s="1"/>
  <c r="J13" i="15"/>
  <c r="S13" i="15" s="1"/>
  <c r="T13" i="15" s="1"/>
  <c r="X5" i="15"/>
  <c r="X9" i="15"/>
  <c r="X6" i="15"/>
  <c r="X10" i="15"/>
  <c r="X8" i="15"/>
  <c r="X12" i="15"/>
  <c r="X3" i="15"/>
  <c r="J8" i="15"/>
  <c r="S8" i="15" s="1"/>
  <c r="T8" i="15" s="1"/>
  <c r="Y13" i="15"/>
  <c r="J14" i="15"/>
  <c r="S14" i="15" s="1"/>
  <c r="T14" i="15" s="1"/>
  <c r="S12" i="15"/>
  <c r="T12" i="15" s="1"/>
  <c r="S5" i="15"/>
  <c r="T5" i="15" s="1"/>
  <c r="S6" i="15"/>
  <c r="T6" i="15" s="1"/>
  <c r="S9" i="15"/>
  <c r="T9" i="15" s="1"/>
  <c r="J7" i="15"/>
  <c r="Y14" i="15" l="1"/>
  <c r="Y11" i="15"/>
  <c r="Y8" i="15"/>
  <c r="J3" i="15"/>
  <c r="S3" i="15" s="1"/>
  <c r="T3" i="15" s="1"/>
  <c r="Y3" i="15" s="1"/>
  <c r="Y5" i="15"/>
  <c r="Y6" i="15"/>
  <c r="Y10" i="15"/>
  <c r="Y12" i="15"/>
  <c r="Y9" i="15"/>
  <c r="AE678" i="9" l="1"/>
  <c r="Y678" i="9" s="1"/>
  <c r="AE36" i="9"/>
  <c r="Y36" i="9" s="1"/>
  <c r="AE656" i="9"/>
  <c r="AE268" i="9"/>
  <c r="AE568" i="9"/>
  <c r="AE105" i="9"/>
  <c r="AE584" i="9"/>
  <c r="Y584" i="9" s="1"/>
  <c r="AE127" i="9"/>
  <c r="AE511" i="9"/>
  <c r="Y511" i="9" s="1"/>
  <c r="AE224" i="9"/>
  <c r="AE479" i="9"/>
  <c r="Y479" i="9" s="1"/>
  <c r="AE110" i="9"/>
  <c r="AE835" i="9"/>
  <c r="AE288" i="9"/>
  <c r="AE828" i="9"/>
  <c r="AE63" i="9"/>
  <c r="Y63" i="9" s="1"/>
  <c r="AE604" i="9"/>
  <c r="Y604" i="9" s="1"/>
  <c r="AE248" i="9"/>
  <c r="AE815" i="9"/>
  <c r="Y815" i="9" s="1"/>
  <c r="AE172" i="9"/>
  <c r="Y172" i="9" s="1"/>
  <c r="AE631" i="9"/>
  <c r="AE49" i="9"/>
  <c r="AE801" i="9"/>
  <c r="AE194" i="9"/>
  <c r="AE626" i="9"/>
  <c r="Y626" i="9" s="1"/>
  <c r="AE322" i="9"/>
  <c r="AE804" i="9"/>
  <c r="AE54" i="9"/>
  <c r="AE542" i="9"/>
  <c r="AE48" i="9"/>
  <c r="Y48" i="9" s="1"/>
  <c r="AE623" i="9"/>
  <c r="S623" i="9" s="1"/>
  <c r="AE125" i="9"/>
  <c r="S125" i="9" s="1"/>
  <c r="AE665" i="9"/>
  <c r="Y665" i="9" s="1"/>
  <c r="AE178" i="9"/>
  <c r="AE733" i="9"/>
  <c r="Y733" i="9" s="1"/>
  <c r="AE366" i="9"/>
  <c r="AE518" i="9"/>
  <c r="AE392" i="9"/>
  <c r="AE704" i="9"/>
  <c r="Y704" i="9" s="1"/>
  <c r="AE281" i="9"/>
  <c r="AE654" i="9"/>
  <c r="Y654" i="9" s="1"/>
  <c r="AE142" i="9"/>
  <c r="AE863" i="9"/>
  <c r="AE351" i="9"/>
  <c r="Y351" i="9" s="1"/>
  <c r="AE699" i="9"/>
  <c r="AE369" i="9"/>
  <c r="AE719" i="9"/>
  <c r="Y719" i="9" s="1"/>
  <c r="AE254" i="9"/>
  <c r="S254" i="9" s="1"/>
  <c r="AE760" i="9"/>
  <c r="Y760" i="9" s="1"/>
  <c r="AE83" i="9"/>
  <c r="AE442" i="9"/>
  <c r="AE341" i="9"/>
  <c r="Y341" i="9" s="1"/>
  <c r="AE463" i="9"/>
  <c r="AE69" i="9"/>
  <c r="AE586" i="9"/>
  <c r="AE307" i="9"/>
  <c r="AE484" i="9"/>
  <c r="Y484" i="9" s="1"/>
  <c r="AE120" i="9"/>
  <c r="AE850" i="9"/>
  <c r="AE77" i="9"/>
  <c r="AE845" i="9"/>
  <c r="AE253" i="9"/>
  <c r="AE681" i="9"/>
  <c r="Y681" i="9" s="1"/>
  <c r="AE303" i="9"/>
  <c r="S303" i="9" s="1"/>
  <c r="AE842" i="9"/>
  <c r="Y842" i="9" s="1"/>
  <c r="AE272" i="9"/>
  <c r="Y272" i="9" s="1"/>
  <c r="AE668" i="9"/>
  <c r="AE124" i="9"/>
  <c r="AE806" i="9"/>
  <c r="AE324" i="9"/>
  <c r="AE541" i="9"/>
  <c r="Y541" i="9" s="1"/>
  <c r="AE304" i="9"/>
  <c r="AE823" i="9"/>
  <c r="Y823" i="9" s="1"/>
  <c r="AE24" i="9"/>
  <c r="AE840" i="9"/>
  <c r="AE74" i="9"/>
  <c r="AE471" i="9"/>
  <c r="AE382" i="9"/>
  <c r="AE561" i="9"/>
  <c r="AE66" i="9"/>
  <c r="Y66" i="9" s="1"/>
  <c r="AE496" i="9"/>
  <c r="Y496" i="9" s="1"/>
  <c r="AE241" i="9"/>
  <c r="AE764" i="9"/>
  <c r="AE230" i="9"/>
  <c r="Y230" i="9" s="1"/>
  <c r="AE591" i="9"/>
  <c r="AE298" i="9"/>
  <c r="AE803" i="9"/>
  <c r="AE3" i="9"/>
  <c r="AE460" i="9"/>
  <c r="Y460" i="9" s="1"/>
  <c r="AE167" i="9"/>
  <c r="AE732" i="9"/>
  <c r="AE182" i="9"/>
  <c r="AE711" i="9"/>
  <c r="AE203" i="9"/>
  <c r="AE800" i="9"/>
  <c r="S800" i="9" s="1"/>
  <c r="AE283" i="9"/>
  <c r="S283" i="9" s="1"/>
  <c r="AE558" i="9"/>
  <c r="Y558" i="9" s="1"/>
  <c r="AE431" i="9"/>
  <c r="Y431" i="9" s="1"/>
  <c r="AE610" i="9"/>
  <c r="AE123" i="9"/>
  <c r="AE446" i="9"/>
  <c r="AE200" i="9"/>
  <c r="AE721" i="9"/>
  <c r="Y721" i="9" s="1"/>
  <c r="AE318" i="9"/>
  <c r="AE761" i="9"/>
  <c r="Y761" i="9" s="1"/>
  <c r="AE81" i="9"/>
  <c r="AE600" i="9"/>
  <c r="AE376" i="9"/>
  <c r="AE499" i="9"/>
  <c r="AE348" i="9"/>
  <c r="AE536" i="9"/>
  <c r="Y536" i="9" s="1"/>
  <c r="AE377" i="9"/>
  <c r="S377" i="9" s="1"/>
  <c r="AE688" i="9"/>
  <c r="Y688" i="9" s="1"/>
  <c r="AE370" i="9"/>
  <c r="AE527" i="9"/>
  <c r="AE31" i="9"/>
  <c r="Y31" i="9" s="1"/>
  <c r="AE508" i="9"/>
  <c r="AE311" i="9"/>
  <c r="AE489" i="9"/>
  <c r="AE415" i="9"/>
  <c r="AE435" i="9"/>
  <c r="Y435" i="9" s="1"/>
  <c r="AE395" i="9"/>
  <c r="AE705" i="9"/>
  <c r="AE426" i="9"/>
  <c r="AE739" i="9"/>
  <c r="AE118" i="9"/>
  <c r="AE490" i="9"/>
  <c r="Y490" i="9" s="1"/>
  <c r="AE208" i="9"/>
  <c r="S208" i="9" s="1"/>
  <c r="AE783" i="9"/>
  <c r="Y783" i="9" s="1"/>
  <c r="AE140" i="9"/>
  <c r="AE550" i="9"/>
  <c r="AE88" i="9"/>
  <c r="AE652" i="9"/>
  <c r="AE358" i="9"/>
  <c r="AE456" i="9"/>
  <c r="Y456" i="9" s="1"/>
  <c r="AE305" i="9"/>
  <c r="Y305" i="9" s="1"/>
  <c r="AE639" i="9"/>
  <c r="Y639" i="9" s="1"/>
  <c r="AE383" i="9"/>
  <c r="AE537" i="9"/>
  <c r="AE235" i="9"/>
  <c r="AE737" i="9"/>
  <c r="AE372" i="9"/>
  <c r="AE813" i="9"/>
  <c r="AE280" i="9"/>
  <c r="AE475" i="9"/>
  <c r="Y475" i="9" s="1"/>
  <c r="AE301" i="9"/>
  <c r="AE802" i="9"/>
  <c r="Y802" i="9" s="1"/>
  <c r="AE7" i="9"/>
  <c r="AE447" i="9"/>
  <c r="AE13" i="9"/>
  <c r="AE444" i="9"/>
  <c r="AE163" i="9"/>
  <c r="AE773" i="9"/>
  <c r="Y773" i="9" s="1"/>
  <c r="AE320" i="9"/>
  <c r="Y320" i="9" s="1"/>
  <c r="AE778" i="9"/>
  <c r="AE266" i="9"/>
  <c r="AE834" i="9"/>
  <c r="AE117" i="9"/>
  <c r="AE789" i="9"/>
  <c r="S789" i="9" s="1"/>
  <c r="AE221" i="9"/>
  <c r="S221" i="9" s="1"/>
  <c r="AE664" i="9"/>
  <c r="Y664" i="9" s="1"/>
  <c r="AE60" i="9"/>
  <c r="Y60" i="9" s="1"/>
  <c r="AE646" i="9"/>
  <c r="Y646" i="9" s="1"/>
  <c r="AE331" i="9"/>
  <c r="AE858" i="9"/>
  <c r="AE345" i="9"/>
  <c r="AE529" i="9"/>
  <c r="Y529" i="9" s="1"/>
  <c r="AE207" i="9"/>
  <c r="AE485" i="9"/>
  <c r="Y485" i="9" s="1"/>
  <c r="AE409" i="9"/>
  <c r="AE660" i="9"/>
  <c r="Y660" i="9" s="1"/>
  <c r="AE209" i="9"/>
  <c r="AE663" i="9"/>
  <c r="AE286" i="9"/>
  <c r="AE743" i="9"/>
  <c r="Y743" i="9" s="1"/>
  <c r="AE386" i="9"/>
  <c r="S386" i="9" s="1"/>
  <c r="AE590" i="9"/>
  <c r="Y590" i="9" s="1"/>
  <c r="AE251" i="9"/>
  <c r="AE564" i="9"/>
  <c r="AE398" i="9"/>
  <c r="Y398" i="9" s="1"/>
  <c r="AE580" i="9"/>
  <c r="AE164" i="9"/>
  <c r="AE466" i="9"/>
  <c r="AE42" i="9"/>
  <c r="AE627" i="9"/>
  <c r="Y627" i="9" s="1"/>
  <c r="AE312" i="9"/>
  <c r="AE492" i="9"/>
  <c r="AE279" i="9"/>
  <c r="AE807" i="9"/>
  <c r="AE152" i="9"/>
  <c r="Y152" i="9" s="1"/>
  <c r="AE455" i="9"/>
  <c r="S455" i="9" s="1"/>
  <c r="AE184" i="9"/>
  <c r="S184" i="9" s="1"/>
  <c r="AE594" i="9"/>
  <c r="Y594" i="9" s="1"/>
  <c r="AE95" i="9"/>
  <c r="AE741" i="9"/>
  <c r="AE91" i="9"/>
  <c r="AE582" i="9"/>
  <c r="AE121" i="9"/>
  <c r="AE682" i="9"/>
  <c r="Y682" i="9" s="1"/>
  <c r="AE186" i="9"/>
  <c r="Y186" i="9" s="1"/>
  <c r="AE712" i="9"/>
  <c r="Y712" i="9" s="1"/>
  <c r="AE133" i="9"/>
  <c r="AE768" i="9"/>
  <c r="Y768" i="9" s="1"/>
  <c r="AE352" i="9"/>
  <c r="AE820" i="9"/>
  <c r="AE433" i="9"/>
  <c r="AE812" i="9"/>
  <c r="AE149" i="9"/>
  <c r="Y149" i="9" s="1"/>
  <c r="AE677" i="9"/>
  <c r="Y677" i="9" s="1"/>
  <c r="AE384" i="9"/>
  <c r="AE860" i="9"/>
  <c r="AE389" i="9"/>
  <c r="AE782" i="9"/>
  <c r="AE155" i="9"/>
  <c r="AE636" i="9"/>
  <c r="AE185" i="9"/>
  <c r="AE762" i="9"/>
  <c r="Y762" i="9" s="1"/>
  <c r="AE130" i="9"/>
  <c r="Y130" i="9" s="1"/>
  <c r="AE468" i="9"/>
  <c r="AE41" i="9"/>
  <c r="AE847" i="9"/>
  <c r="AE181" i="9"/>
  <c r="AE599" i="9"/>
  <c r="S599" i="9" s="1"/>
  <c r="AE256" i="9"/>
  <c r="S256" i="9" s="1"/>
  <c r="AE690" i="9"/>
  <c r="Y690" i="9" s="1"/>
  <c r="AE119" i="9"/>
  <c r="Y119" i="9" s="1"/>
  <c r="AE754" i="9"/>
  <c r="AE173" i="9"/>
  <c r="AE787" i="9"/>
  <c r="AE157" i="9"/>
  <c r="AE551" i="9"/>
  <c r="Y551" i="9" s="1"/>
  <c r="AE425" i="9"/>
  <c r="AE482" i="9"/>
  <c r="Y482" i="9" s="1"/>
  <c r="AE201" i="9"/>
  <c r="AE817" i="9"/>
  <c r="Y817" i="9" s="1"/>
  <c r="AE146" i="9"/>
  <c r="Y146" i="9" s="1"/>
  <c r="AE544" i="9"/>
  <c r="AE25" i="9"/>
  <c r="AE696" i="9"/>
  <c r="Y696" i="9" s="1"/>
  <c r="AE255" i="9"/>
  <c r="Y255" i="9" s="1"/>
  <c r="AE749" i="9"/>
  <c r="Y749" i="9" s="1"/>
  <c r="AE333" i="9"/>
  <c r="AE572" i="9"/>
  <c r="AE6" i="9"/>
  <c r="Y6" i="9" s="1"/>
  <c r="AE818" i="9"/>
  <c r="AE335" i="9"/>
  <c r="AE780" i="9"/>
  <c r="AE378" i="9"/>
  <c r="AE451" i="9"/>
  <c r="Y451" i="9" s="1"/>
  <c r="AE21" i="9"/>
  <c r="AE632" i="9"/>
  <c r="AE271" i="9"/>
  <c r="AE831" i="9"/>
  <c r="AE250" i="9"/>
  <c r="Y250" i="9" s="1"/>
  <c r="AE709" i="9"/>
  <c r="Y709" i="9" s="1"/>
  <c r="AE170" i="9"/>
  <c r="S170" i="9" s="1"/>
  <c r="AE641" i="9"/>
  <c r="AE419" i="9"/>
  <c r="Y419" i="9" s="1"/>
  <c r="AE673" i="9"/>
  <c r="AE38" i="9"/>
  <c r="AE554" i="9"/>
  <c r="AE214" i="9"/>
  <c r="AE670" i="9"/>
  <c r="Y670" i="9" s="1"/>
  <c r="AE375" i="9"/>
  <c r="AE474" i="9"/>
  <c r="AE418" i="9"/>
  <c r="AE694" i="9"/>
  <c r="AE2" i="9"/>
  <c r="AE630" i="9"/>
  <c r="AE213" i="9"/>
  <c r="AE707" i="9"/>
  <c r="AE244" i="9"/>
  <c r="Y244" i="9" s="1"/>
  <c r="AE830" i="9"/>
  <c r="Y830" i="9" s="1"/>
  <c r="AE193" i="9"/>
  <c r="AE601" i="9"/>
  <c r="AE222" i="9"/>
  <c r="Y222" i="9" s="1"/>
  <c r="AE662" i="9"/>
  <c r="AE57" i="9"/>
  <c r="AE503" i="9"/>
  <c r="S503" i="9" s="1"/>
  <c r="AE101" i="9"/>
  <c r="AE748" i="9"/>
  <c r="Y748" i="9" s="1"/>
  <c r="AE226" i="9"/>
  <c r="AE717" i="9"/>
  <c r="AE30" i="9"/>
  <c r="AE509" i="9"/>
  <c r="S509" i="9" s="1"/>
  <c r="AE32" i="9"/>
  <c r="AE851" i="9"/>
  <c r="AE40" i="9"/>
  <c r="AE510" i="9"/>
  <c r="AE332" i="9"/>
  <c r="Y332" i="9" s="1"/>
  <c r="AE634" i="9"/>
  <c r="Y634" i="9" s="1"/>
  <c r="AE5" i="9"/>
  <c r="AE798" i="9"/>
  <c r="AE20" i="9"/>
  <c r="AE512" i="9"/>
  <c r="Y512" i="9" s="1"/>
  <c r="AE175" i="9"/>
  <c r="S175" i="9" s="1"/>
  <c r="AE545" i="9"/>
  <c r="AE368" i="9"/>
  <c r="AE685" i="9"/>
  <c r="Y685" i="9" s="1"/>
  <c r="AE363" i="9"/>
  <c r="AE458" i="9"/>
  <c r="AE313" i="9"/>
  <c r="AE693" i="9"/>
  <c r="Y693" i="9" s="1"/>
  <c r="AE103" i="9"/>
  <c r="AE507" i="9"/>
  <c r="AE128" i="9"/>
  <c r="S128" i="9" s="1"/>
  <c r="AE781" i="9"/>
  <c r="S781" i="9" s="1"/>
  <c r="AE367" i="9"/>
  <c r="Y367" i="9" s="1"/>
  <c r="AE722" i="9"/>
  <c r="AE356" i="9"/>
  <c r="AE814" i="9"/>
  <c r="AE234" i="9"/>
  <c r="AE449" i="9"/>
  <c r="Y449" i="9" s="1"/>
  <c r="AE236" i="9"/>
  <c r="AE505" i="9"/>
  <c r="AE258" i="9"/>
  <c r="AE506" i="9"/>
  <c r="AE192" i="9"/>
  <c r="AE720" i="9"/>
  <c r="Y720" i="9" s="1"/>
  <c r="AE147" i="9"/>
  <c r="AE650" i="9"/>
  <c r="AE428" i="9"/>
  <c r="AE635" i="9"/>
  <c r="AE282" i="9"/>
  <c r="AE746" i="9"/>
  <c r="AE12" i="9"/>
  <c r="AE729" i="9"/>
  <c r="Y729" i="9" s="1"/>
  <c r="AE29" i="9"/>
  <c r="S29" i="9" s="1"/>
  <c r="AE723" i="9"/>
  <c r="AE215" i="9"/>
  <c r="AE718" i="9"/>
  <c r="Y718" i="9" s="1"/>
  <c r="AE62" i="9"/>
  <c r="AE486" i="9"/>
  <c r="AE10" i="9"/>
  <c r="AE793" i="9"/>
  <c r="AE126" i="9"/>
  <c r="Y126" i="9" s="1"/>
  <c r="AE715" i="9"/>
  <c r="AE33" i="9"/>
  <c r="AE588" i="9"/>
  <c r="S588" i="9" s="1"/>
  <c r="AE55" i="9"/>
  <c r="AE533" i="9"/>
  <c r="AE284" i="9"/>
  <c r="AE777" i="9"/>
  <c r="AE218" i="9"/>
  <c r="AE758" i="9"/>
  <c r="Y758" i="9" s="1"/>
  <c r="AE260" i="9"/>
  <c r="Y260" i="9" s="1"/>
  <c r="AE574" i="9"/>
  <c r="AE302" i="9"/>
  <c r="S302" i="9" s="1"/>
  <c r="AE738" i="9"/>
  <c r="S738" i="9" s="1"/>
  <c r="AE141" i="9"/>
  <c r="AE585" i="9"/>
  <c r="AE14" i="9"/>
  <c r="AE578" i="9"/>
  <c r="AE23" i="9"/>
  <c r="Y23" i="9" s="1"/>
  <c r="AE573" i="9"/>
  <c r="AE137" i="9"/>
  <c r="AE579" i="9"/>
  <c r="AE349" i="9"/>
  <c r="AE625" i="9"/>
  <c r="Y625" i="9" s="1"/>
  <c r="AE402" i="9"/>
  <c r="Y402" i="9" s="1"/>
  <c r="AE770" i="9"/>
  <c r="Y770" i="9" s="1"/>
  <c r="AE104" i="9"/>
  <c r="AE597" i="9"/>
  <c r="AE160" i="9"/>
  <c r="Y160" i="9" s="1"/>
  <c r="AE438" i="9"/>
  <c r="AE297" i="9"/>
  <c r="AE861" i="9"/>
  <c r="Y861" i="9" s="1"/>
  <c r="AE196" i="9"/>
  <c r="AE686" i="9"/>
  <c r="AE177" i="9"/>
  <c r="Y177" i="9" s="1"/>
  <c r="AE516" i="9"/>
  <c r="AE199" i="9"/>
  <c r="AE735" i="9"/>
  <c r="AE45" i="9"/>
  <c r="AE464" i="9"/>
  <c r="AE327" i="9"/>
  <c r="Y327" i="9" s="1"/>
  <c r="AE797" i="9"/>
  <c r="AE432" i="9"/>
  <c r="AE648" i="9"/>
  <c r="AE171" i="9"/>
  <c r="Y171" i="9" s="1"/>
  <c r="AE535" i="9"/>
  <c r="S535" i="9" s="1"/>
  <c r="AE166" i="9"/>
  <c r="AE708" i="9"/>
  <c r="Y708" i="9" s="1"/>
  <c r="AE195" i="9"/>
  <c r="AE691" i="9"/>
  <c r="Y691" i="9" s="1"/>
  <c r="AE202" i="9"/>
  <c r="Y202" i="9" s="1"/>
  <c r="AE540" i="9"/>
  <c r="AE294" i="9"/>
  <c r="AE794" i="9"/>
  <c r="AE263" i="9"/>
  <c r="AE440" i="9"/>
  <c r="S440" i="9" s="1"/>
  <c r="AE50" i="9"/>
  <c r="S50" i="9" s="1"/>
  <c r="AE522" i="9"/>
  <c r="AE68" i="9"/>
  <c r="AE501" i="9"/>
  <c r="AE362" i="9"/>
  <c r="Y362" i="9" s="1"/>
  <c r="AE710" i="9"/>
  <c r="AE344" i="9"/>
  <c r="AE647" i="9"/>
  <c r="Y647" i="9" s="1"/>
  <c r="AE278" i="9"/>
  <c r="AE593" i="9"/>
  <c r="Y593" i="9" s="1"/>
  <c r="AE96" i="9"/>
  <c r="AE791" i="9"/>
  <c r="AE139" i="9"/>
  <c r="AE556" i="9"/>
  <c r="AE191" i="9"/>
  <c r="AE565" i="9"/>
  <c r="Y565" i="9" s="1"/>
  <c r="AE413" i="9"/>
  <c r="AE629" i="9"/>
  <c r="AE325" i="9"/>
  <c r="AE517" i="9"/>
  <c r="AE315" i="9"/>
  <c r="Y315" i="9" s="1"/>
  <c r="AE675" i="9"/>
  <c r="S675" i="9" s="1"/>
  <c r="AE106" i="9"/>
  <c r="AE825" i="9"/>
  <c r="AE316" i="9"/>
  <c r="Y316" i="9" s="1"/>
  <c r="AE567" i="9"/>
  <c r="Y567" i="9" s="1"/>
  <c r="AE229" i="9"/>
  <c r="AE453" i="9"/>
  <c r="AE18" i="9"/>
  <c r="AE821" i="9"/>
  <c r="AE93" i="9"/>
  <c r="AE457" i="9"/>
  <c r="Y457" i="9" s="1"/>
  <c r="AE411" i="9"/>
  <c r="S411" i="9" s="1"/>
  <c r="AE448" i="9"/>
  <c r="AE249" i="9"/>
  <c r="Y249" i="9" s="1"/>
  <c r="AE637" i="9"/>
  <c r="AE329" i="9"/>
  <c r="AE557" i="9"/>
  <c r="AE217" i="9"/>
  <c r="AE757" i="9"/>
  <c r="AE102" i="9"/>
  <c r="AE725" i="9"/>
  <c r="Y725" i="9" s="1"/>
  <c r="AE169" i="9"/>
  <c r="Y169" i="9" s="1"/>
  <c r="AE826" i="9"/>
  <c r="AE414" i="9"/>
  <c r="Y414" i="9" s="1"/>
  <c r="AE786" i="9"/>
  <c r="AE323" i="9"/>
  <c r="AE731" i="9"/>
  <c r="AE243" i="9"/>
  <c r="AE701" i="9"/>
  <c r="AE216" i="9"/>
  <c r="AE645" i="9"/>
  <c r="Y645" i="9" s="1"/>
  <c r="AE338" i="9"/>
  <c r="Y338" i="9" s="1"/>
  <c r="AE543" i="9"/>
  <c r="AE265" i="9"/>
  <c r="AE443" i="9"/>
  <c r="Y443" i="9" s="1"/>
  <c r="AE17" i="9"/>
  <c r="AE799" i="9"/>
  <c r="Y799" i="9" s="1"/>
  <c r="AE35" i="9"/>
  <c r="AE765" i="9"/>
  <c r="AE16" i="9"/>
  <c r="AE736" i="9"/>
  <c r="AE381" i="9"/>
  <c r="AE853" i="9"/>
  <c r="Y853" i="9" s="1"/>
  <c r="AE206" i="9"/>
  <c r="S206" i="9" s="1"/>
  <c r="AE450" i="9"/>
  <c r="AE37" i="9"/>
  <c r="Y37" i="9" s="1"/>
  <c r="AE680" i="9"/>
  <c r="AE295" i="9"/>
  <c r="AE655" i="9"/>
  <c r="AE143" i="9"/>
  <c r="AE669" i="9"/>
  <c r="AE232" i="9"/>
  <c r="Y232" i="9" s="1"/>
  <c r="AE774" i="9"/>
  <c r="Y774" i="9" s="1"/>
  <c r="AE132" i="9"/>
  <c r="AE500" i="9"/>
  <c r="AE113" i="9"/>
  <c r="Y113" i="9" s="1"/>
  <c r="AE811" i="9"/>
  <c r="AE116" i="9"/>
  <c r="AE740" i="9"/>
  <c r="AE115" i="9"/>
  <c r="AE751" i="9"/>
  <c r="AE346" i="9"/>
  <c r="Y346" i="9" s="1"/>
  <c r="AE621" i="9"/>
  <c r="AE39" i="9"/>
  <c r="Y39" i="9" s="1"/>
  <c r="AE702" i="9"/>
  <c r="S702" i="9" s="1"/>
  <c r="AE421" i="9"/>
  <c r="AE587" i="9"/>
  <c r="Y587" i="9" s="1"/>
  <c r="AE245" i="9"/>
  <c r="Y245" i="9" s="1"/>
  <c r="AE784" i="9"/>
  <c r="AE73" i="9"/>
  <c r="AE469" i="9"/>
  <c r="AE423" i="9"/>
  <c r="AE459" i="9"/>
  <c r="AE47" i="9"/>
  <c r="Y47" i="9" s="1"/>
  <c r="AE539" i="9"/>
  <c r="Y539" i="9" s="1"/>
  <c r="AE340" i="9"/>
  <c r="AE640" i="9"/>
  <c r="Y640" i="9" s="1"/>
  <c r="AE188" i="9"/>
  <c r="Y188" i="9" s="1"/>
  <c r="AE684" i="9"/>
  <c r="AE161" i="9"/>
  <c r="AE809" i="9"/>
  <c r="AE212" i="9"/>
  <c r="AE575" i="9"/>
  <c r="AE242" i="9"/>
  <c r="Y242" i="9" s="1"/>
  <c r="AE606" i="9"/>
  <c r="Y606" i="9" s="1"/>
  <c r="AE406" i="9"/>
  <c r="AE792" i="9"/>
  <c r="AE159" i="9"/>
  <c r="Y159" i="9" s="1"/>
  <c r="AE714" i="9"/>
  <c r="AE276" i="9"/>
  <c r="AE862" i="9"/>
  <c r="AE78" i="9"/>
  <c r="AE605" i="9"/>
  <c r="S605" i="9" s="1"/>
  <c r="AE179" i="9"/>
  <c r="Y179" i="9" s="1"/>
  <c r="AE649" i="9"/>
  <c r="AE158" i="9"/>
  <c r="AE607" i="9"/>
  <c r="AE61" i="9"/>
  <c r="AE576" i="9"/>
  <c r="Y576" i="9" s="1"/>
  <c r="AE65" i="9"/>
  <c r="AE461" i="9"/>
  <c r="S461" i="9" s="1"/>
  <c r="AE72" i="9"/>
  <c r="S72" i="9" s="1"/>
  <c r="AE548" i="9"/>
  <c r="AE259" i="9"/>
  <c r="Y259" i="9" s="1"/>
  <c r="AE679" i="9"/>
  <c r="AE228" i="9"/>
  <c r="AE608" i="9"/>
  <c r="AE4" i="9"/>
  <c r="Y4" i="9" s="1"/>
  <c r="AE483" i="9"/>
  <c r="AE11" i="9"/>
  <c r="Y11" i="9" s="1"/>
  <c r="AE824" i="9"/>
  <c r="AE150" i="9"/>
  <c r="AE642" i="9"/>
  <c r="AE237" i="9"/>
  <c r="AE661" i="9"/>
  <c r="Y661" i="9" s="1"/>
  <c r="AE410" i="9"/>
  <c r="Y410" i="9" s="1"/>
  <c r="AE519" i="9"/>
  <c r="AE264" i="9"/>
  <c r="AE744" i="9"/>
  <c r="AE330" i="9"/>
  <c r="Y330" i="9" s="1"/>
  <c r="AE523" i="9"/>
  <c r="AE274" i="9"/>
  <c r="AE671" i="9"/>
  <c r="AE187" i="9"/>
  <c r="AE547" i="9"/>
  <c r="Y547" i="9" s="1"/>
  <c r="AE94" i="9"/>
  <c r="Y94" i="9" s="1"/>
  <c r="AE515" i="9"/>
  <c r="AE314" i="9"/>
  <c r="AE713" i="9"/>
  <c r="S713" i="9" s="1"/>
  <c r="AE309" i="9"/>
  <c r="AE730" i="9"/>
  <c r="Y730" i="9" s="1"/>
  <c r="AE100" i="9"/>
  <c r="AE772" i="9"/>
  <c r="AE227" i="9"/>
  <c r="AE465" i="9"/>
  <c r="Y465" i="9" s="1"/>
  <c r="AE412" i="9"/>
  <c r="AE473" i="9"/>
  <c r="S473" i="9" s="1"/>
  <c r="AE373" i="9"/>
  <c r="AE611" i="9"/>
  <c r="S611" i="9" s="1"/>
  <c r="AE138" i="9"/>
  <c r="Y138" i="9" s="1"/>
  <c r="AE700" i="9"/>
  <c r="Y700" i="9" s="1"/>
  <c r="AE429" i="9"/>
  <c r="AE467" i="9"/>
  <c r="AE390" i="9"/>
  <c r="AE846" i="9"/>
  <c r="AE347" i="9"/>
  <c r="AE659" i="9"/>
  <c r="Y659" i="9" s="1"/>
  <c r="AE151" i="9"/>
  <c r="Y151" i="9" s="1"/>
  <c r="AE689" i="9"/>
  <c r="AE385" i="9"/>
  <c r="Y385" i="9" s="1"/>
  <c r="AE513" i="9"/>
  <c r="AE220" i="9"/>
  <c r="AE727" i="9"/>
  <c r="AE34" i="9"/>
  <c r="AE839" i="9"/>
  <c r="AE290" i="9"/>
  <c r="AE638" i="9"/>
  <c r="S638" i="9" s="1"/>
  <c r="AE84" i="9"/>
  <c r="Y84" i="9" s="1"/>
  <c r="AE657" i="9"/>
  <c r="AE422" i="9"/>
  <c r="Y422" i="9" s="1"/>
  <c r="AE569" i="9"/>
  <c r="AE337" i="9"/>
  <c r="AE525" i="9"/>
  <c r="AE343" i="9"/>
  <c r="AE566" i="9"/>
  <c r="AE405" i="9"/>
  <c r="S405" i="9" s="1"/>
  <c r="AE769" i="9"/>
  <c r="AE339" i="9"/>
  <c r="Y339" i="9" s="1"/>
  <c r="AE616" i="9"/>
  <c r="AE289" i="9"/>
  <c r="AE549" i="9"/>
  <c r="Y549" i="9" s="1"/>
  <c r="AE76" i="9"/>
  <c r="Y76" i="9" s="1"/>
  <c r="AE546" i="9"/>
  <c r="AE154" i="9"/>
  <c r="S154" i="9" s="1"/>
  <c r="AE598" i="9"/>
  <c r="AE75" i="9"/>
  <c r="AE615" i="9"/>
  <c r="AE239" i="9"/>
  <c r="Y239" i="9" s="1"/>
  <c r="AE491" i="9"/>
  <c r="Y491" i="9" s="1"/>
  <c r="AE401" i="9"/>
  <c r="AE532" i="9"/>
  <c r="Y532" i="9" s="1"/>
  <c r="AE46" i="9"/>
  <c r="AE476" i="9"/>
  <c r="AE328" i="9"/>
  <c r="AE603" i="9"/>
  <c r="AE321" i="9"/>
  <c r="AE502" i="9"/>
  <c r="AE364" i="9"/>
  <c r="Y364" i="9" s="1"/>
  <c r="AE628" i="9"/>
  <c r="Y628" i="9" s="1"/>
  <c r="AE189" i="9"/>
  <c r="AE624" i="9"/>
  <c r="AE233" i="9"/>
  <c r="Y233" i="9" s="1"/>
  <c r="AE520" i="9"/>
  <c r="S520" i="9" s="1"/>
  <c r="AE273" i="9"/>
  <c r="AE504" i="9"/>
  <c r="AE19" i="9"/>
  <c r="AE534" i="9"/>
  <c r="AE67" i="9"/>
  <c r="Y67" i="9" s="1"/>
  <c r="AE602" i="9"/>
  <c r="AE82" i="9"/>
  <c r="AE514" i="9"/>
  <c r="AE357" i="9"/>
  <c r="AE319" i="9"/>
  <c r="Y319" i="9" s="1"/>
  <c r="AE436" i="9"/>
  <c r="Y436" i="9" s="1"/>
  <c r="AE144" i="9"/>
  <c r="AE441" i="9"/>
  <c r="AE562" i="9"/>
  <c r="AE317" i="9"/>
  <c r="Y317" i="9" s="1"/>
  <c r="AE795" i="9"/>
  <c r="AE58" i="9"/>
  <c r="AE633" i="9"/>
  <c r="Y633" i="9" s="1"/>
  <c r="AE111" i="9"/>
  <c r="S111" i="9" s="1"/>
  <c r="AE785" i="9"/>
  <c r="Y785" i="9" s="1"/>
  <c r="AE336" i="9"/>
  <c r="Y336" i="9" s="1"/>
  <c r="AE728" i="9"/>
  <c r="AE379" i="9"/>
  <c r="AE763" i="9"/>
  <c r="AE176" i="9"/>
  <c r="AE612" i="9"/>
  <c r="AE26" i="9"/>
  <c r="Y26" i="9" s="1"/>
  <c r="AE439" i="9"/>
  <c r="Y439" i="9" s="1"/>
  <c r="AE393" i="9"/>
  <c r="AE445" i="9"/>
  <c r="AE52" i="9"/>
  <c r="Y52" i="9" s="1"/>
  <c r="AE595" i="9"/>
  <c r="AE277" i="9"/>
  <c r="AE788" i="9"/>
  <c r="AE134" i="9"/>
  <c r="AE470" i="9"/>
  <c r="AE92" i="9"/>
  <c r="S92" i="9" s="1"/>
  <c r="AE742" i="9"/>
  <c r="AE122" i="9"/>
  <c r="AE614" i="9"/>
  <c r="AE168" i="9"/>
  <c r="AE836" i="9"/>
  <c r="Y836" i="9" s="1"/>
  <c r="AE135" i="9"/>
  <c r="AE583" i="9"/>
  <c r="AE9" i="9"/>
  <c r="AE779" i="9"/>
  <c r="AE99" i="9"/>
  <c r="Y99" i="9" s="1"/>
  <c r="AE859" i="9"/>
  <c r="AE70" i="9"/>
  <c r="AE776" i="9"/>
  <c r="AE136" i="9"/>
  <c r="Y136" i="9" s="1"/>
  <c r="AE750" i="9"/>
  <c r="S750" i="9" s="1"/>
  <c r="AE300" i="9"/>
  <c r="AE452" i="9"/>
  <c r="AE353" i="9"/>
  <c r="AE833" i="9"/>
  <c r="AE71" i="9"/>
  <c r="AE756" i="9"/>
  <c r="Y756" i="9" s="1"/>
  <c r="AE114" i="9"/>
  <c r="Y114" i="9" s="1"/>
  <c r="AE856" i="9"/>
  <c r="AE22" i="9"/>
  <c r="Y22" i="9" s="1"/>
  <c r="AE838" i="9"/>
  <c r="AE198" i="9"/>
  <c r="Y198" i="9" s="1"/>
  <c r="AE843" i="9"/>
  <c r="AE407" i="9"/>
  <c r="AE865" i="9"/>
  <c r="AE292" i="9"/>
  <c r="AE734" i="9"/>
  <c r="Y734" i="9" s="1"/>
  <c r="AE190" i="9"/>
  <c r="Y190" i="9" s="1"/>
  <c r="AE766" i="9"/>
  <c r="AE219" i="9"/>
  <c r="AE651" i="9"/>
  <c r="AE156" i="9"/>
  <c r="AE526" i="9"/>
  <c r="Y526" i="9" s="1"/>
  <c r="AE247" i="9"/>
  <c r="AE775" i="9"/>
  <c r="AE359" i="9"/>
  <c r="S359" i="9" s="1"/>
  <c r="AE790" i="9"/>
  <c r="AE400" i="9"/>
  <c r="Y400" i="9" s="1"/>
  <c r="AE559" i="9"/>
  <c r="AE238" i="9"/>
  <c r="AE613" i="9"/>
  <c r="S613" i="9" s="1"/>
  <c r="AE267" i="9"/>
  <c r="Y267" i="9" s="1"/>
  <c r="AE667" i="9"/>
  <c r="Y667" i="9" s="1"/>
  <c r="AE145" i="9"/>
  <c r="AE849" i="9"/>
  <c r="AE210" i="9"/>
  <c r="AE571" i="9"/>
  <c r="AE153" i="9"/>
  <c r="Y153" i="9" s="1"/>
  <c r="AE753" i="9"/>
  <c r="AE355" i="9"/>
  <c r="Y355" i="9" s="1"/>
  <c r="AE530" i="9"/>
  <c r="AE131" i="9"/>
  <c r="S131" i="9" s="1"/>
  <c r="AE596" i="9"/>
  <c r="AE354" i="9"/>
  <c r="AE487" i="9"/>
  <c r="AE85" i="9"/>
  <c r="AE609" i="9"/>
  <c r="S609" i="9" s="1"/>
  <c r="AE399" i="9"/>
  <c r="AE570" i="9"/>
  <c r="Y570" i="9" s="1"/>
  <c r="AE287" i="9"/>
  <c r="Y287" i="9" s="1"/>
  <c r="AE524" i="9"/>
  <c r="AE306" i="9"/>
  <c r="S306" i="9" s="1"/>
  <c r="AE462" i="9"/>
  <c r="AE240" i="9"/>
  <c r="AE528" i="9"/>
  <c r="AE183" i="9"/>
  <c r="AE495" i="9"/>
  <c r="AE371" i="9"/>
  <c r="AE493" i="9"/>
  <c r="Y493" i="9" s="1"/>
  <c r="AE87" i="9"/>
  <c r="Y87" i="9" s="1"/>
  <c r="AE687" i="9"/>
  <c r="AE262" i="9"/>
  <c r="AE752" i="9"/>
  <c r="Y752" i="9" s="1"/>
  <c r="AE223" i="9"/>
  <c r="AE855" i="9"/>
  <c r="AE308" i="9"/>
  <c r="AE692" i="9"/>
  <c r="AE162" i="9"/>
  <c r="Y162" i="9" s="1"/>
  <c r="AE703" i="9"/>
  <c r="Y703" i="9" s="1"/>
  <c r="AE108" i="9"/>
  <c r="AE644" i="9"/>
  <c r="Y644" i="9" s="1"/>
  <c r="AE387" i="9"/>
  <c r="Y387" i="9" s="1"/>
  <c r="AE619" i="9"/>
  <c r="S619" i="9" s="1"/>
  <c r="AE252" i="9"/>
  <c r="S252" i="9" s="1"/>
  <c r="AE827" i="9"/>
  <c r="AE27" i="9"/>
  <c r="AE498" i="9"/>
  <c r="Y498" i="9" s="1"/>
  <c r="AE56" i="9"/>
  <c r="AE841" i="9"/>
  <c r="AE53" i="9"/>
  <c r="Y53" i="9" s="1"/>
  <c r="AE494" i="9"/>
  <c r="AE204" i="9"/>
  <c r="Y204" i="9" s="1"/>
  <c r="AE481" i="9"/>
  <c r="AE90" i="9"/>
  <c r="S90" i="9" s="1"/>
  <c r="AE676" i="9"/>
  <c r="AE285" i="9"/>
  <c r="AE454" i="9"/>
  <c r="Y454" i="9" s="1"/>
  <c r="AE174" i="9"/>
  <c r="AE555" i="9"/>
  <c r="AE180" i="9"/>
  <c r="Y180" i="9" s="1"/>
  <c r="AE589" i="9"/>
  <c r="AE197" i="9"/>
  <c r="AE497" i="9"/>
  <c r="AE225" i="9"/>
  <c r="AE816" i="9"/>
  <c r="Y816" i="9" s="1"/>
  <c r="AE326" i="9"/>
  <c r="Y326" i="9" s="1"/>
  <c r="AE854" i="9"/>
  <c r="AE275" i="9"/>
  <c r="AE852" i="9"/>
  <c r="AE374" i="9"/>
  <c r="Y374" i="9" s="1"/>
  <c r="AE437" i="9"/>
  <c r="AE205" i="9"/>
  <c r="AE553" i="9"/>
  <c r="AE424" i="9"/>
  <c r="Y424" i="9" s="1"/>
  <c r="AE581" i="9"/>
  <c r="AE97" i="9"/>
  <c r="Y97" i="9" s="1"/>
  <c r="AE563" i="9"/>
  <c r="AE293" i="9"/>
  <c r="Y293" i="9" s="1"/>
  <c r="AE726" i="9"/>
  <c r="Y726" i="9" s="1"/>
  <c r="AE310" i="9"/>
  <c r="AE480" i="9"/>
  <c r="S480" i="9" s="1"/>
  <c r="AE388" i="9"/>
  <c r="AE674" i="9"/>
  <c r="AE109" i="9"/>
  <c r="Y109" i="9" s="1"/>
  <c r="AE697" i="9"/>
  <c r="AE365" i="9"/>
  <c r="S365" i="9" s="1"/>
  <c r="AE434" i="9"/>
  <c r="Y434" i="9" s="1"/>
  <c r="AE299" i="9"/>
  <c r="AE560" i="9"/>
  <c r="AE51" i="9"/>
  <c r="Y51" i="9" s="1"/>
  <c r="AE844" i="9"/>
  <c r="AE44" i="9"/>
  <c r="AE755" i="9"/>
  <c r="AE246" i="9"/>
  <c r="Y246" i="9" s="1"/>
  <c r="AE808" i="9"/>
  <c r="AE394" i="9"/>
  <c r="AE864" i="9"/>
  <c r="S864" i="9" s="1"/>
  <c r="AE43" i="9"/>
  <c r="AE531" i="9"/>
  <c r="AE397" i="9"/>
  <c r="Y397" i="9" s="1"/>
  <c r="AE706" i="9"/>
  <c r="AE148" i="9"/>
  <c r="S148" i="9" s="1"/>
  <c r="AE643" i="9"/>
  <c r="Y643" i="9" s="1"/>
  <c r="AE80" i="9"/>
  <c r="AE837" i="9"/>
  <c r="Y837" i="9" s="1"/>
  <c r="AE257" i="9"/>
  <c r="S257" i="9" s="1"/>
  <c r="AE592" i="9"/>
  <c r="S592" i="9" s="1"/>
  <c r="AE361" i="9"/>
  <c r="AE829" i="9"/>
  <c r="AE231" i="9"/>
  <c r="Y231" i="9" s="1"/>
  <c r="AE822" i="9"/>
  <c r="Y822" i="9" s="1"/>
  <c r="AE416" i="9"/>
  <c r="AE577" i="9"/>
  <c r="AE64" i="9"/>
  <c r="Y64" i="9" s="1"/>
  <c r="AE618" i="9"/>
  <c r="AE420" i="9"/>
  <c r="Y420" i="9" s="1"/>
  <c r="AE672" i="9"/>
  <c r="AE391" i="9"/>
  <c r="Y391" i="9" s="1"/>
  <c r="AE810" i="9"/>
  <c r="Y810" i="9" s="1"/>
  <c r="AE107" i="9"/>
  <c r="AE477" i="9"/>
  <c r="Y477" i="9" s="1"/>
  <c r="AE350" i="9"/>
  <c r="AE724" i="9"/>
  <c r="AE396" i="9"/>
  <c r="S396" i="9" s="1"/>
  <c r="AE848" i="9"/>
  <c r="AE89" i="9"/>
  <c r="AE771" i="9"/>
  <c r="Y771" i="9" s="1"/>
  <c r="AE417" i="9"/>
  <c r="AE478" i="9"/>
  <c r="Y478" i="9" s="1"/>
  <c r="AE342" i="9"/>
  <c r="Y342" i="9" s="1"/>
  <c r="AE521" i="9"/>
  <c r="AE8" i="9"/>
  <c r="AE805" i="9"/>
  <c r="AE98" i="9"/>
  <c r="Y98" i="9" s="1"/>
  <c r="AE617" i="9"/>
  <c r="Y617" i="9" s="1"/>
  <c r="AE129" i="9"/>
  <c r="AE538" i="9"/>
  <c r="Y538" i="9" s="1"/>
  <c r="AE86" i="9"/>
  <c r="Y86" i="9" s="1"/>
  <c r="AE698" i="9"/>
  <c r="S698" i="9" s="1"/>
  <c r="AE296" i="9"/>
  <c r="Y296" i="9" s="1"/>
  <c r="AE488" i="9"/>
  <c r="AE403" i="9"/>
  <c r="S403" i="9" s="1"/>
  <c r="AE653" i="9"/>
  <c r="Y653" i="9" s="1"/>
  <c r="AE408" i="9"/>
  <c r="S408" i="9" s="1"/>
  <c r="AE767" i="9"/>
  <c r="Y767" i="9" s="1"/>
  <c r="AE112" i="9"/>
  <c r="Y112" i="9" s="1"/>
  <c r="AE832" i="9"/>
  <c r="AE165" i="9"/>
  <c r="Y165" i="9" s="1"/>
  <c r="AE683" i="9"/>
  <c r="AE28" i="9"/>
  <c r="AE819" i="9"/>
  <c r="Y819" i="9" s="1"/>
  <c r="AE334" i="9"/>
  <c r="AE620" i="9"/>
  <c r="Y620" i="9" s="1"/>
  <c r="AE291" i="9"/>
  <c r="Y291" i="9" s="1"/>
  <c r="AE796" i="9"/>
  <c r="AE59" i="9"/>
  <c r="Y59" i="9" s="1"/>
  <c r="AE745" i="9"/>
  <c r="AE427" i="9"/>
  <c r="Y427" i="9" s="1"/>
  <c r="AE759" i="9"/>
  <c r="AE380" i="9"/>
  <c r="AE716" i="9"/>
  <c r="Y716" i="9" s="1"/>
  <c r="AE79" i="9"/>
  <c r="S79" i="9" s="1"/>
  <c r="AE472" i="9"/>
  <c r="AE430" i="9"/>
  <c r="Y430" i="9" s="1"/>
  <c r="AE695" i="9"/>
  <c r="Y695" i="9" s="1"/>
  <c r="AE270" i="9"/>
  <c r="Y270" i="9" s="1"/>
  <c r="AE666" i="9"/>
  <c r="Y666" i="9" s="1"/>
  <c r="AE261" i="9"/>
  <c r="AE552" i="9"/>
  <c r="Y552" i="9" s="1"/>
  <c r="AE211" i="9"/>
  <c r="Y211" i="9" s="1"/>
  <c r="AE857" i="9"/>
  <c r="S857" i="9" s="1"/>
  <c r="AE360" i="9"/>
  <c r="Y360" i="9" s="1"/>
  <c r="AE622" i="9"/>
  <c r="AE15" i="9"/>
  <c r="Y15" i="9" s="1"/>
  <c r="AE747" i="9"/>
  <c r="Y747" i="9" s="1"/>
  <c r="AE404" i="9"/>
  <c r="AE658" i="9"/>
  <c r="AE269" i="9"/>
  <c r="Y269" i="9" s="1"/>
  <c r="S565" i="9" l="1"/>
  <c r="S490" i="9"/>
  <c r="S536" i="9"/>
  <c r="S232" i="9"/>
  <c r="S709" i="9"/>
  <c r="S454" i="9"/>
  <c r="S704" i="9"/>
  <c r="S633" i="9"/>
  <c r="S584" i="9"/>
  <c r="S151" i="9"/>
  <c r="Y611" i="9"/>
  <c r="S98" i="9"/>
  <c r="S367" i="9"/>
  <c r="S664" i="9"/>
  <c r="S654" i="9"/>
  <c r="Y638" i="9"/>
  <c r="S391" i="9"/>
  <c r="S364" i="9"/>
  <c r="S645" i="9"/>
  <c r="S830" i="9"/>
  <c r="S816" i="9"/>
  <c r="S315" i="9"/>
  <c r="S244" i="9"/>
  <c r="S688" i="9"/>
  <c r="S604" i="9"/>
  <c r="Y50" i="9"/>
  <c r="Y302" i="9"/>
  <c r="S211" i="9"/>
  <c r="S162" i="9"/>
  <c r="S547" i="9"/>
  <c r="S362" i="9"/>
  <c r="S762" i="9"/>
  <c r="S678" i="9"/>
  <c r="S695" i="9"/>
  <c r="S667" i="9"/>
  <c r="S661" i="9"/>
  <c r="S682" i="9"/>
  <c r="S496" i="9"/>
  <c r="Y592" i="9"/>
  <c r="Y184" i="9"/>
  <c r="Y256" i="9"/>
  <c r="S291" i="9"/>
  <c r="S756" i="9"/>
  <c r="S159" i="9"/>
  <c r="S402" i="9"/>
  <c r="S743" i="9"/>
  <c r="S66" i="9"/>
  <c r="Y208" i="9"/>
  <c r="S558" i="9"/>
  <c r="S620" i="9"/>
  <c r="S26" i="9"/>
  <c r="S39" i="9"/>
  <c r="S729" i="9"/>
  <c r="S529" i="9"/>
  <c r="S484" i="9"/>
  <c r="Y750" i="9"/>
  <c r="S109" i="9"/>
  <c r="Y675" i="9"/>
  <c r="S478" i="9"/>
  <c r="S97" i="9"/>
  <c r="S287" i="9"/>
  <c r="S99" i="9"/>
  <c r="S76" i="9"/>
  <c r="S260" i="9"/>
  <c r="S677" i="9"/>
  <c r="S435" i="9"/>
  <c r="S460" i="9"/>
  <c r="S760" i="9"/>
  <c r="Y864" i="9"/>
  <c r="Y92" i="9"/>
  <c r="S716" i="9"/>
  <c r="S477" i="9"/>
  <c r="S424" i="9"/>
  <c r="S570" i="9"/>
  <c r="S836" i="9"/>
  <c r="S339" i="9"/>
  <c r="S259" i="9"/>
  <c r="S853" i="9"/>
  <c r="S593" i="9"/>
  <c r="S758" i="9"/>
  <c r="S670" i="9"/>
  <c r="S149" i="9"/>
  <c r="S60" i="9"/>
  <c r="S31" i="9"/>
  <c r="S230" i="9"/>
  <c r="S719" i="9"/>
  <c r="S36" i="9"/>
  <c r="Y365" i="9"/>
  <c r="Y111" i="9"/>
  <c r="Y440" i="9"/>
  <c r="Y455" i="9"/>
  <c r="S179" i="9"/>
  <c r="S400" i="9"/>
  <c r="S773" i="9"/>
  <c r="S747" i="9"/>
  <c r="S819" i="9"/>
  <c r="S837" i="9"/>
  <c r="S498" i="9"/>
  <c r="S734" i="9"/>
  <c r="S317" i="9"/>
  <c r="S659" i="9"/>
  <c r="S606" i="9"/>
  <c r="S725" i="9"/>
  <c r="S512" i="9"/>
  <c r="S255" i="9"/>
  <c r="S152" i="9"/>
  <c r="S475" i="9"/>
  <c r="S761" i="9"/>
  <c r="S541" i="9"/>
  <c r="S665" i="9"/>
  <c r="Y79" i="9"/>
  <c r="Y306" i="9"/>
  <c r="Y72" i="9"/>
  <c r="Y29" i="9"/>
  <c r="Y283" i="9"/>
  <c r="S231" i="9"/>
  <c r="S169" i="9"/>
  <c r="S451" i="9"/>
  <c r="Y857" i="9"/>
  <c r="S15" i="9"/>
  <c r="S296" i="9"/>
  <c r="S387" i="9"/>
  <c r="S198" i="9"/>
  <c r="S67" i="9"/>
  <c r="S730" i="9"/>
  <c r="S242" i="9"/>
  <c r="S457" i="9"/>
  <c r="S171" i="9"/>
  <c r="S332" i="9"/>
  <c r="S146" i="9"/>
  <c r="S627" i="9"/>
  <c r="S456" i="9"/>
  <c r="S721" i="9"/>
  <c r="S842" i="9"/>
  <c r="S48" i="9"/>
  <c r="Y403" i="9"/>
  <c r="Y131" i="9"/>
  <c r="Y461" i="9"/>
  <c r="Y170" i="9"/>
  <c r="Y303" i="9"/>
  <c r="Y738" i="9"/>
  <c r="S594" i="9"/>
  <c r="Y90" i="9"/>
  <c r="S360" i="9"/>
  <c r="S86" i="9"/>
  <c r="S51" i="9"/>
  <c r="S703" i="9"/>
  <c r="S114" i="9"/>
  <c r="S628" i="9"/>
  <c r="S94" i="9"/>
  <c r="S245" i="9"/>
  <c r="S567" i="9"/>
  <c r="S327" i="9"/>
  <c r="S748" i="9"/>
  <c r="S130" i="9"/>
  <c r="S398" i="9"/>
  <c r="S783" i="9"/>
  <c r="S431" i="9"/>
  <c r="S681" i="9"/>
  <c r="S626" i="9"/>
  <c r="Y613" i="9"/>
  <c r="Y622" i="9"/>
  <c r="S622" i="9"/>
  <c r="Y745" i="9"/>
  <c r="S745" i="9"/>
  <c r="Y683" i="9"/>
  <c r="S683" i="9"/>
  <c r="Y488" i="9"/>
  <c r="S488" i="9"/>
  <c r="Y805" i="9"/>
  <c r="S805" i="9"/>
  <c r="S848" i="9"/>
  <c r="Y848" i="9"/>
  <c r="Y672" i="9"/>
  <c r="S672" i="9"/>
  <c r="Y829" i="9"/>
  <c r="S829" i="9"/>
  <c r="Y706" i="9"/>
  <c r="S706" i="9"/>
  <c r="Y755" i="9"/>
  <c r="S755" i="9"/>
  <c r="S697" i="9"/>
  <c r="Y697" i="9"/>
  <c r="Y563" i="9"/>
  <c r="S563" i="9"/>
  <c r="Y852" i="9"/>
  <c r="S852" i="9"/>
  <c r="Y589" i="9"/>
  <c r="S589" i="9"/>
  <c r="S481" i="9"/>
  <c r="Y481" i="9"/>
  <c r="Y827" i="9"/>
  <c r="S827" i="9"/>
  <c r="Y692" i="9"/>
  <c r="S692" i="9"/>
  <c r="S524" i="9"/>
  <c r="Y524" i="9"/>
  <c r="Y596" i="9"/>
  <c r="S596" i="9"/>
  <c r="Y849" i="9"/>
  <c r="S849" i="9"/>
  <c r="Y790" i="9"/>
  <c r="S790" i="9"/>
  <c r="Y766" i="9"/>
  <c r="S766" i="9"/>
  <c r="Y838" i="9"/>
  <c r="S838" i="9"/>
  <c r="S452" i="9"/>
  <c r="Y452" i="9"/>
  <c r="S779" i="9"/>
  <c r="Y779" i="9"/>
  <c r="Y742" i="9"/>
  <c r="S742" i="9"/>
  <c r="Y445" i="9"/>
  <c r="S445" i="9"/>
  <c r="Y728" i="9"/>
  <c r="S728" i="9"/>
  <c r="S562" i="9"/>
  <c r="Y562" i="9"/>
  <c r="Y602" i="9"/>
  <c r="S602" i="9"/>
  <c r="Y624" i="9"/>
  <c r="S624" i="9"/>
  <c r="Y476" i="9"/>
  <c r="S476" i="9"/>
  <c r="S598" i="9"/>
  <c r="Y598" i="9"/>
  <c r="Y769" i="9"/>
  <c r="S769" i="9"/>
  <c r="Y657" i="9"/>
  <c r="S657" i="9"/>
  <c r="Y513" i="9"/>
  <c r="S513" i="9"/>
  <c r="Y467" i="9"/>
  <c r="S467" i="9"/>
  <c r="Y515" i="9"/>
  <c r="S515" i="9"/>
  <c r="Y744" i="9"/>
  <c r="S744" i="9"/>
  <c r="Y824" i="9"/>
  <c r="S824" i="9"/>
  <c r="Y548" i="9"/>
  <c r="S548" i="9"/>
  <c r="Y649" i="9"/>
  <c r="S649" i="9"/>
  <c r="Y792" i="9"/>
  <c r="S792" i="9"/>
  <c r="S684" i="9"/>
  <c r="Y684" i="9"/>
  <c r="Y469" i="9"/>
  <c r="S469" i="9"/>
  <c r="Y621" i="9"/>
  <c r="S621" i="9"/>
  <c r="S500" i="9"/>
  <c r="Y500" i="9"/>
  <c r="Y680" i="9"/>
  <c r="S680" i="9"/>
  <c r="Y765" i="9"/>
  <c r="S765" i="9"/>
  <c r="S826" i="9"/>
  <c r="Y826" i="9"/>
  <c r="Y637" i="9"/>
  <c r="S637" i="9"/>
  <c r="Y453" i="9"/>
  <c r="S453" i="9"/>
  <c r="Y517" i="9"/>
  <c r="S517" i="9"/>
  <c r="Y791" i="9"/>
  <c r="S791" i="9"/>
  <c r="Y501" i="9"/>
  <c r="S501" i="9"/>
  <c r="S540" i="9"/>
  <c r="Y540" i="9"/>
  <c r="Y648" i="9"/>
  <c r="S648" i="9"/>
  <c r="Y516" i="9"/>
  <c r="S516" i="9"/>
  <c r="Y597" i="9"/>
  <c r="S597" i="9"/>
  <c r="Y573" i="9"/>
  <c r="S573" i="9"/>
  <c r="S493" i="9"/>
  <c r="S465" i="9"/>
  <c r="S250" i="9"/>
  <c r="S47" i="9"/>
  <c r="S153" i="9"/>
  <c r="Y408" i="9"/>
  <c r="S239" i="9"/>
  <c r="S404" i="9"/>
  <c r="Y404" i="9"/>
  <c r="Y261" i="9"/>
  <c r="S261" i="9"/>
  <c r="Y380" i="9"/>
  <c r="S380" i="9"/>
  <c r="Y334" i="9"/>
  <c r="S334" i="9"/>
  <c r="Y129" i="9"/>
  <c r="S129" i="9"/>
  <c r="Y417" i="9"/>
  <c r="S417" i="9"/>
  <c r="Y107" i="9"/>
  <c r="S107" i="9"/>
  <c r="Y416" i="9"/>
  <c r="S416" i="9"/>
  <c r="Y80" i="9"/>
  <c r="S80" i="9"/>
  <c r="Y394" i="9"/>
  <c r="S394" i="9"/>
  <c r="Y299" i="9"/>
  <c r="S299" i="9"/>
  <c r="Y310" i="9"/>
  <c r="S310" i="9"/>
  <c r="Y205" i="9"/>
  <c r="S205" i="9"/>
  <c r="S225" i="9"/>
  <c r="Y225" i="9"/>
  <c r="Y285" i="9"/>
  <c r="S285" i="9"/>
  <c r="Y56" i="9"/>
  <c r="S56" i="9"/>
  <c r="Y108" i="9"/>
  <c r="S108" i="9"/>
  <c r="Y262" i="9"/>
  <c r="S262" i="9"/>
  <c r="Y240" i="9"/>
  <c r="S240" i="9"/>
  <c r="Y85" i="9"/>
  <c r="S85" i="9"/>
  <c r="S238" i="9"/>
  <c r="Y238" i="9"/>
  <c r="Y156" i="9"/>
  <c r="S156" i="9"/>
  <c r="Y407" i="9"/>
  <c r="S407" i="9"/>
  <c r="Y71" i="9"/>
  <c r="S71" i="9"/>
  <c r="Y70" i="9"/>
  <c r="S70" i="9"/>
  <c r="Y168" i="9"/>
  <c r="S168" i="9"/>
  <c r="Y277" i="9"/>
  <c r="S277" i="9"/>
  <c r="Y176" i="9"/>
  <c r="S176" i="9"/>
  <c r="Y58" i="9"/>
  <c r="S58" i="9"/>
  <c r="Y357" i="9"/>
  <c r="S357" i="9"/>
  <c r="Y273" i="9"/>
  <c r="S273" i="9"/>
  <c r="Y321" i="9"/>
  <c r="S321" i="9"/>
  <c r="Y289" i="9"/>
  <c r="S289" i="9"/>
  <c r="Y337" i="9"/>
  <c r="S337" i="9"/>
  <c r="Y34" i="9"/>
  <c r="S34" i="9"/>
  <c r="Y347" i="9"/>
  <c r="S347" i="9"/>
  <c r="Y373" i="9"/>
  <c r="S373" i="9"/>
  <c r="Y309" i="9"/>
  <c r="S309" i="9"/>
  <c r="Y274" i="9"/>
  <c r="S274" i="9"/>
  <c r="Y237" i="9"/>
  <c r="S237" i="9"/>
  <c r="Y228" i="9"/>
  <c r="S228" i="9"/>
  <c r="Y61" i="9"/>
  <c r="S61" i="9"/>
  <c r="Y276" i="9"/>
  <c r="S276" i="9"/>
  <c r="Y212" i="9"/>
  <c r="S212" i="9"/>
  <c r="Y421" i="9"/>
  <c r="S421" i="9"/>
  <c r="Y116" i="9"/>
  <c r="S116" i="9"/>
  <c r="Y143" i="9"/>
  <c r="S143" i="9"/>
  <c r="Y381" i="9"/>
  <c r="S381" i="9"/>
  <c r="Y265" i="9"/>
  <c r="S265" i="9"/>
  <c r="Y323" i="9"/>
  <c r="S323" i="9"/>
  <c r="Y217" i="9"/>
  <c r="S217" i="9"/>
  <c r="Y93" i="9"/>
  <c r="S93" i="9"/>
  <c r="Y106" i="9"/>
  <c r="S106" i="9"/>
  <c r="Y191" i="9"/>
  <c r="S191" i="9"/>
  <c r="Y344" i="9"/>
  <c r="S344" i="9"/>
  <c r="Y263" i="9"/>
  <c r="S263" i="9"/>
  <c r="Y166" i="9"/>
  <c r="S166" i="9"/>
  <c r="Y45" i="9"/>
  <c r="S45" i="9"/>
  <c r="Y297" i="9"/>
  <c r="S297" i="9"/>
  <c r="Y349" i="9"/>
  <c r="S349" i="9"/>
  <c r="Y141" i="9"/>
  <c r="S141" i="9"/>
  <c r="Y284" i="9"/>
  <c r="S284" i="9"/>
  <c r="Y10" i="9"/>
  <c r="S10" i="9"/>
  <c r="Y12" i="9"/>
  <c r="S12" i="9"/>
  <c r="Y192" i="9"/>
  <c r="S192" i="9"/>
  <c r="Y356" i="9"/>
  <c r="S356" i="9"/>
  <c r="Y313" i="9"/>
  <c r="S313" i="9"/>
  <c r="Y20" i="9"/>
  <c r="S20" i="9"/>
  <c r="Y32" i="9"/>
  <c r="S32" i="9"/>
  <c r="Y57" i="9"/>
  <c r="S57" i="9"/>
  <c r="Y213" i="9"/>
  <c r="S213" i="9"/>
  <c r="Y214" i="9"/>
  <c r="S214" i="9"/>
  <c r="Y335" i="9"/>
  <c r="S335" i="9"/>
  <c r="Y25" i="9"/>
  <c r="S25" i="9"/>
  <c r="Y157" i="9"/>
  <c r="S157" i="9"/>
  <c r="Y181" i="9"/>
  <c r="S181" i="9"/>
  <c r="Y155" i="9"/>
  <c r="S155" i="9"/>
  <c r="Y433" i="9"/>
  <c r="S433" i="9"/>
  <c r="Y121" i="9"/>
  <c r="S121" i="9"/>
  <c r="Y164" i="9"/>
  <c r="S164" i="9"/>
  <c r="Y286" i="9"/>
  <c r="S286" i="9"/>
  <c r="Y345" i="9"/>
  <c r="S345" i="9"/>
  <c r="Y117" i="9"/>
  <c r="S117" i="9"/>
  <c r="Y13" i="9"/>
  <c r="S13" i="9"/>
  <c r="Y372" i="9"/>
  <c r="S372" i="9"/>
  <c r="Y358" i="9"/>
  <c r="S358" i="9"/>
  <c r="Y118" i="9"/>
  <c r="S118" i="9"/>
  <c r="Y311" i="9"/>
  <c r="S311" i="9"/>
  <c r="Y348" i="9"/>
  <c r="S348" i="9"/>
  <c r="Y200" i="9"/>
  <c r="S200" i="9"/>
  <c r="Y203" i="9"/>
  <c r="S203" i="9"/>
  <c r="Y298" i="9"/>
  <c r="S298" i="9"/>
  <c r="Y382" i="9"/>
  <c r="S382" i="9"/>
  <c r="Y324" i="9"/>
  <c r="S324" i="9"/>
  <c r="Y253" i="9"/>
  <c r="S253" i="9"/>
  <c r="Y69" i="9"/>
  <c r="S69" i="9"/>
  <c r="Y369" i="9"/>
  <c r="S369" i="9"/>
  <c r="Y392" i="9"/>
  <c r="S392" i="9"/>
  <c r="Y49" i="9"/>
  <c r="S49" i="9"/>
  <c r="Y288" i="9"/>
  <c r="S288" i="9"/>
  <c r="Y105" i="9"/>
  <c r="S105" i="9"/>
  <c r="Y759" i="9"/>
  <c r="S759" i="9"/>
  <c r="Y808" i="9"/>
  <c r="S808" i="9"/>
  <c r="Y437" i="9"/>
  <c r="S437" i="9"/>
  <c r="Y497" i="9"/>
  <c r="S497" i="9"/>
  <c r="Y676" i="9"/>
  <c r="S676" i="9"/>
  <c r="Y687" i="9"/>
  <c r="S687" i="9"/>
  <c r="Y462" i="9"/>
  <c r="S462" i="9"/>
  <c r="Y487" i="9"/>
  <c r="S487" i="9"/>
  <c r="Y571" i="9"/>
  <c r="S571" i="9"/>
  <c r="Y559" i="9"/>
  <c r="S559" i="9"/>
  <c r="S651" i="9"/>
  <c r="Y651" i="9"/>
  <c r="S843" i="9"/>
  <c r="Y843" i="9"/>
  <c r="Y833" i="9"/>
  <c r="S833" i="9"/>
  <c r="Y859" i="9"/>
  <c r="S859" i="9"/>
  <c r="Y614" i="9"/>
  <c r="S614" i="9"/>
  <c r="S595" i="9"/>
  <c r="Y595" i="9"/>
  <c r="S763" i="9"/>
  <c r="Y763" i="9"/>
  <c r="Y795" i="9"/>
  <c r="S795" i="9"/>
  <c r="S514" i="9"/>
  <c r="Y514" i="9"/>
  <c r="Y603" i="9"/>
  <c r="S603" i="9"/>
  <c r="Y615" i="9"/>
  <c r="S615" i="9"/>
  <c r="Y616" i="9"/>
  <c r="S616" i="9"/>
  <c r="S569" i="9"/>
  <c r="Y569" i="9"/>
  <c r="S727" i="9"/>
  <c r="Y727" i="9"/>
  <c r="Y846" i="9"/>
  <c r="S846" i="9"/>
  <c r="Y523" i="9"/>
  <c r="S523" i="9"/>
  <c r="Y642" i="9"/>
  <c r="S642" i="9"/>
  <c r="Y679" i="9"/>
  <c r="S679" i="9"/>
  <c r="S607" i="9"/>
  <c r="Y607" i="9"/>
  <c r="S714" i="9"/>
  <c r="Y714" i="9"/>
  <c r="Y809" i="9"/>
  <c r="S809" i="9"/>
  <c r="S459" i="9"/>
  <c r="Y459" i="9"/>
  <c r="Y811" i="9"/>
  <c r="S811" i="9"/>
  <c r="S655" i="9"/>
  <c r="Y655" i="9"/>
  <c r="Y736" i="9"/>
  <c r="S736" i="9"/>
  <c r="S543" i="9"/>
  <c r="Y543" i="9"/>
  <c r="Y786" i="9"/>
  <c r="S786" i="9"/>
  <c r="S557" i="9"/>
  <c r="Y557" i="9"/>
  <c r="Y821" i="9"/>
  <c r="S821" i="9"/>
  <c r="Y556" i="9"/>
  <c r="S556" i="9"/>
  <c r="S710" i="9"/>
  <c r="Y710" i="9"/>
  <c r="Y794" i="9"/>
  <c r="S794" i="9"/>
  <c r="Y735" i="9"/>
  <c r="S735" i="9"/>
  <c r="S438" i="9"/>
  <c r="Y438" i="9"/>
  <c r="Y579" i="9"/>
  <c r="S579" i="9"/>
  <c r="Y533" i="9"/>
  <c r="S533" i="9"/>
  <c r="S486" i="9"/>
  <c r="Y486" i="9"/>
  <c r="Y746" i="9"/>
  <c r="S746" i="9"/>
  <c r="S506" i="9"/>
  <c r="Y506" i="9"/>
  <c r="Y722" i="9"/>
  <c r="S722" i="9"/>
  <c r="S458" i="9"/>
  <c r="Y458" i="9"/>
  <c r="Y798" i="9"/>
  <c r="S798" i="9"/>
  <c r="Y662" i="9"/>
  <c r="S662" i="9"/>
  <c r="Y630" i="9"/>
  <c r="S630" i="9"/>
  <c r="Y554" i="9"/>
  <c r="S554" i="9"/>
  <c r="Y831" i="9"/>
  <c r="S831" i="9"/>
  <c r="Y818" i="9"/>
  <c r="S818" i="9"/>
  <c r="Y544" i="9"/>
  <c r="S544" i="9"/>
  <c r="Y787" i="9"/>
  <c r="S787" i="9"/>
  <c r="Y847" i="9"/>
  <c r="S847" i="9"/>
  <c r="Y782" i="9"/>
  <c r="S782" i="9"/>
  <c r="Y820" i="9"/>
  <c r="S820" i="9"/>
  <c r="Y582" i="9"/>
  <c r="S582" i="9"/>
  <c r="Y807" i="9"/>
  <c r="S807" i="9"/>
  <c r="Y580" i="9"/>
  <c r="S580" i="9"/>
  <c r="Y663" i="9"/>
  <c r="S663" i="9"/>
  <c r="Y858" i="9"/>
  <c r="S858" i="9"/>
  <c r="Y834" i="9"/>
  <c r="S834" i="9"/>
  <c r="Y447" i="9"/>
  <c r="S447" i="9"/>
  <c r="Y737" i="9"/>
  <c r="S737" i="9"/>
  <c r="Y652" i="9"/>
  <c r="S652" i="9"/>
  <c r="Y739" i="9"/>
  <c r="S739" i="9"/>
  <c r="Y508" i="9"/>
  <c r="S508" i="9"/>
  <c r="Y499" i="9"/>
  <c r="S499" i="9"/>
  <c r="Y446" i="9"/>
  <c r="S446" i="9"/>
  <c r="Y711" i="9"/>
  <c r="S711" i="9"/>
  <c r="Y591" i="9"/>
  <c r="S591" i="9"/>
  <c r="Y471" i="9"/>
  <c r="S471" i="9"/>
  <c r="Y806" i="9"/>
  <c r="S806" i="9"/>
  <c r="Y845" i="9"/>
  <c r="S845" i="9"/>
  <c r="Y463" i="9"/>
  <c r="S463" i="9"/>
  <c r="Y699" i="9"/>
  <c r="S699" i="9"/>
  <c r="Y518" i="9"/>
  <c r="S518" i="9"/>
  <c r="Y542" i="9"/>
  <c r="S542" i="9"/>
  <c r="Y631" i="9"/>
  <c r="S631" i="9"/>
  <c r="Y835" i="9"/>
  <c r="S835" i="9"/>
  <c r="Y568" i="9"/>
  <c r="S568" i="9"/>
  <c r="S430" i="9"/>
  <c r="S653" i="9"/>
  <c r="S726" i="9"/>
  <c r="S336" i="9"/>
  <c r="S11" i="9"/>
  <c r="S23" i="9"/>
  <c r="Y257" i="9"/>
  <c r="Y154" i="9"/>
  <c r="Y28" i="9"/>
  <c r="S28" i="9"/>
  <c r="Y89" i="9"/>
  <c r="S89" i="9"/>
  <c r="Y197" i="9"/>
  <c r="S197" i="9"/>
  <c r="Y27" i="9"/>
  <c r="S27" i="9"/>
  <c r="Y354" i="9"/>
  <c r="S354" i="9"/>
  <c r="Y210" i="9"/>
  <c r="S210" i="9"/>
  <c r="Y219" i="9"/>
  <c r="S219" i="9"/>
  <c r="Y353" i="9"/>
  <c r="S353" i="9"/>
  <c r="Y122" i="9"/>
  <c r="S122" i="9"/>
  <c r="Y379" i="9"/>
  <c r="S379" i="9"/>
  <c r="Y82" i="9"/>
  <c r="S82" i="9"/>
  <c r="Y328" i="9"/>
  <c r="S328" i="9"/>
  <c r="Y75" i="9"/>
  <c r="S75" i="9"/>
  <c r="S220" i="9"/>
  <c r="Y220" i="9"/>
  <c r="Y390" i="9"/>
  <c r="S390" i="9"/>
  <c r="Y412" i="9"/>
  <c r="S412" i="9"/>
  <c r="Y314" i="9"/>
  <c r="S314" i="9"/>
  <c r="Y150" i="9"/>
  <c r="S150" i="9"/>
  <c r="Y158" i="9"/>
  <c r="S158" i="9"/>
  <c r="Y161" i="9"/>
  <c r="S161" i="9"/>
  <c r="Y423" i="9"/>
  <c r="S423" i="9"/>
  <c r="Y295" i="9"/>
  <c r="S295" i="9"/>
  <c r="Y16" i="9"/>
  <c r="S16" i="9"/>
  <c r="Y329" i="9"/>
  <c r="S329" i="9"/>
  <c r="Y18" i="9"/>
  <c r="S18" i="9"/>
  <c r="Y139" i="9"/>
  <c r="S139" i="9"/>
  <c r="Y294" i="9"/>
  <c r="S294" i="9"/>
  <c r="Y199" i="9"/>
  <c r="S199" i="9"/>
  <c r="Y137" i="9"/>
  <c r="S137" i="9"/>
  <c r="Y55" i="9"/>
  <c r="S55" i="9"/>
  <c r="Y62" i="9"/>
  <c r="S62" i="9"/>
  <c r="S282" i="9"/>
  <c r="Y282" i="9"/>
  <c r="Y258" i="9"/>
  <c r="S258" i="9"/>
  <c r="Y363" i="9"/>
  <c r="S363" i="9"/>
  <c r="Y5" i="9"/>
  <c r="S5" i="9"/>
  <c r="S30" i="9"/>
  <c r="Y30" i="9"/>
  <c r="S2" i="9"/>
  <c r="Y2" i="9"/>
  <c r="Y38" i="9"/>
  <c r="S38" i="9"/>
  <c r="S271" i="9"/>
  <c r="Y271" i="9"/>
  <c r="Y173" i="9"/>
  <c r="S173" i="9"/>
  <c r="Y41" i="9"/>
  <c r="S41" i="9"/>
  <c r="Y389" i="9"/>
  <c r="S389" i="9"/>
  <c r="S352" i="9"/>
  <c r="Y352" i="9"/>
  <c r="Y91" i="9"/>
  <c r="S91" i="9"/>
  <c r="S279" i="9"/>
  <c r="Y279" i="9"/>
  <c r="Y209" i="9"/>
  <c r="S209" i="9"/>
  <c r="Y331" i="9"/>
  <c r="S331" i="9"/>
  <c r="Y266" i="9"/>
  <c r="S266" i="9"/>
  <c r="Y7" i="9"/>
  <c r="S7" i="9"/>
  <c r="S235" i="9"/>
  <c r="Y235" i="9"/>
  <c r="Y88" i="9"/>
  <c r="S88" i="9"/>
  <c r="S426" i="9"/>
  <c r="Y426" i="9"/>
  <c r="Y376" i="9"/>
  <c r="S376" i="9"/>
  <c r="Y123" i="9"/>
  <c r="S123" i="9"/>
  <c r="Y182" i="9"/>
  <c r="S182" i="9"/>
  <c r="S74" i="9"/>
  <c r="Y74" i="9"/>
  <c r="Y124" i="9"/>
  <c r="S124" i="9"/>
  <c r="S77" i="9"/>
  <c r="Y77" i="9"/>
  <c r="Y366" i="9"/>
  <c r="S366" i="9"/>
  <c r="Y54" i="9"/>
  <c r="S54" i="9"/>
  <c r="S110" i="9"/>
  <c r="Y110" i="9"/>
  <c r="Y268" i="9"/>
  <c r="S268" i="9"/>
  <c r="S342" i="9"/>
  <c r="S810" i="9"/>
  <c r="S246" i="9"/>
  <c r="S293" i="9"/>
  <c r="S180" i="9"/>
  <c r="S644" i="9"/>
  <c r="S267" i="9"/>
  <c r="S22" i="9"/>
  <c r="S785" i="9"/>
  <c r="S233" i="9"/>
  <c r="S549" i="9"/>
  <c r="S385" i="9"/>
  <c r="S4" i="9"/>
  <c r="S587" i="9"/>
  <c r="S37" i="9"/>
  <c r="S414" i="9"/>
  <c r="S316" i="9"/>
  <c r="S449" i="9"/>
  <c r="S222" i="9"/>
  <c r="S6" i="9"/>
  <c r="S320" i="9"/>
  <c r="S272" i="9"/>
  <c r="S351" i="9"/>
  <c r="S172" i="9"/>
  <c r="Y698" i="9"/>
  <c r="Y148" i="9"/>
  <c r="Y609" i="9"/>
  <c r="Y405" i="9"/>
  <c r="Y605" i="9"/>
  <c r="Y411" i="9"/>
  <c r="Y588" i="9"/>
  <c r="Y377" i="9"/>
  <c r="Y574" i="9"/>
  <c r="S574" i="9"/>
  <c r="S635" i="9"/>
  <c r="Y635" i="9"/>
  <c r="Y601" i="9"/>
  <c r="S601" i="9"/>
  <c r="Y632" i="9"/>
  <c r="S632" i="9"/>
  <c r="Y754" i="9"/>
  <c r="S754" i="9"/>
  <c r="Y564" i="9"/>
  <c r="S564" i="9"/>
  <c r="Y705" i="9"/>
  <c r="S705" i="9"/>
  <c r="Y732" i="9"/>
  <c r="S732" i="9"/>
  <c r="Y668" i="9"/>
  <c r="S668" i="9"/>
  <c r="Y300" i="9"/>
  <c r="S300" i="9"/>
  <c r="Y393" i="9"/>
  <c r="S393" i="9"/>
  <c r="Y46" i="9"/>
  <c r="S46" i="9"/>
  <c r="Y132" i="9"/>
  <c r="S132" i="9"/>
  <c r="Y216" i="9"/>
  <c r="S216" i="9"/>
  <c r="Y229" i="9"/>
  <c r="S229" i="9"/>
  <c r="Y68" i="9"/>
  <c r="S68" i="9"/>
  <c r="Y104" i="9"/>
  <c r="S104" i="9"/>
  <c r="Y33" i="9"/>
  <c r="S33" i="9"/>
  <c r="S236" i="9"/>
  <c r="Y236" i="9"/>
  <c r="Y418" i="9"/>
  <c r="S418" i="9"/>
  <c r="Y333" i="9"/>
  <c r="S333" i="9"/>
  <c r="Y95" i="9"/>
  <c r="S95" i="9"/>
  <c r="Y409" i="9"/>
  <c r="S409" i="9"/>
  <c r="Y301" i="9"/>
  <c r="S301" i="9"/>
  <c r="Y395" i="9"/>
  <c r="S395" i="9"/>
  <c r="Y24" i="9"/>
  <c r="S24" i="9"/>
  <c r="Y83" i="9"/>
  <c r="S83" i="9"/>
  <c r="Y322" i="9"/>
  <c r="S322" i="9"/>
  <c r="S643" i="9"/>
  <c r="S346" i="9"/>
  <c r="S177" i="9"/>
  <c r="S768" i="9"/>
  <c r="S802" i="9"/>
  <c r="Y252" i="9"/>
  <c r="Y702" i="9"/>
  <c r="Y472" i="9"/>
  <c r="S472" i="9"/>
  <c r="Y796" i="9"/>
  <c r="S796" i="9"/>
  <c r="Y832" i="9"/>
  <c r="S832" i="9"/>
  <c r="S521" i="9"/>
  <c r="Y521" i="9"/>
  <c r="Y724" i="9"/>
  <c r="S724" i="9"/>
  <c r="S618" i="9"/>
  <c r="Y618" i="9"/>
  <c r="Y531" i="9"/>
  <c r="S531" i="9"/>
  <c r="Y844" i="9"/>
  <c r="S844" i="9"/>
  <c r="S674" i="9"/>
  <c r="Y674" i="9"/>
  <c r="S581" i="9"/>
  <c r="Y581" i="9"/>
  <c r="Y854" i="9"/>
  <c r="S854" i="9"/>
  <c r="Y555" i="9"/>
  <c r="S555" i="9"/>
  <c r="S494" i="9"/>
  <c r="Y494" i="9"/>
  <c r="Y855" i="9"/>
  <c r="S855" i="9"/>
  <c r="Y495" i="9"/>
  <c r="S495" i="9"/>
  <c r="Y530" i="9"/>
  <c r="S530" i="9"/>
  <c r="Y775" i="9"/>
  <c r="S775" i="9"/>
  <c r="Y856" i="9"/>
  <c r="S856" i="9"/>
  <c r="Y583" i="9"/>
  <c r="S583" i="9"/>
  <c r="Y470" i="9"/>
  <c r="S470" i="9"/>
  <c r="Y144" i="9"/>
  <c r="S144" i="9"/>
  <c r="Y534" i="9"/>
  <c r="S534" i="9"/>
  <c r="Y546" i="9"/>
  <c r="S546" i="9"/>
  <c r="Y566" i="9"/>
  <c r="S566" i="9"/>
  <c r="Y689" i="9"/>
  <c r="S689" i="9"/>
  <c r="Y772" i="9"/>
  <c r="S772" i="9"/>
  <c r="Y519" i="9"/>
  <c r="S519" i="9"/>
  <c r="Y483" i="9"/>
  <c r="S483" i="9"/>
  <c r="Y784" i="9"/>
  <c r="S784" i="9"/>
  <c r="Y751" i="9"/>
  <c r="S751" i="9"/>
  <c r="Y450" i="9"/>
  <c r="S450" i="9"/>
  <c r="Y701" i="9"/>
  <c r="S701" i="9"/>
  <c r="Y448" i="9"/>
  <c r="S448" i="9"/>
  <c r="Y629" i="9"/>
  <c r="S629" i="9"/>
  <c r="Y522" i="9"/>
  <c r="S522" i="9"/>
  <c r="Y797" i="9"/>
  <c r="S797" i="9"/>
  <c r="Y686" i="9"/>
  <c r="S686" i="9"/>
  <c r="Y578" i="9"/>
  <c r="S578" i="9"/>
  <c r="Y715" i="9"/>
  <c r="S715" i="9"/>
  <c r="Y723" i="9"/>
  <c r="S723" i="9"/>
  <c r="Y650" i="9"/>
  <c r="S650" i="9"/>
  <c r="Y507" i="9"/>
  <c r="S507" i="9"/>
  <c r="Y545" i="9"/>
  <c r="S545" i="9"/>
  <c r="Y510" i="9"/>
  <c r="S510" i="9"/>
  <c r="Y474" i="9"/>
  <c r="S474" i="9"/>
  <c r="Y641" i="9"/>
  <c r="S641" i="9"/>
  <c r="S552" i="9"/>
  <c r="S427" i="9"/>
  <c r="S165" i="9"/>
  <c r="S538" i="9"/>
  <c r="S771" i="9"/>
  <c r="S64" i="9"/>
  <c r="S374" i="9"/>
  <c r="S204" i="9"/>
  <c r="S752" i="9"/>
  <c r="S526" i="9"/>
  <c r="S52" i="9"/>
  <c r="S436" i="9"/>
  <c r="S700" i="9"/>
  <c r="S330" i="9"/>
  <c r="S576" i="9"/>
  <c r="S188" i="9"/>
  <c r="S799" i="9"/>
  <c r="S202" i="9"/>
  <c r="S160" i="9"/>
  <c r="S126" i="9"/>
  <c r="S685" i="9"/>
  <c r="S817" i="9"/>
  <c r="S186" i="9"/>
  <c r="S660" i="9"/>
  <c r="S63" i="9"/>
  <c r="Y396" i="9"/>
  <c r="Y619" i="9"/>
  <c r="Y473" i="9"/>
  <c r="Y128" i="9"/>
  <c r="Y717" i="9"/>
  <c r="S717" i="9"/>
  <c r="Y673" i="9"/>
  <c r="S673" i="9"/>
  <c r="Y860" i="9"/>
  <c r="S860" i="9"/>
  <c r="Y778" i="9"/>
  <c r="S778" i="9"/>
  <c r="Y550" i="9"/>
  <c r="S550" i="9"/>
  <c r="Y600" i="9"/>
  <c r="S600" i="9"/>
  <c r="Y840" i="9"/>
  <c r="S840" i="9"/>
  <c r="Y442" i="9"/>
  <c r="S442" i="9"/>
  <c r="Y804" i="9"/>
  <c r="S804" i="9"/>
  <c r="Y656" i="9"/>
  <c r="S656" i="9"/>
  <c r="Y8" i="9"/>
  <c r="S8" i="9"/>
  <c r="Y361" i="9"/>
  <c r="S361" i="9"/>
  <c r="Y44" i="9"/>
  <c r="S44" i="9"/>
  <c r="Y275" i="9"/>
  <c r="S275" i="9"/>
  <c r="Y308" i="9"/>
  <c r="S308" i="9"/>
  <c r="Y9" i="9"/>
  <c r="S9" i="9"/>
  <c r="S227" i="9"/>
  <c r="Y227" i="9"/>
  <c r="Y406" i="9"/>
  <c r="S406" i="9"/>
  <c r="Y35" i="9"/>
  <c r="S35" i="9"/>
  <c r="Y96" i="9"/>
  <c r="S96" i="9"/>
  <c r="Y432" i="9"/>
  <c r="S432" i="9"/>
  <c r="Y428" i="9"/>
  <c r="S428" i="9"/>
  <c r="Y368" i="9"/>
  <c r="S368" i="9"/>
  <c r="Y193" i="9"/>
  <c r="S193" i="9"/>
  <c r="Y21" i="9"/>
  <c r="S21" i="9"/>
  <c r="Y133" i="9"/>
  <c r="S133" i="9"/>
  <c r="Y251" i="9"/>
  <c r="S251" i="9"/>
  <c r="Y140" i="9"/>
  <c r="S140" i="9"/>
  <c r="Y370" i="9"/>
  <c r="S370" i="9"/>
  <c r="Y167" i="9"/>
  <c r="S167" i="9"/>
  <c r="Y142" i="9"/>
  <c r="S142" i="9"/>
  <c r="Y248" i="9"/>
  <c r="S248" i="9"/>
  <c r="Y350" i="9"/>
  <c r="S350" i="9"/>
  <c r="Y388" i="9"/>
  <c r="S388" i="9"/>
  <c r="Y223" i="9"/>
  <c r="S223" i="9"/>
  <c r="Y183" i="9"/>
  <c r="S183" i="9"/>
  <c r="Y247" i="9"/>
  <c r="S247" i="9"/>
  <c r="Y135" i="9"/>
  <c r="S135" i="9"/>
  <c r="Y19" i="9"/>
  <c r="S19" i="9"/>
  <c r="Y401" i="9"/>
  <c r="S401" i="9"/>
  <c r="Y343" i="9"/>
  <c r="S343" i="9"/>
  <c r="Y290" i="9"/>
  <c r="S290" i="9"/>
  <c r="Y100" i="9"/>
  <c r="S100" i="9"/>
  <c r="Y187" i="9"/>
  <c r="S187" i="9"/>
  <c r="Y65" i="9"/>
  <c r="S65" i="9"/>
  <c r="Y78" i="9"/>
  <c r="S78" i="9"/>
  <c r="Y340" i="9"/>
  <c r="S340" i="9"/>
  <c r="S115" i="9"/>
  <c r="Y115" i="9"/>
  <c r="Y17" i="9"/>
  <c r="S17" i="9"/>
  <c r="Y243" i="9"/>
  <c r="S243" i="9"/>
  <c r="Y102" i="9"/>
  <c r="S102" i="9"/>
  <c r="S413" i="9"/>
  <c r="Y413" i="9"/>
  <c r="Y278" i="9"/>
  <c r="S278" i="9"/>
  <c r="Y195" i="9"/>
  <c r="S195" i="9"/>
  <c r="Y196" i="9"/>
  <c r="S196" i="9"/>
  <c r="Y14" i="9"/>
  <c r="S14" i="9"/>
  <c r="S218" i="9"/>
  <c r="Y218" i="9"/>
  <c r="Y147" i="9"/>
  <c r="S147" i="9"/>
  <c r="Y234" i="9"/>
  <c r="S234" i="9"/>
  <c r="Y103" i="9"/>
  <c r="S103" i="9"/>
  <c r="Y40" i="9"/>
  <c r="S40" i="9"/>
  <c r="S101" i="9"/>
  <c r="Y101" i="9"/>
  <c r="Y375" i="9"/>
  <c r="S375" i="9"/>
  <c r="S378" i="9"/>
  <c r="Y378" i="9"/>
  <c r="Y425" i="9"/>
  <c r="S425" i="9"/>
  <c r="S185" i="9"/>
  <c r="Y185" i="9"/>
  <c r="Y42" i="9"/>
  <c r="S42" i="9"/>
  <c r="Y207" i="9"/>
  <c r="S207" i="9"/>
  <c r="S163" i="9"/>
  <c r="Y163" i="9"/>
  <c r="Y280" i="9"/>
  <c r="S280" i="9"/>
  <c r="S415" i="9"/>
  <c r="Y415" i="9"/>
  <c r="Y318" i="9"/>
  <c r="S318" i="9"/>
  <c r="S3" i="9"/>
  <c r="Y3" i="9"/>
  <c r="Y304" i="9"/>
  <c r="S304" i="9"/>
  <c r="S307" i="9"/>
  <c r="Y307" i="9"/>
  <c r="Y281" i="9"/>
  <c r="S281" i="9"/>
  <c r="S194" i="9"/>
  <c r="Y194" i="9"/>
  <c r="Y127" i="9"/>
  <c r="S127" i="9"/>
  <c r="S269" i="9"/>
  <c r="S666" i="9"/>
  <c r="S112" i="9"/>
  <c r="S434" i="9"/>
  <c r="S53" i="9"/>
  <c r="S136" i="9"/>
  <c r="S319" i="9"/>
  <c r="S532" i="9"/>
  <c r="S422" i="9"/>
  <c r="S138" i="9"/>
  <c r="S640" i="9"/>
  <c r="S113" i="9"/>
  <c r="S443" i="9"/>
  <c r="S249" i="9"/>
  <c r="S691" i="9"/>
  <c r="S718" i="9"/>
  <c r="S419" i="9"/>
  <c r="S119" i="9"/>
  <c r="S305" i="9"/>
  <c r="S733" i="9"/>
  <c r="S479" i="9"/>
  <c r="Y480" i="9"/>
  <c r="Y359" i="9"/>
  <c r="Y713" i="9"/>
  <c r="Y535" i="9"/>
  <c r="Y175" i="9"/>
  <c r="Y386" i="9"/>
  <c r="Y254" i="9"/>
  <c r="Y505" i="9"/>
  <c r="S505" i="9"/>
  <c r="Y694" i="9"/>
  <c r="S694" i="9"/>
  <c r="Y572" i="9"/>
  <c r="S572" i="9"/>
  <c r="Y468" i="9"/>
  <c r="S468" i="9"/>
  <c r="Y741" i="9"/>
  <c r="S741" i="9"/>
  <c r="Y492" i="9"/>
  <c r="S492" i="9"/>
  <c r="Y537" i="9"/>
  <c r="S537" i="9"/>
  <c r="Y527" i="9"/>
  <c r="S527" i="9"/>
  <c r="Y610" i="9"/>
  <c r="S610" i="9"/>
  <c r="Y764" i="9"/>
  <c r="S764" i="9"/>
  <c r="Y850" i="9"/>
  <c r="S850" i="9"/>
  <c r="Y863" i="9"/>
  <c r="S863" i="9"/>
  <c r="S815" i="9"/>
  <c r="Y371" i="9"/>
  <c r="S371" i="9"/>
  <c r="Y145" i="9"/>
  <c r="S145" i="9"/>
  <c r="Y441" i="9"/>
  <c r="S441" i="9"/>
  <c r="Y189" i="9"/>
  <c r="S189" i="9"/>
  <c r="Y429" i="9"/>
  <c r="S429" i="9"/>
  <c r="Y264" i="9"/>
  <c r="S264" i="9"/>
  <c r="Y73" i="9"/>
  <c r="S73" i="9"/>
  <c r="Y325" i="9"/>
  <c r="S325" i="9"/>
  <c r="Y215" i="9"/>
  <c r="S215" i="9"/>
  <c r="Y226" i="9"/>
  <c r="S226" i="9"/>
  <c r="Y201" i="9"/>
  <c r="S201" i="9"/>
  <c r="Y384" i="9"/>
  <c r="S384" i="9"/>
  <c r="Y312" i="9"/>
  <c r="S312" i="9"/>
  <c r="Y383" i="9"/>
  <c r="S383" i="9"/>
  <c r="Y81" i="9"/>
  <c r="S81" i="9"/>
  <c r="Y241" i="9"/>
  <c r="S241" i="9"/>
  <c r="Y120" i="9"/>
  <c r="S120" i="9"/>
  <c r="Y178" i="9"/>
  <c r="S178" i="9"/>
  <c r="Y224" i="9"/>
  <c r="S224" i="9"/>
  <c r="S420" i="9"/>
  <c r="Y781" i="9"/>
  <c r="Y43" i="9"/>
  <c r="S43" i="9"/>
  <c r="Y174" i="9"/>
  <c r="S174" i="9"/>
  <c r="Y399" i="9"/>
  <c r="S399" i="9"/>
  <c r="Y292" i="9"/>
  <c r="S292" i="9"/>
  <c r="Y134" i="9"/>
  <c r="S134" i="9"/>
  <c r="Y658" i="9"/>
  <c r="S658" i="9"/>
  <c r="Y577" i="9"/>
  <c r="S577" i="9"/>
  <c r="Y560" i="9"/>
  <c r="S560" i="9"/>
  <c r="Y553" i="9"/>
  <c r="S553" i="9"/>
  <c r="Y841" i="9"/>
  <c r="S841" i="9"/>
  <c r="Y528" i="9"/>
  <c r="S528" i="9"/>
  <c r="Y753" i="9"/>
  <c r="S753" i="9"/>
  <c r="Y865" i="9"/>
  <c r="S865" i="9"/>
  <c r="Y776" i="9"/>
  <c r="S776" i="9"/>
  <c r="Y788" i="9"/>
  <c r="S788" i="9"/>
  <c r="Y612" i="9"/>
  <c r="S612" i="9"/>
  <c r="Y504" i="9"/>
  <c r="S504" i="9"/>
  <c r="Y502" i="9"/>
  <c r="S502" i="9"/>
  <c r="Y525" i="9"/>
  <c r="S525" i="9"/>
  <c r="Y839" i="9"/>
  <c r="S839" i="9"/>
  <c r="Y671" i="9"/>
  <c r="S671" i="9"/>
  <c r="Y608" i="9"/>
  <c r="S608" i="9"/>
  <c r="Y862" i="9"/>
  <c r="S862" i="9"/>
  <c r="Y575" i="9"/>
  <c r="S575" i="9"/>
  <c r="Y740" i="9"/>
  <c r="S740" i="9"/>
  <c r="Y669" i="9"/>
  <c r="S669" i="9"/>
  <c r="Y731" i="9"/>
  <c r="S731" i="9"/>
  <c r="Y757" i="9"/>
  <c r="S757" i="9"/>
  <c r="Y825" i="9"/>
  <c r="S825" i="9"/>
  <c r="S270" i="9"/>
  <c r="S59" i="9"/>
  <c r="S767" i="9"/>
  <c r="S617" i="9"/>
  <c r="S822" i="9"/>
  <c r="S397" i="9"/>
  <c r="S326" i="9"/>
  <c r="S87" i="9"/>
  <c r="S355" i="9"/>
  <c r="S190" i="9"/>
  <c r="S439" i="9"/>
  <c r="S491" i="9"/>
  <c r="S84" i="9"/>
  <c r="S410" i="9"/>
  <c r="S539" i="9"/>
  <c r="S774" i="9"/>
  <c r="S338" i="9"/>
  <c r="S770" i="9"/>
  <c r="S634" i="9"/>
  <c r="S646" i="9"/>
  <c r="S341" i="9"/>
  <c r="Y520" i="9"/>
  <c r="Y206" i="9"/>
  <c r="Y509" i="9"/>
  <c r="Y221" i="9"/>
  <c r="Y125" i="9"/>
  <c r="Y464" i="9"/>
  <c r="S464" i="9"/>
  <c r="Y585" i="9"/>
  <c r="S585" i="9"/>
  <c r="Y777" i="9"/>
  <c r="S777" i="9"/>
  <c r="Y793" i="9"/>
  <c r="S793" i="9"/>
  <c r="Y814" i="9"/>
  <c r="S814" i="9"/>
  <c r="Y851" i="9"/>
  <c r="S851" i="9"/>
  <c r="Y707" i="9"/>
  <c r="S707" i="9"/>
  <c r="Y780" i="9"/>
  <c r="S780" i="9"/>
  <c r="Y636" i="9"/>
  <c r="S636" i="9"/>
  <c r="Y812" i="9"/>
  <c r="S812" i="9"/>
  <c r="Y466" i="9"/>
  <c r="S466" i="9"/>
  <c r="Y444" i="9"/>
  <c r="S444" i="9"/>
  <c r="Y813" i="9"/>
  <c r="S813" i="9"/>
  <c r="Y489" i="9"/>
  <c r="S489" i="9"/>
  <c r="Y803" i="9"/>
  <c r="S803" i="9"/>
  <c r="Y561" i="9"/>
  <c r="S561" i="9"/>
  <c r="Y586" i="9"/>
  <c r="S586" i="9"/>
  <c r="Y801" i="9"/>
  <c r="S801" i="9"/>
  <c r="Y828" i="9"/>
  <c r="S828" i="9"/>
  <c r="S708" i="9"/>
  <c r="S696" i="9"/>
  <c r="S625" i="9"/>
  <c r="S551" i="9"/>
  <c r="Y599" i="9"/>
  <c r="Y789" i="9"/>
  <c r="Y800" i="9"/>
  <c r="Y623" i="9"/>
  <c r="S647" i="9"/>
  <c r="S693" i="9"/>
  <c r="Y503" i="9"/>
  <c r="S861" i="9"/>
  <c r="S720" i="9"/>
  <c r="S712" i="9"/>
  <c r="S639" i="9"/>
  <c r="S823" i="9"/>
  <c r="S511" i="9"/>
  <c r="S690" i="9"/>
  <c r="S482" i="9"/>
  <c r="S485" i="9"/>
  <c r="S749" i="9"/>
  <c r="S590" i="9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  <author/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  <comment ref="E1" authorId="1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comments6.xml><?xml version="1.0" encoding="utf-8"?>
<comments xmlns="http://schemas.openxmlformats.org/spreadsheetml/2006/main">
  <authors>
    <author>Tyfanie Bourlet</author>
  </authors>
  <commentList>
    <comment ref="Y7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Attention!! Données non exploitable : Fertilisation trop proche du calcul de l'INN</t>
        </r>
      </text>
    </comment>
  </commentList>
</comments>
</file>

<file path=xl/comments7.xml><?xml version="1.0" encoding="utf-8"?>
<comments xmlns="http://schemas.openxmlformats.org/spreadsheetml/2006/main">
  <authors>
    <author>younous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younous:</t>
        </r>
        <r>
          <rPr>
            <sz val="9"/>
            <color indexed="81"/>
            <rFont val="Tahoma"/>
            <charset val="1"/>
          </rPr>
          <t xml:space="preserve">
Attention erreur de l'agriculteur sur la planche 1 ( Y 01) toute la première planche a reçu 70 U d'azote et non 0)
</t>
        </r>
      </text>
    </comment>
  </commentList>
</comments>
</file>

<file path=xl/sharedStrings.xml><?xml version="1.0" encoding="utf-8"?>
<sst xmlns="http://schemas.openxmlformats.org/spreadsheetml/2006/main" count="13583" uniqueCount="9404">
  <si>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</si>
  <si>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</si>
  <si>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</si>
  <si>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</si>
  <si>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</si>
  <si>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</si>
  <si>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</si>
  <si>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</si>
  <si>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</si>
  <si>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</si>
  <si>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</si>
  <si>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</si>
  <si>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</si>
  <si>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</si>
  <si>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</si>
  <si>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</si>
  <si>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</si>
  <si>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</si>
  <si>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</si>
  <si>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</si>
  <si>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</si>
  <si>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</si>
  <si>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</si>
  <si>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</si>
  <si>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</si>
  <si>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</si>
  <si>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</si>
  <si>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</si>
  <si>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</si>
  <si>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</si>
  <si>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</si>
  <si>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</si>
  <si>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</si>
  <si>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</si>
  <si>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</si>
  <si>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</si>
  <si>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</si>
  <si>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</si>
  <si>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</si>
  <si>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</si>
  <si>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</si>
  <si>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</si>
  <si>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</si>
  <si>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</si>
  <si>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</si>
  <si>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</si>
  <si>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</si>
  <si>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</si>
  <si>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</si>
  <si>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</si>
  <si>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</si>
  <si>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</si>
  <si>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</si>
  <si>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</si>
  <si>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</si>
  <si>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</si>
  <si>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</si>
  <si>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</si>
  <si>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</si>
  <si>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</si>
  <si>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</si>
  <si>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</si>
  <si>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</si>
  <si>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</si>
  <si>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</si>
  <si>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</si>
  <si>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</si>
  <si>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</si>
  <si>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</si>
  <si>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</si>
  <si>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</si>
  <si>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</si>
  <si>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</si>
  <si>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</si>
  <si>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</si>
  <si>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</si>
  <si>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</si>
  <si>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</si>
  <si>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</si>
  <si>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</si>
  <si>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</si>
  <si>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</si>
  <si>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</si>
  <si>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</si>
  <si>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</si>
  <si>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</si>
  <si>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</si>
  <si>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</si>
  <si>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</si>
  <si>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</si>
  <si>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</si>
  <si>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</si>
  <si>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</si>
  <si>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</si>
  <si>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</si>
  <si>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</si>
  <si>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</si>
  <si>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</si>
  <si>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</si>
  <si>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</si>
  <si>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</si>
  <si>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</si>
  <si>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</si>
  <si>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</si>
  <si>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</si>
  <si>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</si>
  <si>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</si>
  <si>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</si>
  <si>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</si>
  <si>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</si>
  <si>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</si>
  <si>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</si>
  <si>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</si>
  <si>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</si>
  <si>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</si>
  <si>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</si>
  <si>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</si>
  <si>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</si>
  <si>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</si>
  <si>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</si>
  <si>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</si>
  <si>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</si>
  <si>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</si>
  <si>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</si>
  <si>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</si>
  <si>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</si>
  <si>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</si>
  <si>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</si>
  <si>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</si>
  <si>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</si>
  <si>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</si>
  <si>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</si>
  <si>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</si>
  <si>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</si>
  <si>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</si>
  <si>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</si>
  <si>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</si>
  <si>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</si>
  <si>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</si>
  <si>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</si>
  <si>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</si>
  <si>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</si>
  <si>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</si>
  <si>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</si>
  <si>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</si>
  <si>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</si>
  <si>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</si>
  <si>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</si>
  <si>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</si>
  <si>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</si>
  <si>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</si>
  <si>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</si>
  <si>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</si>
  <si>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</si>
  <si>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</si>
  <si>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</si>
  <si>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</si>
  <si>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</si>
  <si>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</si>
  <si>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</si>
  <si>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</si>
  <si>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</si>
  <si>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</si>
  <si>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</si>
  <si>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</si>
  <si>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</si>
  <si>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</si>
  <si>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</si>
  <si>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</si>
  <si>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</si>
  <si>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</si>
  <si>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</si>
  <si>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</si>
  <si>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</si>
  <si>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</si>
  <si>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</si>
  <si>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</si>
  <si>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</si>
  <si>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</si>
  <si>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</si>
  <si>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</si>
  <si>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</si>
  <si>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</si>
  <si>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</si>
  <si>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</si>
  <si>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</si>
  <si>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</si>
  <si>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</si>
  <si>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</si>
  <si>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</si>
  <si>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</si>
  <si>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</si>
  <si>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</si>
  <si>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</si>
  <si>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</si>
  <si>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</si>
  <si>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</si>
  <si>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</si>
  <si>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</si>
  <si>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</si>
  <si>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</si>
  <si>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</si>
  <si>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</si>
  <si>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</si>
  <si>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</si>
  <si>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</si>
  <si>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</si>
  <si>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</si>
  <si>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</si>
  <si>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</si>
  <si>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</si>
  <si>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</si>
  <si>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</si>
  <si>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</si>
  <si>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</si>
  <si>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</si>
  <si>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</si>
  <si>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</si>
  <si>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</si>
  <si>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</si>
  <si>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</si>
  <si>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</si>
  <si>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</si>
  <si>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</si>
  <si>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</si>
  <si>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</si>
  <si>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</si>
  <si>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</si>
  <si>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</si>
  <si>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</si>
  <si>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</si>
  <si>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</si>
  <si>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</si>
  <si>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</si>
  <si>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</si>
  <si>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</si>
  <si>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</si>
  <si>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</si>
  <si>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</si>
  <si>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</si>
  <si>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</si>
  <si>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</si>
  <si>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</si>
  <si>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</si>
  <si>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Nesi</t>
  </si>
  <si>
    <t>Nathalie</t>
  </si>
  <si>
    <t>nathalie.nesi@rennes.inra.fr</t>
  </si>
  <si>
    <t>IGEPP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</si>
  <si>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</si>
  <si>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</si>
  <si>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</si>
  <si>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</si>
  <si>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</si>
  <si>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</si>
  <si>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</si>
  <si>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</si>
  <si>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</si>
  <si>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</si>
  <si>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</si>
  <si>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</si>
  <si>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Warzanwski</t>
  </si>
  <si>
    <t>Forto</t>
  </si>
  <si>
    <t>Colvert</t>
  </si>
  <si>
    <t>Pacific</t>
  </si>
  <si>
    <t>Mikado</t>
  </si>
  <si>
    <t>Contact</t>
  </si>
  <si>
    <t>Express</t>
  </si>
  <si>
    <t>Nain de Hambourg</t>
  </si>
  <si>
    <t>Azote</t>
  </si>
  <si>
    <t>N1</t>
  </si>
  <si>
    <t>azote limitant</t>
  </si>
  <si>
    <t>N2</t>
  </si>
  <si>
    <t>azote optimal</t>
  </si>
  <si>
    <t>bloc</t>
  </si>
  <si>
    <t>plot</t>
  </si>
  <si>
    <t>parcelle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</si>
  <si>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</si>
  <si>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</si>
  <si>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</si>
  <si>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</si>
  <si>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</si>
  <si>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</si>
  <si>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</si>
  <si>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</si>
  <si>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</si>
  <si>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</si>
  <si>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</si>
  <si>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</si>
  <si>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</si>
  <si>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</si>
  <si>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</si>
  <si>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</si>
  <si>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</si>
  <si>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</si>
  <si>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</si>
  <si>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</si>
  <si>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</si>
  <si>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</si>
  <si>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</si>
  <si>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</si>
  <si>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</si>
  <si>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</si>
  <si>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</si>
  <si>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</si>
  <si>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</si>
  <si>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</si>
  <si>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</si>
  <si>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</si>
  <si>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</si>
  <si>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</si>
  <si>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</si>
  <si>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</si>
  <si>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</si>
  <si>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</si>
  <si>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</si>
  <si>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</si>
  <si>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</si>
  <si>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</si>
  <si>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</si>
  <si>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</si>
  <si>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</si>
  <si>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</si>
  <si>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</si>
  <si>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</si>
  <si>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</si>
  <si>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</si>
  <si>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</si>
  <si>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</si>
  <si>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</si>
  <si>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</si>
  <si>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</si>
  <si>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</si>
  <si>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</si>
  <si>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</si>
  <si>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</si>
  <si>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</si>
  <si>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</si>
  <si>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</si>
  <si>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</si>
  <si>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</si>
  <si>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</si>
  <si>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</si>
  <si>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</si>
  <si>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</si>
  <si>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</si>
  <si>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</si>
  <si>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</si>
  <si>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</si>
  <si>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</si>
  <si>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</si>
  <si>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</si>
  <si>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</si>
  <si>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</si>
  <si>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</si>
  <si>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</si>
  <si>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</si>
  <si>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</si>
  <si>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</si>
  <si>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</si>
  <si>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</si>
  <si>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</si>
  <si>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</si>
  <si>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</si>
  <si>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</si>
  <si>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</si>
  <si>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</si>
  <si>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</si>
  <si>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</si>
  <si>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</si>
  <si>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</si>
  <si>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</si>
  <si>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</si>
  <si>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</si>
  <si>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</si>
  <si>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</si>
  <si>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</si>
  <si>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</si>
  <si>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</si>
  <si>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</si>
  <si>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</si>
  <si>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</si>
  <si>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</si>
  <si>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</si>
  <si>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</si>
  <si>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</si>
  <si>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</si>
  <si>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</si>
  <si>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</si>
  <si>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</si>
  <si>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</si>
  <si>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</si>
  <si>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</si>
  <si>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</si>
  <si>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</si>
  <si>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</si>
  <si>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</si>
  <si>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</si>
  <si>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</si>
  <si>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</si>
  <si>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</si>
  <si>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</si>
  <si>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</si>
  <si>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</si>
  <si>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</si>
  <si>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</si>
  <si>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</si>
  <si>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</si>
  <si>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</si>
  <si>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</si>
  <si>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</si>
  <si>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</si>
  <si>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</si>
  <si>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</si>
  <si>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</si>
  <si>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</si>
  <si>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</si>
  <si>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</si>
  <si>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</si>
  <si>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</si>
  <si>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</si>
  <si>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</si>
  <si>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</si>
  <si>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</si>
  <si>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</si>
  <si>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</si>
  <si>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</si>
  <si>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</si>
  <si>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</si>
  <si>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</si>
  <si>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</si>
  <si>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</si>
  <si>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</si>
  <si>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</si>
  <si>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</si>
  <si>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</si>
  <si>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</si>
  <si>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</si>
  <si>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</si>
  <si>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</si>
  <si>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</si>
  <si>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</si>
  <si>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</si>
  <si>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</si>
  <si>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</si>
  <si>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</si>
  <si>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</si>
  <si>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</si>
  <si>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</si>
  <si>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</si>
  <si>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</si>
  <si>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</si>
  <si>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</si>
  <si>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</si>
  <si>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</si>
  <si>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</si>
  <si>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</si>
  <si>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</si>
  <si>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</si>
  <si>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</si>
  <si>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</si>
  <si>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</si>
  <si>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</si>
  <si>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</si>
  <si>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</si>
  <si>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</si>
  <si>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</si>
  <si>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</si>
  <si>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</si>
  <si>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</si>
  <si>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</si>
  <si>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</si>
  <si>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</si>
  <si>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</si>
  <si>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</si>
  <si>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</si>
  <si>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</si>
  <si>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</si>
  <si>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</si>
  <si>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</si>
  <si>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</si>
  <si>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</si>
  <si>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</si>
  <si>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</si>
  <si>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</si>
  <si>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</si>
  <si>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</si>
  <si>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</si>
  <si>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</si>
  <si>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</si>
  <si>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</si>
  <si>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</si>
  <si>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</si>
  <si>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</si>
  <si>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</si>
  <si>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</si>
  <si>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</si>
  <si>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</si>
  <si>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</si>
  <si>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</si>
  <si>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</si>
  <si>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</si>
  <si>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</si>
  <si>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</si>
  <si>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</si>
  <si>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</si>
  <si>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</si>
  <si>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</si>
  <si>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</si>
  <si>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</si>
  <si>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</si>
  <si>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</si>
  <si>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</si>
  <si>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</si>
  <si>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</si>
  <si>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</si>
  <si>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</si>
  <si>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</si>
  <si>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</si>
  <si>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</si>
  <si>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</si>
  <si>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</si>
  <si>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</si>
  <si>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</si>
  <si>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</si>
  <si>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</si>
  <si>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</si>
  <si>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</si>
  <si>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</si>
  <si>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</si>
  <si>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</si>
  <si>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</si>
  <si>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</si>
  <si>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</si>
  <si>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</si>
  <si>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</si>
  <si>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</si>
  <si>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</si>
  <si>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</si>
  <si>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</si>
  <si>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</si>
  <si>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</si>
  <si>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</si>
  <si>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</si>
  <si>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</si>
  <si>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</si>
  <si>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</si>
  <si>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</si>
  <si>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</si>
  <si>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</si>
  <si>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</si>
  <si>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</si>
  <si>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</si>
  <si>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</si>
  <si>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</si>
  <si>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</si>
  <si>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</si>
  <si>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</si>
  <si>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</si>
  <si>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</si>
  <si>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</si>
  <si>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</si>
  <si>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</si>
  <si>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</si>
  <si>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</si>
  <si>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</si>
  <si>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</si>
  <si>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</si>
  <si>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</si>
  <si>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</si>
  <si>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</si>
  <si>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</si>
  <si>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</si>
  <si>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</si>
  <si>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</si>
  <si>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</si>
  <si>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</si>
  <si>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</si>
  <si>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</si>
  <si>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</si>
  <si>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</si>
  <si>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</si>
  <si>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</si>
  <si>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</si>
  <si>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</si>
  <si>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</si>
  <si>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</si>
  <si>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</si>
  <si>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</si>
  <si>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</si>
  <si>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</si>
  <si>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</si>
  <si>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</si>
  <si>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</si>
  <si>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</si>
  <si>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</si>
  <si>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</si>
  <si>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</si>
  <si>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</si>
  <si>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</si>
  <si>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</si>
  <si>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</si>
  <si>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</si>
  <si>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</si>
  <si>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</si>
  <si>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</si>
  <si>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</si>
  <si>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</si>
  <si>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</si>
  <si>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</si>
  <si>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</si>
  <si>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</si>
  <si>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</si>
  <si>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</si>
  <si>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</si>
  <si>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</si>
  <si>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</si>
  <si>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</si>
  <si>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</si>
  <si>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</si>
  <si>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</si>
  <si>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</si>
  <si>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</si>
  <si>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</si>
  <si>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</si>
  <si>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</si>
  <si>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</si>
  <si>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</si>
  <si>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</si>
  <si>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</si>
  <si>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</si>
  <si>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</si>
  <si>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</si>
  <si>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</si>
  <si>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</si>
  <si>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</si>
  <si>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</si>
  <si>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</si>
  <si>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</si>
  <si>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</si>
  <si>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</si>
  <si>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</si>
  <si>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</si>
  <si>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</si>
  <si>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</si>
  <si>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</si>
  <si>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</si>
  <si>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</si>
  <si>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</si>
  <si>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</si>
  <si>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</si>
  <si>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</si>
  <si>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</si>
  <si>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</si>
  <si>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</si>
  <si>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</si>
  <si>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</si>
  <si>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</si>
  <si>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</si>
  <si>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</si>
  <si>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</si>
  <si>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</si>
  <si>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</si>
  <si>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</si>
  <si>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</si>
  <si>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</si>
  <si>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</si>
  <si>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</si>
  <si>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</si>
  <si>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</si>
  <si>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</si>
  <si>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</si>
  <si>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</si>
  <si>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</si>
  <si>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</si>
  <si>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</si>
  <si>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</si>
  <si>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</si>
  <si>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</si>
  <si>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</si>
  <si>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</si>
  <si>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</si>
  <si>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</si>
  <si>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</si>
  <si>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</si>
  <si>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</si>
  <si>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</si>
  <si>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</si>
  <si>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</si>
  <si>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</si>
  <si>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</si>
  <si>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</si>
  <si>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</si>
  <si>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</si>
  <si>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</si>
  <si>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</si>
  <si>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</si>
  <si>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</si>
  <si>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</si>
  <si>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</si>
  <si>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</si>
  <si>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</si>
  <si>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</si>
  <si>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</si>
  <si>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</si>
  <si>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</si>
  <si>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</si>
  <si>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</si>
  <si>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</si>
  <si>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</si>
  <si>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</si>
  <si>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</si>
  <si>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</si>
  <si>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</si>
  <si>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</si>
  <si>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</si>
  <si>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</si>
  <si>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</si>
  <si>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</si>
  <si>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</si>
  <si>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</si>
  <si>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</si>
  <si>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</si>
  <si>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</si>
  <si>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</si>
  <si>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</si>
  <si>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</si>
  <si>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</si>
  <si>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</si>
  <si>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</si>
  <si>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</si>
  <si>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</si>
  <si>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</si>
  <si>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</si>
  <si>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</si>
  <si>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</si>
  <si>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</si>
  <si>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</si>
  <si>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</si>
  <si>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</si>
  <si>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</si>
  <si>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</si>
  <si>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</si>
  <si>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</si>
  <si>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</si>
  <si>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</si>
  <si>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</si>
  <si>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</si>
  <si>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</si>
  <si>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</si>
  <si>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</si>
  <si>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</si>
  <si>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</si>
  <si>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</si>
  <si>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</si>
  <si>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</si>
  <si>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</si>
  <si>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</si>
  <si>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</si>
  <si>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</si>
  <si>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</si>
  <si>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</si>
  <si>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</si>
  <si>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</si>
  <si>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</si>
  <si>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</si>
  <si>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</si>
  <si>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</si>
  <si>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</si>
  <si>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</si>
  <si>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</si>
  <si>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</si>
  <si>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</si>
  <si>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</si>
  <si>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</si>
  <si>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</si>
  <si>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</si>
  <si>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</si>
  <si>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</si>
  <si>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</si>
  <si>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</si>
  <si>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</si>
  <si>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</si>
  <si>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</si>
  <si>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</si>
  <si>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</si>
  <si>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</si>
  <si>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</si>
  <si>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</si>
  <si>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</si>
  <si>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</si>
  <si>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</si>
  <si>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</si>
  <si>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</si>
  <si>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</si>
  <si>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</si>
  <si>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</si>
  <si>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</si>
  <si>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</si>
  <si>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</si>
  <si>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</si>
  <si>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</si>
  <si>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</si>
  <si>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</si>
  <si>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</si>
  <si>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</si>
  <si>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</si>
  <si>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</si>
  <si>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</si>
  <si>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</si>
  <si>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</si>
  <si>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</si>
  <si>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</si>
  <si>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</si>
  <si>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</si>
  <si>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</si>
  <si>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</si>
  <si>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</si>
  <si>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</si>
  <si>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</si>
  <si>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</si>
  <si>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</si>
  <si>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</si>
  <si>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</si>
  <si>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</si>
  <si>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</si>
  <si>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</si>
  <si>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</si>
  <si>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</si>
  <si>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</si>
  <si>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</si>
  <si>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</si>
  <si>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</si>
  <si>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</si>
  <si>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</si>
  <si>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</si>
  <si>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</si>
  <si>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</si>
  <si>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</si>
  <si>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</si>
  <si>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</si>
  <si>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</si>
  <si>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</si>
  <si>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</si>
  <si>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</si>
  <si>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</si>
  <si>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</si>
  <si>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</si>
  <si>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</si>
  <si>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</si>
  <si>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</si>
  <si>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</si>
  <si>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</si>
  <si>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</si>
  <si>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</si>
  <si>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</si>
  <si>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</si>
  <si>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</si>
  <si>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</si>
  <si>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</si>
  <si>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</si>
  <si>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</si>
  <si>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</si>
  <si>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</si>
  <si>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</si>
  <si>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</si>
  <si>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</si>
  <si>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</si>
  <si>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</si>
  <si>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</si>
  <si>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</si>
  <si>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</si>
  <si>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</si>
  <si>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</si>
  <si>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</si>
  <si>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</si>
  <si>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</si>
  <si>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</si>
  <si>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</si>
  <si>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</si>
  <si>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</si>
  <si>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</si>
  <si>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</si>
  <si>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</si>
  <si>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</si>
  <si>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</si>
  <si>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</si>
  <si>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</si>
  <si>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</si>
  <si>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</si>
  <si>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</si>
  <si>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</si>
  <si>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</si>
  <si>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</si>
  <si>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</si>
  <si>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</si>
  <si>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</si>
  <si>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</si>
  <si>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</si>
  <si>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</si>
  <si>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</si>
  <si>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</si>
  <si>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</si>
  <si>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</si>
  <si>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</si>
  <si>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</si>
  <si>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</si>
  <si>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</si>
  <si>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</si>
  <si>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</si>
  <si>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</si>
  <si>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</si>
  <si>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</si>
  <si>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</si>
  <si>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</si>
  <si>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</si>
  <si>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</si>
  <si>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</si>
  <si>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</si>
  <si>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</si>
  <si>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</si>
  <si>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</si>
  <si>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</si>
  <si>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</si>
  <si>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</si>
  <si>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</si>
  <si>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</si>
  <si>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</si>
  <si>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</si>
  <si>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</si>
  <si>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</si>
  <si>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</si>
  <si>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</si>
  <si>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</si>
  <si>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</si>
  <si>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</si>
  <si>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</si>
  <si>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</si>
  <si>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</si>
  <si>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</si>
  <si>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</si>
  <si>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</si>
  <si>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</si>
  <si>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</si>
  <si>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</si>
  <si>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</si>
  <si>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</si>
  <si>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</si>
  <si>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</si>
  <si>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</si>
  <si>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</si>
  <si>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</si>
  <si>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</si>
  <si>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</si>
  <si>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</si>
  <si>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</si>
  <si>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</si>
  <si>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</si>
  <si>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</si>
  <si>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</si>
  <si>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</si>
  <si>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</si>
  <si>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</si>
  <si>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</si>
  <si>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</si>
  <si>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</si>
  <si>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</si>
  <si>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</si>
  <si>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</si>
  <si>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</si>
  <si>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</si>
  <si>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</si>
  <si>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</si>
  <si>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</si>
  <si>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</si>
  <si>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</si>
  <si>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</si>
  <si>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</si>
  <si>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</si>
  <si>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</si>
  <si>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</si>
  <si>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</si>
  <si>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</si>
  <si>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</si>
  <si>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</si>
  <si>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</si>
  <si>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</si>
  <si>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</si>
  <si>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</si>
  <si>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</si>
  <si>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</si>
  <si>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</si>
  <si>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</si>
  <si>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</si>
  <si>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</si>
  <si>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</si>
  <si>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</si>
  <si>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</si>
  <si>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</si>
  <si>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</si>
  <si>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</si>
  <si>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</si>
  <si>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</si>
  <si>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</si>
  <si>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</si>
  <si>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</si>
  <si>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</si>
  <si>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</si>
  <si>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</si>
  <si>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</si>
  <si>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</si>
  <si>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</si>
  <si>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</si>
  <si>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</si>
  <si>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</si>
  <si>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</si>
  <si>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</si>
  <si>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</si>
  <si>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</si>
  <si>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</si>
  <si>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</si>
  <si>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</si>
  <si>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</si>
  <si>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</si>
  <si>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</si>
  <si>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</si>
  <si>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</si>
  <si>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</si>
  <si>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</si>
  <si>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</si>
  <si>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</si>
  <si>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</si>
  <si>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</si>
  <si>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</si>
  <si>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</si>
  <si>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</si>
  <si>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</si>
  <si>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</si>
  <si>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</si>
  <si>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</si>
  <si>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</si>
  <si>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</si>
  <si>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</si>
  <si>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</si>
  <si>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</si>
  <si>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</si>
  <si>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</si>
  <si>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</si>
  <si>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</si>
  <si>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</si>
  <si>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</si>
  <si>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</si>
  <si>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</si>
  <si>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</si>
  <si>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</si>
  <si>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</si>
  <si>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</si>
  <si>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</si>
  <si>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</si>
  <si>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</si>
  <si>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</si>
  <si>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</si>
  <si>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</si>
  <si>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</si>
  <si>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</si>
  <si>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</si>
  <si>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</si>
  <si>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</si>
  <si>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</si>
  <si>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</si>
  <si>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</si>
  <si>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</si>
  <si>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</si>
  <si>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</si>
  <si>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</si>
  <si>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</si>
  <si>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</si>
  <si>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</si>
  <si>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</si>
  <si>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</si>
  <si>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</si>
  <si>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</si>
  <si>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</si>
  <si>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</si>
  <si>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</si>
  <si>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</si>
  <si>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</si>
  <si>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</si>
  <si>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</si>
  <si>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</si>
  <si>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</si>
  <si>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</si>
  <si>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</si>
  <si>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</si>
  <si>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</si>
  <si>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</si>
  <si>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</si>
  <si>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</si>
  <si>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</si>
  <si>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</si>
  <si>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</si>
  <si>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</si>
  <si>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</si>
  <si>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</si>
  <si>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</si>
  <si>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</si>
  <si>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</si>
  <si>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</si>
  <si>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</si>
  <si>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</si>
  <si>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</si>
  <si>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</si>
  <si>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</si>
  <si>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</si>
  <si>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</si>
  <si>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</si>
  <si>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</si>
  <si>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</si>
  <si>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</si>
  <si>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</si>
  <si>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</si>
  <si>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</si>
  <si>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</si>
  <si>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</si>
  <si>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</si>
  <si>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</si>
  <si>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</si>
  <si>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</si>
  <si>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</si>
  <si>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</si>
  <si>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</si>
  <si>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</si>
  <si>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</si>
  <si>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</si>
  <si>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</si>
  <si>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</si>
  <si>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</si>
  <si>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</si>
  <si>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</si>
  <si>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</si>
  <si>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</si>
  <si>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</si>
  <si>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</si>
  <si>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</si>
  <si>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</si>
  <si>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</si>
  <si>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</si>
  <si>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</si>
  <si>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</si>
  <si>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</si>
  <si>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</si>
  <si>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</si>
  <si>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</si>
  <si>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</si>
  <si>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</si>
  <si>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</si>
  <si>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</si>
  <si>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</si>
  <si>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</si>
  <si>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</si>
  <si>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</si>
  <si>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</si>
  <si>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</si>
  <si>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</si>
  <si>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</si>
  <si>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</si>
  <si>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</si>
  <si>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</si>
  <si>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</si>
  <si>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</si>
  <si>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</si>
  <si>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</si>
  <si>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</si>
  <si>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</si>
  <si>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</si>
  <si>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</si>
  <si>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</si>
  <si>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</si>
  <si>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</si>
  <si>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</si>
  <si>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</si>
  <si>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</si>
  <si>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</si>
  <si>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</si>
  <si>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</si>
  <si>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</si>
  <si>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</si>
  <si>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</si>
  <si>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</si>
  <si>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</si>
  <si>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</si>
  <si>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</si>
  <si>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</si>
  <si>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</si>
  <si>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</si>
  <si>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</si>
  <si>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</si>
  <si>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</si>
  <si>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</si>
  <si>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</si>
  <si>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</si>
  <si>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</si>
  <si>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</si>
  <si>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</si>
  <si>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</si>
  <si>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</si>
  <si>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</si>
  <si>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</si>
  <si>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</si>
  <si>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</si>
  <si>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</si>
  <si>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</si>
  <si>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</si>
  <si>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</si>
  <si>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</si>
  <si>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</si>
  <si>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</si>
  <si>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</si>
  <si>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</si>
  <si>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</si>
  <si>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</si>
  <si>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</si>
  <si>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</si>
  <si>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</si>
  <si>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</si>
  <si>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</si>
  <si>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</si>
  <si>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</si>
  <si>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</si>
  <si>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</si>
  <si>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</si>
  <si>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</si>
  <si>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</si>
  <si>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</si>
  <si>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</si>
  <si>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</si>
  <si>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</si>
  <si>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</si>
  <si>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</si>
  <si>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</si>
  <si>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</si>
  <si>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</si>
  <si>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</si>
  <si>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</si>
  <si>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</si>
  <si>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</si>
  <si>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</si>
  <si>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</si>
  <si>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</si>
  <si>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</si>
  <si>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</si>
  <si>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</si>
  <si>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</si>
  <si>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</si>
  <si>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</si>
  <si>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</si>
  <si>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</si>
  <si>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</si>
  <si>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</si>
  <si>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</si>
  <si>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</si>
  <si>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</si>
  <si>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</si>
  <si>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</si>
  <si>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</si>
  <si>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</si>
  <si>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</si>
  <si>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</si>
  <si>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</si>
  <si>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</si>
  <si>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</si>
  <si>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</si>
  <si>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</si>
  <si>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</si>
  <si>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</si>
  <si>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</si>
  <si>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</si>
  <si>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</si>
  <si>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</si>
  <si>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</si>
  <si>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</si>
  <si>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</si>
  <si>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</si>
  <si>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</si>
  <si>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</si>
  <si>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</si>
  <si>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</si>
  <si>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</si>
  <si>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</si>
  <si>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</si>
  <si>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</si>
  <si>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</si>
  <si>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</si>
  <si>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</si>
  <si>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</si>
  <si>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</si>
  <si>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</si>
  <si>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</si>
  <si>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</si>
  <si>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</si>
  <si>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</si>
  <si>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</si>
  <si>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</si>
  <si>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</si>
  <si>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</si>
  <si>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</si>
  <si>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</si>
  <si>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</si>
  <si>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</si>
  <si>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</si>
  <si>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</si>
  <si>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</si>
  <si>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</si>
  <si>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</si>
  <si>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</si>
  <si>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</si>
  <si>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</si>
  <si>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</si>
  <si>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</si>
  <si>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</si>
  <si>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</si>
  <si>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</si>
  <si>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</si>
  <si>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</si>
  <si>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</si>
  <si>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</si>
  <si>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</si>
  <si>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</si>
  <si>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</si>
  <si>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</si>
  <si>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</si>
  <si>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</si>
  <si>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</si>
  <si>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</si>
  <si>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</si>
  <si>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</si>
  <si>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</si>
  <si>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</si>
  <si>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</si>
  <si>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</si>
  <si>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</si>
  <si>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</si>
  <si>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</si>
  <si>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</si>
  <si>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</si>
  <si>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</si>
  <si>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</si>
  <si>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</si>
  <si>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</si>
  <si>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</si>
  <si>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</si>
  <si>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</si>
  <si>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</si>
  <si>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</si>
  <si>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</si>
  <si>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</si>
  <si>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</si>
  <si>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</si>
  <si>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</si>
  <si>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</si>
  <si>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</si>
  <si>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</si>
  <si>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</si>
  <si>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</si>
  <si>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</si>
  <si>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</si>
  <si>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</si>
  <si>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</si>
  <si>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</si>
  <si>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</si>
  <si>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</si>
  <si>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</si>
  <si>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</si>
  <si>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</si>
  <si>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</si>
  <si>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</si>
  <si>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</si>
  <si>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</si>
  <si>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</si>
  <si>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</si>
  <si>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</si>
  <si>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</si>
  <si>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</si>
  <si>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</si>
  <si>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</si>
  <si>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</si>
  <si>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</si>
  <si>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</si>
  <si>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</si>
  <si>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</si>
  <si>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</si>
  <si>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</si>
  <si>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</si>
  <si>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</si>
  <si>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</si>
  <si>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</si>
  <si>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</si>
  <si>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</si>
  <si>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</si>
  <si>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</si>
  <si>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</si>
  <si>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</si>
  <si>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</si>
  <si>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</si>
  <si>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</si>
  <si>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</si>
  <si>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</si>
  <si>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</si>
  <si>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</si>
  <si>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</si>
  <si>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</si>
  <si>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</si>
  <si>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</si>
  <si>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</si>
  <si>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</si>
  <si>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</si>
  <si>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</si>
  <si>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</si>
  <si>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</si>
  <si>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</si>
  <si>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</si>
  <si>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</si>
  <si>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</si>
  <si>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</si>
  <si>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</si>
  <si>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</si>
  <si>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</si>
  <si>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</si>
  <si>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</si>
  <si>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</si>
  <si>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</si>
  <si>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</si>
  <si>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</si>
  <si>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</si>
  <si>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</si>
  <si>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</si>
  <si>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</si>
  <si>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</si>
  <si>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</si>
  <si>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</si>
  <si>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</si>
  <si>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</si>
  <si>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</si>
  <si>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</si>
  <si>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</si>
  <si>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</si>
  <si>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</si>
  <si>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</si>
  <si>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</si>
  <si>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</si>
  <si>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</si>
  <si>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</si>
  <si>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</si>
  <si>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</si>
  <si>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</si>
  <si>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</si>
  <si>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</si>
  <si>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</si>
  <si>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</si>
  <si>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</si>
  <si>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</si>
  <si>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</si>
  <si>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</si>
  <si>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</si>
  <si>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</si>
  <si>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</si>
  <si>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</si>
  <si>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</si>
  <si>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</si>
  <si>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</si>
  <si>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</si>
  <si>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</si>
  <si>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</si>
  <si>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</si>
  <si>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</si>
  <si>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</si>
  <si>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</si>
  <si>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</si>
  <si>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</si>
  <si>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</si>
  <si>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</si>
  <si>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</si>
  <si>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</si>
  <si>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</si>
  <si>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</si>
  <si>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</si>
  <si>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</si>
  <si>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</si>
  <si>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</si>
  <si>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</si>
  <si>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</si>
  <si>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</si>
  <si>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</si>
  <si>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</si>
  <si>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</si>
  <si>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</si>
  <si>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</si>
  <si>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</si>
  <si>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</si>
  <si>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</si>
  <si>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</si>
  <si>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</si>
  <si>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</si>
  <si>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</si>
  <si>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</si>
  <si>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</si>
  <si>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</si>
  <si>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</si>
  <si>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</si>
  <si>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</si>
  <si>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</si>
  <si>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</si>
  <si>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</si>
  <si>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</si>
  <si>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</si>
  <si>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</si>
  <si>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</si>
  <si>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</si>
  <si>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</si>
  <si>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</si>
  <si>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</si>
  <si>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</si>
  <si>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</si>
  <si>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</si>
  <si>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</si>
  <si>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</si>
  <si>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</si>
  <si>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</si>
  <si>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</si>
  <si>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</si>
  <si>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</si>
  <si>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</si>
  <si>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</si>
  <si>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</si>
  <si>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</si>
  <si>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</si>
  <si>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</si>
  <si>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</si>
  <si>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</si>
  <si>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</si>
  <si>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</si>
  <si>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</si>
  <si>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</si>
  <si>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</si>
  <si>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</si>
  <si>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</si>
  <si>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</si>
  <si>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</si>
  <si>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</si>
  <si>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</si>
  <si>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</si>
  <si>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</si>
  <si>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</si>
  <si>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</si>
  <si>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</si>
  <si>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</si>
  <si>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</si>
  <si>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</si>
  <si>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</si>
  <si>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</si>
  <si>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</si>
  <si>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</si>
  <si>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</si>
  <si>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</si>
  <si>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</si>
  <si>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</si>
  <si>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</si>
  <si>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</si>
  <si>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</si>
  <si>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</si>
  <si>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</si>
  <si>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</si>
  <si>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</si>
  <si>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</si>
  <si>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</si>
  <si>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</si>
  <si>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</si>
  <si>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</si>
  <si>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</si>
  <si>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</si>
  <si>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</si>
  <si>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</si>
  <si>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</si>
  <si>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</si>
  <si>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</si>
  <si>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</si>
  <si>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</si>
  <si>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</si>
  <si>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</si>
  <si>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</si>
  <si>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</si>
  <si>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</si>
  <si>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</si>
  <si>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</si>
  <si>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</si>
  <si>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</si>
  <si>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</si>
  <si>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</si>
  <si>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</si>
  <si>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</si>
  <si>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</si>
  <si>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</si>
  <si>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</si>
  <si>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</si>
  <si>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</si>
  <si>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</si>
  <si>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</si>
  <si>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</si>
  <si>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</si>
  <si>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</si>
  <si>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</si>
  <si>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</si>
  <si>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</si>
  <si>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</si>
  <si>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</si>
  <si>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</si>
  <si>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</si>
  <si>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</si>
  <si>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</si>
  <si>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</si>
  <si>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</si>
  <si>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</si>
  <si>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</si>
  <si>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</si>
  <si>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</si>
  <si>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</si>
  <si>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</si>
  <si>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</si>
  <si>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</si>
  <si>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</si>
  <si>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</si>
  <si>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</si>
  <si>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</si>
  <si>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</si>
  <si>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</si>
  <si>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</si>
  <si>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</si>
  <si>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</si>
  <si>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</si>
  <si>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</si>
  <si>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</si>
  <si>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</si>
  <si>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</si>
  <si>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</si>
  <si>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</si>
  <si>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</si>
  <si>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</si>
  <si>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</si>
  <si>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</si>
  <si>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</si>
  <si>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</si>
  <si>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</si>
  <si>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</si>
  <si>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</si>
  <si>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</si>
  <si>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</si>
  <si>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</si>
  <si>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</si>
  <si>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</si>
  <si>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</si>
  <si>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</si>
  <si>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</si>
  <si>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</si>
  <si>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</si>
  <si>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</si>
  <si>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</si>
  <si>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</si>
  <si>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</si>
  <si>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</si>
  <si>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</si>
  <si>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</si>
  <si>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</si>
  <si>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</si>
  <si>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</si>
  <si>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</si>
  <si>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</si>
  <si>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</si>
  <si>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</si>
  <si>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</si>
  <si>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</si>
  <si>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</si>
  <si>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</si>
  <si>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</si>
  <si>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</si>
  <si>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</si>
  <si>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</si>
  <si>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</si>
  <si>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</si>
  <si>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</si>
  <si>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</si>
  <si>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</si>
  <si>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</si>
  <si>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</si>
  <si>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</si>
  <si>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</si>
  <si>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</si>
  <si>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</si>
  <si>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</si>
  <si>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</si>
  <si>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</si>
  <si>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</si>
  <si>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</si>
  <si>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</si>
  <si>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</si>
  <si>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</si>
  <si>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</si>
  <si>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</si>
  <si>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</si>
  <si>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</si>
  <si>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</si>
  <si>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</si>
  <si>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</si>
  <si>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</si>
  <si>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</si>
  <si>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</si>
  <si>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</si>
  <si>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</si>
  <si>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</si>
  <si>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</si>
  <si>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</si>
  <si>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</si>
  <si>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</si>
  <si>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</si>
  <si>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</si>
  <si>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</si>
  <si>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</si>
  <si>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</si>
  <si>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</si>
  <si>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</si>
  <si>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</si>
  <si>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</si>
  <si>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</si>
  <si>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</si>
  <si>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</si>
  <si>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</si>
  <si>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</si>
  <si>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</si>
  <si>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</si>
  <si>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</si>
  <si>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</si>
  <si>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</si>
  <si>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</si>
  <si>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</si>
  <si>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</si>
  <si>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</si>
  <si>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</si>
  <si>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</si>
  <si>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</si>
  <si>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</si>
  <si>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</si>
  <si>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</si>
  <si>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</si>
  <si>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</si>
  <si>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</si>
  <si>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</si>
  <si>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</si>
  <si>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</si>
  <si>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</si>
  <si>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</si>
  <si>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</si>
  <si>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</si>
  <si>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</si>
  <si>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</si>
  <si>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</si>
  <si>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</si>
  <si>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</si>
  <si>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</si>
  <si>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</si>
  <si>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</si>
  <si>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</si>
  <si>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</si>
  <si>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</si>
  <si>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</si>
  <si>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</si>
  <si>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</si>
  <si>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</si>
  <si>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</si>
  <si>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</si>
  <si>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</si>
  <si>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</si>
  <si>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</si>
  <si>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</si>
  <si>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</si>
  <si>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</si>
  <si>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</si>
  <si>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</si>
  <si>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</si>
  <si>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</si>
  <si>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</si>
  <si>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</si>
  <si>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</si>
  <si>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</si>
  <si>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</si>
  <si>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</si>
  <si>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</si>
  <si>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</si>
  <si>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</si>
  <si>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</si>
  <si>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</si>
  <si>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</si>
  <si>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</si>
  <si>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</si>
  <si>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</si>
  <si>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</si>
  <si>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</si>
  <si>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</si>
  <si>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</si>
  <si>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</si>
  <si>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</si>
  <si>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</si>
  <si>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</si>
  <si>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</si>
  <si>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</si>
  <si>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</si>
  <si>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</si>
  <si>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</si>
  <si>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</si>
  <si>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</si>
  <si>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</si>
  <si>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</si>
  <si>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</si>
  <si>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</si>
  <si>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</si>
  <si>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</si>
  <si>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</si>
  <si>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</si>
  <si>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</si>
  <si>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</si>
  <si>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</si>
  <si>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</si>
  <si>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</si>
  <si>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</si>
  <si>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</si>
  <si>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</si>
  <si>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</si>
  <si>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</si>
  <si>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</si>
  <si>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</si>
  <si>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</si>
  <si>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</si>
  <si>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</si>
  <si>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</si>
  <si>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</si>
  <si>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</si>
  <si>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</si>
  <si>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</si>
  <si>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</si>
  <si>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</si>
  <si>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</si>
  <si>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</si>
  <si>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</si>
  <si>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</si>
  <si>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</si>
  <si>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</si>
  <si>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</si>
  <si>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</si>
  <si>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</si>
  <si>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</si>
  <si>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</si>
  <si>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</si>
  <si>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</si>
  <si>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</si>
  <si>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</si>
  <si>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</si>
  <si>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</si>
  <si>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</si>
  <si>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</si>
  <si>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</si>
  <si>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</si>
  <si>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</si>
  <si>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</si>
  <si>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</si>
  <si>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</si>
  <si>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</si>
  <si>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</si>
  <si>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</si>
  <si>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</si>
  <si>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</si>
  <si>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</si>
  <si>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</si>
  <si>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</si>
  <si>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</si>
  <si>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</si>
  <si>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</si>
  <si>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</si>
  <si>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</si>
  <si>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</si>
  <si>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</si>
  <si>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</si>
  <si>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</si>
  <si>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</si>
  <si>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</si>
  <si>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</si>
  <si>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</si>
  <si>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</si>
  <si>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</si>
  <si>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</si>
  <si>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</si>
  <si>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</si>
  <si>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</si>
  <si>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</si>
  <si>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</si>
  <si>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</si>
  <si>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</si>
  <si>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</si>
  <si>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</si>
  <si>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</si>
  <si>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</si>
  <si>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</si>
  <si>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</si>
  <si>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</si>
  <si>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</si>
  <si>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</si>
  <si>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</si>
  <si>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</si>
  <si>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</si>
  <si>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</si>
  <si>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</si>
  <si>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</si>
  <si>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</si>
  <si>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</si>
  <si>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</si>
  <si>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</si>
  <si>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</si>
  <si>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</si>
  <si>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</si>
  <si>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</si>
  <si>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</si>
  <si>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</si>
  <si>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</si>
  <si>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</si>
  <si>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</si>
  <si>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</si>
  <si>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</si>
  <si>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</si>
  <si>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</si>
  <si>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</si>
  <si>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</si>
  <si>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</si>
  <si>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</si>
  <si>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</si>
  <si>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</si>
  <si>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</si>
  <si>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</si>
  <si>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</si>
  <si>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</si>
  <si>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</si>
  <si>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</si>
  <si>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</si>
  <si>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</si>
  <si>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</si>
  <si>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</si>
  <si>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</si>
  <si>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</si>
  <si>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</si>
  <si>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</si>
  <si>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</si>
  <si>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</si>
  <si>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</si>
  <si>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</si>
  <si>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</si>
  <si>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</si>
  <si>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</si>
  <si>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</si>
  <si>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</si>
  <si>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</si>
  <si>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</si>
  <si>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</si>
  <si>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</si>
  <si>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</si>
  <si>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</si>
  <si>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</si>
  <si>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</si>
  <si>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</si>
  <si>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</si>
  <si>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</si>
  <si>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</si>
  <si>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</si>
  <si>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</si>
  <si>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</si>
  <si>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</si>
  <si>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</si>
  <si>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</si>
  <si>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</si>
  <si>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</si>
  <si>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</si>
  <si>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</si>
  <si>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</si>
  <si>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</si>
  <si>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</si>
  <si>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</si>
  <si>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</si>
  <si>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</si>
  <si>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</si>
  <si>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</si>
  <si>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</si>
  <si>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</si>
  <si>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</si>
  <si>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</si>
  <si>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</si>
  <si>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</si>
  <si>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</si>
  <si>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</si>
  <si>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</si>
  <si>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</si>
  <si>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</si>
  <si>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</si>
  <si>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</si>
  <si>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</si>
  <si>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</si>
  <si>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</si>
  <si>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</si>
  <si>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</si>
  <si>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</si>
  <si>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</si>
  <si>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</si>
  <si>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</si>
  <si>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</si>
  <si>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</si>
  <si>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</si>
  <si>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</si>
  <si>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</si>
  <si>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</si>
  <si>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</si>
  <si>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</si>
  <si>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</si>
  <si>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</si>
  <si>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</si>
  <si>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</si>
  <si>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</si>
  <si>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</si>
  <si>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</si>
  <si>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</si>
  <si>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</si>
  <si>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</si>
  <si>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</si>
  <si>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</si>
  <si>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</si>
  <si>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</si>
  <si>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</si>
  <si>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</si>
  <si>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</si>
  <si>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</si>
  <si>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</si>
  <si>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</si>
  <si>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</si>
  <si>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</si>
  <si>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</si>
  <si>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</si>
  <si>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</si>
  <si>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</si>
  <si>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</si>
  <si>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</si>
  <si>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</si>
  <si>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</si>
  <si>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</si>
  <si>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</si>
  <si>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</si>
  <si>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</si>
  <si>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</si>
  <si>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</si>
  <si>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</si>
  <si>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</si>
  <si>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</si>
  <si>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</si>
  <si>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</si>
  <si>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</si>
  <si>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</si>
  <si>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</si>
  <si>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</si>
  <si>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</si>
  <si>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</si>
  <si>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</si>
  <si>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</si>
  <si>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</si>
  <si>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</si>
  <si>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</si>
  <si>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</si>
  <si>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</si>
  <si>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</si>
  <si>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</si>
  <si>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</si>
  <si>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</si>
  <si>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</si>
  <si>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</si>
  <si>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</si>
  <si>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</si>
  <si>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</si>
  <si>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</si>
  <si>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</si>
  <si>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</si>
  <si>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</si>
  <si>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</si>
  <si>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</si>
  <si>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</si>
  <si>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</si>
  <si>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</si>
  <si>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</si>
  <si>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</si>
  <si>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</si>
  <si>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</si>
  <si>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</si>
  <si>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</si>
  <si>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</si>
  <si>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</si>
  <si>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</si>
  <si>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</si>
  <si>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</si>
  <si>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</si>
  <si>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</si>
  <si>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</si>
  <si>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</si>
  <si>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</si>
  <si>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</si>
  <si>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</si>
  <si>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</si>
  <si>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</si>
  <si>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</si>
  <si>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</si>
  <si>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</si>
  <si>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</si>
  <si>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</si>
  <si>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</si>
  <si>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</si>
  <si>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</si>
  <si>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</si>
  <si>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</si>
  <si>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</si>
  <si>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</si>
  <si>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</si>
  <si>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</si>
  <si>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</si>
  <si>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</si>
  <si>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</si>
  <si>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</si>
  <si>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</si>
  <si>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</si>
  <si>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</si>
  <si>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</si>
  <si>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</si>
  <si>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</si>
  <si>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</si>
  <si>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</si>
  <si>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</si>
  <si>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</si>
  <si>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</si>
  <si>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</si>
  <si>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</si>
  <si>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</si>
  <si>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</si>
  <si>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</si>
  <si>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</si>
  <si>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</si>
  <si>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</si>
  <si>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</si>
  <si>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</si>
  <si>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</si>
  <si>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</si>
  <si>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</si>
  <si>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</si>
  <si>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</si>
  <si>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</si>
  <si>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</si>
  <si>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</si>
  <si>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</si>
  <si>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</si>
  <si>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</si>
  <si>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</si>
  <si>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</si>
  <si>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</si>
  <si>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</si>
  <si>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</si>
  <si>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</si>
  <si>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</si>
  <si>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</si>
  <si>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</si>
  <si>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</si>
  <si>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</si>
  <si>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</si>
  <si>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</si>
  <si>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</si>
  <si>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</si>
  <si>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</si>
  <si>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</si>
  <si>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</si>
  <si>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</si>
  <si>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</si>
  <si>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</si>
  <si>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</si>
  <si>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</si>
  <si>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</si>
  <si>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</si>
  <si>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</si>
  <si>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</si>
  <si>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</si>
  <si>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</si>
  <si>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</si>
  <si>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</si>
  <si>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</si>
  <si>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</si>
  <si>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</si>
  <si>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</si>
  <si>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</si>
  <si>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</si>
  <si>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</si>
  <si>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</si>
  <si>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</si>
  <si>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</si>
  <si>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</si>
  <si>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</si>
  <si>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</si>
  <si>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</si>
  <si>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</si>
  <si>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</si>
  <si>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</si>
  <si>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</si>
  <si>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</si>
  <si>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</si>
  <si>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</si>
  <si>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</si>
  <si>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</si>
  <si>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</si>
  <si>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</si>
  <si>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</si>
  <si>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</si>
  <si>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</si>
  <si>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</si>
  <si>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</si>
  <si>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</si>
  <si>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</si>
  <si>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</si>
  <si>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</si>
  <si>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</si>
  <si>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</si>
  <si>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</si>
  <si>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</si>
  <si>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</si>
  <si>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</si>
  <si>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</si>
  <si>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</si>
  <si>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</si>
  <si>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</si>
  <si>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</si>
  <si>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</si>
  <si>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</si>
  <si>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</si>
  <si>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</si>
  <si>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</si>
  <si>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</si>
  <si>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</si>
  <si>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</si>
  <si>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</si>
  <si>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</si>
  <si>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</si>
  <si>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</si>
  <si>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</si>
  <si>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</si>
  <si>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</si>
  <si>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</si>
  <si>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</si>
  <si>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</si>
  <si>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</si>
  <si>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</si>
  <si>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</si>
  <si>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</si>
  <si>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</si>
  <si>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</si>
  <si>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</si>
  <si>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</si>
  <si>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</si>
  <si>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</si>
  <si>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</si>
  <si>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</si>
  <si>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</si>
  <si>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</si>
  <si>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</si>
  <si>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</si>
  <si>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</si>
  <si>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</si>
  <si>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</si>
  <si>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</si>
  <si>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</si>
  <si>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</si>
  <si>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</si>
  <si>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</si>
  <si>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</si>
  <si>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</si>
  <si>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</si>
  <si>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</si>
  <si>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</si>
  <si>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</si>
  <si>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</si>
  <si>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</si>
  <si>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</si>
  <si>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</si>
  <si>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</si>
  <si>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</si>
  <si>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</si>
  <si>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</si>
  <si>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</si>
  <si>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</si>
  <si>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</si>
  <si>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</si>
  <si>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</si>
  <si>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</si>
  <si>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</si>
  <si>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</si>
  <si>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</si>
  <si>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</si>
  <si>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</si>
  <si>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</si>
  <si>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</si>
  <si>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</si>
  <si>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</si>
  <si>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</si>
  <si>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</si>
  <si>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</si>
  <si>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</si>
  <si>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</si>
  <si>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</si>
  <si>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</si>
  <si>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</si>
  <si>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</si>
  <si>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</si>
  <si>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</si>
  <si>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</si>
  <si>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</si>
  <si>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</si>
  <si>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</si>
  <si>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</si>
  <si>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</si>
  <si>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</si>
  <si>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</si>
  <si>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</si>
  <si>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</si>
  <si>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</si>
  <si>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</si>
  <si>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</si>
  <si>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</si>
  <si>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</si>
  <si>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</si>
  <si>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</si>
  <si>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</si>
  <si>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</si>
  <si>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</si>
  <si>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</si>
  <si>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</si>
  <si>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</si>
  <si>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</si>
  <si>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</si>
  <si>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</si>
  <si>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</si>
  <si>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</si>
  <si>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</si>
  <si>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</si>
  <si>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</si>
  <si>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</si>
  <si>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</si>
  <si>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</si>
  <si>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</si>
  <si>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</si>
  <si>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</si>
  <si>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</si>
  <si>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</si>
  <si>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</si>
  <si>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</si>
  <si>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</si>
  <si>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</si>
  <si>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</si>
  <si>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</si>
  <si>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</si>
  <si>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</si>
  <si>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</si>
  <si>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</si>
  <si>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</si>
  <si>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</si>
  <si>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</si>
  <si>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</si>
  <si>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</si>
  <si>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</si>
  <si>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</si>
  <si>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</si>
  <si>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</si>
  <si>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</si>
  <si>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</si>
  <si>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</si>
  <si>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</si>
  <si>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</si>
  <si>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</si>
  <si>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</si>
  <si>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</si>
  <si>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</si>
  <si>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</si>
  <si>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</si>
  <si>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</si>
  <si>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</si>
  <si>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</si>
  <si>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</si>
  <si>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</si>
  <si>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</si>
  <si>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</si>
  <si>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</si>
  <si>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</si>
  <si>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</si>
  <si>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</si>
  <si>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</si>
  <si>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</si>
  <si>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</si>
  <si>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</si>
  <si>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</si>
  <si>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</si>
  <si>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</si>
  <si>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</si>
  <si>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</si>
  <si>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</si>
  <si>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</si>
  <si>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</si>
  <si>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</si>
  <si>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</si>
  <si>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</si>
  <si>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</si>
  <si>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</si>
  <si>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</si>
  <si>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</si>
  <si>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</si>
  <si>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</si>
  <si>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</si>
  <si>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</si>
  <si>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</si>
  <si>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</si>
  <si>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</si>
  <si>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</si>
  <si>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</si>
  <si>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</si>
  <si>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</si>
  <si>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</si>
  <si>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</si>
  <si>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</si>
  <si>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</si>
  <si>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</si>
  <si>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</si>
  <si>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</si>
  <si>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</si>
  <si>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</si>
  <si>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</si>
  <si>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</si>
  <si>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</si>
  <si>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</si>
  <si>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</si>
  <si>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</si>
  <si>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</si>
  <si>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</si>
  <si>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</si>
  <si>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</si>
  <si>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</si>
  <si>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</si>
  <si>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</si>
  <si>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</si>
  <si>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</si>
  <si>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</si>
  <si>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</si>
  <si>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</si>
  <si>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</si>
  <si>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</si>
  <si>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</si>
  <si>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</si>
  <si>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</si>
  <si>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</si>
  <si>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</si>
  <si>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</si>
  <si>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</si>
  <si>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</si>
  <si>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</si>
  <si>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</si>
  <si>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</si>
  <si>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</si>
  <si>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</si>
  <si>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</si>
  <si>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</si>
  <si>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</si>
  <si>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</si>
  <si>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</si>
  <si>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</si>
  <si>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</si>
  <si>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</si>
  <si>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</si>
  <si>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</si>
  <si>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</si>
  <si>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</si>
  <si>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</si>
  <si>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</si>
  <si>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</si>
  <si>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</si>
  <si>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</si>
  <si>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</si>
  <si>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</si>
  <si>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</si>
  <si>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</si>
  <si>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</si>
  <si>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</si>
  <si>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</si>
  <si>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</si>
  <si>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</si>
  <si>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</si>
  <si>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</si>
  <si>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</si>
  <si>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</si>
  <si>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</si>
  <si>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</si>
  <si>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</si>
  <si>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</si>
  <si>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</si>
  <si>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</si>
  <si>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</si>
  <si>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</si>
  <si>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</si>
  <si>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</si>
  <si>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</si>
  <si>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</si>
  <si>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</si>
  <si>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</si>
  <si>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</si>
  <si>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</si>
  <si>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</si>
  <si>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</si>
  <si>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</si>
  <si>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</si>
  <si>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</si>
  <si>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</si>
  <si>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</si>
  <si>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</si>
  <si>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</si>
  <si>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</si>
  <si>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</si>
  <si>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</si>
  <si>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</si>
  <si>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</si>
  <si>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</si>
  <si>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</si>
  <si>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</si>
  <si>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</si>
  <si>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</si>
  <si>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</si>
  <si>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</si>
  <si>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</si>
  <si>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</si>
  <si>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</si>
  <si>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</si>
  <si>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</si>
  <si>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</si>
  <si>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</si>
  <si>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</si>
  <si>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</si>
  <si>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</si>
  <si>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</si>
  <si>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</si>
  <si>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</si>
  <si>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</si>
  <si>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</si>
  <si>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</si>
  <si>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</si>
  <si>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</si>
  <si>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</si>
  <si>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</si>
  <si>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</si>
  <si>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</si>
  <si>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</si>
  <si>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</si>
  <si>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</si>
  <si>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</si>
  <si>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</si>
  <si>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</si>
  <si>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</si>
  <si>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</si>
  <si>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</si>
  <si>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</si>
  <si>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</si>
  <si>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</si>
  <si>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</si>
  <si>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</si>
  <si>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</si>
  <si>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</si>
  <si>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</si>
  <si>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</si>
  <si>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</si>
  <si>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</si>
  <si>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</si>
  <si>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</si>
  <si>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</si>
  <si>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</si>
  <si>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</si>
  <si>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</si>
  <si>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</si>
  <si>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</si>
  <si>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</si>
  <si>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</si>
  <si>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</si>
  <si>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</si>
  <si>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</si>
  <si>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</si>
  <si>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</si>
  <si>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</si>
  <si>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</si>
  <si>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</si>
  <si>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</si>
  <si>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</si>
  <si>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</si>
  <si>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</si>
  <si>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</si>
  <si>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</si>
  <si>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</si>
  <si>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</si>
  <si>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</si>
  <si>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</si>
  <si>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</si>
  <si>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</si>
  <si>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</si>
  <si>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</si>
  <si>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</si>
  <si>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</si>
  <si>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</si>
  <si>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</si>
  <si>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</si>
  <si>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</si>
  <si>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</si>
  <si>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</si>
  <si>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</si>
  <si>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</si>
  <si>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</si>
  <si>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</si>
  <si>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</si>
  <si>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</si>
  <si>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</si>
  <si>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</si>
  <si>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</si>
  <si>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</si>
  <si>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</si>
  <si>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</si>
  <si>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</si>
  <si>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</si>
  <si>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</si>
  <si>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</si>
  <si>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</si>
  <si>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</si>
  <si>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</si>
  <si>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</si>
  <si>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</si>
  <si>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</si>
  <si>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</si>
  <si>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</si>
  <si>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</si>
  <si>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</si>
  <si>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</si>
  <si>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</si>
  <si>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</si>
  <si>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</si>
  <si>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</si>
  <si>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</si>
  <si>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</si>
  <si>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</si>
  <si>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</si>
  <si>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</si>
  <si>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</si>
  <si>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</si>
  <si>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</si>
  <si>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</si>
  <si>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</si>
  <si>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</si>
  <si>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</si>
  <si>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</si>
  <si>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</si>
  <si>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</si>
  <si>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</si>
  <si>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</si>
  <si>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</si>
  <si>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</si>
  <si>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</si>
  <si>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</si>
  <si>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</si>
  <si>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</si>
  <si>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</si>
  <si>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</si>
  <si>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</si>
  <si>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</si>
  <si>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</si>
  <si>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</si>
  <si>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</si>
  <si>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</si>
  <si>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</si>
  <si>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</si>
  <si>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</si>
  <si>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</si>
  <si>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</si>
  <si>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</si>
  <si>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</si>
  <si>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</si>
  <si>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</si>
  <si>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</si>
  <si>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</si>
  <si>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</si>
  <si>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</si>
  <si>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</si>
  <si>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</si>
  <si>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</si>
  <si>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</si>
  <si>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</si>
  <si>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</si>
  <si>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</si>
  <si>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</si>
  <si>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</si>
  <si>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</si>
  <si>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</si>
  <si>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</si>
  <si>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</si>
  <si>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</si>
  <si>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</si>
  <si>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</si>
  <si>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</si>
  <si>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</si>
  <si>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</si>
  <si>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</si>
  <si>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</si>
  <si>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</si>
  <si>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</si>
  <si>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</si>
  <si>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</si>
  <si>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</si>
  <si>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</si>
  <si>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</si>
  <si>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</si>
  <si>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</si>
  <si>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</si>
  <si>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</si>
  <si>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</si>
  <si>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</si>
  <si>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</si>
  <si>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</si>
  <si>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</si>
  <si>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</si>
  <si>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</si>
  <si>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</si>
  <si>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</si>
  <si>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</si>
  <si>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</si>
  <si>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</si>
  <si>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</si>
  <si>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</si>
  <si>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</si>
  <si>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</si>
  <si>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</si>
  <si>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</si>
  <si>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</si>
  <si>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</si>
  <si>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</si>
  <si>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</si>
  <si>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</si>
  <si>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</si>
  <si>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</si>
  <si>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</si>
  <si>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</si>
  <si>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</si>
  <si>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</si>
  <si>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</si>
  <si>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</si>
  <si>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</si>
  <si>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</si>
  <si>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</si>
  <si>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</si>
  <si>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</si>
  <si>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</si>
  <si>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</si>
  <si>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</si>
  <si>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</si>
  <si>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</si>
  <si>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</si>
  <si>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</si>
  <si>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</si>
  <si>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</si>
  <si>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</si>
  <si>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</si>
  <si>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</si>
  <si>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</si>
  <si>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</si>
  <si>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</si>
  <si>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</si>
  <si>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</si>
  <si>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</si>
  <si>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</si>
  <si>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</si>
  <si>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</si>
  <si>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</si>
  <si>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</si>
  <si>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</si>
  <si>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</si>
  <si>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</si>
  <si>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</si>
  <si>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</si>
  <si>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</si>
  <si>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</si>
  <si>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</si>
  <si>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</si>
  <si>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</si>
  <si>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</si>
  <si>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</si>
  <si>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</si>
  <si>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</si>
  <si>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</si>
  <si>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</si>
  <si>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</si>
  <si>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</si>
  <si>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</si>
  <si>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</si>
  <si>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</si>
  <si>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</si>
  <si>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</si>
  <si>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</si>
  <si>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</si>
  <si>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</si>
  <si>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</si>
  <si>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</si>
  <si>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</si>
  <si>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</si>
  <si>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</si>
  <si>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</si>
  <si>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</si>
  <si>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</si>
  <si>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</si>
  <si>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</si>
  <si>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</si>
  <si>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</si>
  <si>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</si>
  <si>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</si>
  <si>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</si>
  <si>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</si>
  <si>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</si>
  <si>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</si>
  <si>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</si>
  <si>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</si>
  <si>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</si>
  <si>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</si>
  <si>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</si>
  <si>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</si>
  <si>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</si>
  <si>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</si>
  <si>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</si>
  <si>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</si>
  <si>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</si>
  <si>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</si>
  <si>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</si>
  <si>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</si>
  <si>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</si>
  <si>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</si>
  <si>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</si>
  <si>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</si>
  <si>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</si>
  <si>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</si>
  <si>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</si>
  <si>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</si>
  <si>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</si>
  <si>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</si>
  <si>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</si>
  <si>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</si>
  <si>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</si>
  <si>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</si>
  <si>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</si>
  <si>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</si>
  <si>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</si>
  <si>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</si>
  <si>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</si>
  <si>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</si>
  <si>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</si>
  <si>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</si>
  <si>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</si>
  <si>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</si>
  <si>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</si>
  <si>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</si>
  <si>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</si>
  <si>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</si>
  <si>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</si>
  <si>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</si>
  <si>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</si>
  <si>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</si>
  <si>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</si>
  <si>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</si>
  <si>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</si>
  <si>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</si>
  <si>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</si>
  <si>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</si>
  <si>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</si>
  <si>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</si>
  <si>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</si>
  <si>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</si>
  <si>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</si>
  <si>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</si>
  <si>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</si>
  <si>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</si>
  <si>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</si>
  <si>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</si>
  <si>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</si>
  <si>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</si>
  <si>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</si>
  <si>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</si>
  <si>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</si>
  <si>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</si>
  <si>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</si>
  <si>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</si>
  <si>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</si>
  <si>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</si>
  <si>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</si>
  <si>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</si>
  <si>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</si>
  <si>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</si>
  <si>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</si>
  <si>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</si>
  <si>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</si>
  <si>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</si>
  <si>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</si>
  <si>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</si>
  <si>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</si>
  <si>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</si>
  <si>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</si>
  <si>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</si>
  <si>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</si>
  <si>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</si>
  <si>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</si>
  <si>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</si>
  <si>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</si>
  <si>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</si>
  <si>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</si>
  <si>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</si>
  <si>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</si>
  <si>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</si>
  <si>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</si>
  <si>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</si>
  <si>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</si>
  <si>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</si>
  <si>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</si>
  <si>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</si>
  <si>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</si>
  <si>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</si>
  <si>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</si>
  <si>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</si>
  <si>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</si>
  <si>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</si>
  <si>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</si>
  <si>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</si>
  <si>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</si>
  <si>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</si>
  <si>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</si>
  <si>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</si>
  <si>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</si>
  <si>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</si>
  <si>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</si>
  <si>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</si>
  <si>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</si>
  <si>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</si>
  <si>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</si>
  <si>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</si>
  <si>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</si>
  <si>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</si>
  <si>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</si>
  <si>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</si>
  <si>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</si>
  <si>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</si>
  <si>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</si>
  <si>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</si>
  <si>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</si>
  <si>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</si>
  <si>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</si>
  <si>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</si>
  <si>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</si>
  <si>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</si>
  <si>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</si>
  <si>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</si>
  <si>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</si>
  <si>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</si>
  <si>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</si>
  <si>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</si>
  <si>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</si>
  <si>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</si>
  <si>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</si>
  <si>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</si>
  <si>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</si>
  <si>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</si>
  <si>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</si>
  <si>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</si>
  <si>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</si>
  <si>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</si>
  <si>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</si>
  <si>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</si>
  <si>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</si>
  <si>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</si>
  <si>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</si>
  <si>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</si>
  <si>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</si>
  <si>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</si>
  <si>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</si>
  <si>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</si>
  <si>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</si>
  <si>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</si>
  <si>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</si>
  <si>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</si>
  <si>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</si>
  <si>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</si>
  <si>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</si>
  <si>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</si>
  <si>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</si>
  <si>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</si>
  <si>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</si>
  <si>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</si>
  <si>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</si>
  <si>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</si>
  <si>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</si>
  <si>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</si>
  <si>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</si>
  <si>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</si>
  <si>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</si>
  <si>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</si>
  <si>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</si>
  <si>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</si>
  <si>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</si>
  <si>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</si>
  <si>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</si>
  <si>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</si>
  <si>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</si>
  <si>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</si>
  <si>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</si>
  <si>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</si>
  <si>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</si>
  <si>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</si>
  <si>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</si>
  <si>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</si>
  <si>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</si>
  <si>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</si>
  <si>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</si>
  <si>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</si>
  <si>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</si>
  <si>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</si>
  <si>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</si>
  <si>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</si>
  <si>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</si>
  <si>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</si>
  <si>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</si>
  <si>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</si>
  <si>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</si>
  <si>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</si>
  <si>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</si>
  <si>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</si>
  <si>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</si>
  <si>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</si>
  <si>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</si>
  <si>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</si>
  <si>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</si>
  <si>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</si>
  <si>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</si>
  <si>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</si>
  <si>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</si>
  <si>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</si>
  <si>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</si>
  <si>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</si>
  <si>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</si>
  <si>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</si>
  <si>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</si>
  <si>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</si>
  <si>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</si>
  <si>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</si>
  <si>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</si>
  <si>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</si>
  <si>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</si>
  <si>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</si>
  <si>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</si>
  <si>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</si>
  <si>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</si>
  <si>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</si>
  <si>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</si>
  <si>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</si>
  <si>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</si>
  <si>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</si>
  <si>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</si>
  <si>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</si>
  <si>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</si>
  <si>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</si>
  <si>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</si>
  <si>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</si>
  <si>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</si>
  <si>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</si>
  <si>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</si>
  <si>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</si>
  <si>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</si>
  <si>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</si>
  <si>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</si>
  <si>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</si>
  <si>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</si>
  <si>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</si>
  <si>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</si>
  <si>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</si>
  <si>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</si>
  <si>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</si>
  <si>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</si>
  <si>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</si>
  <si>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</si>
  <si>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</si>
  <si>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</si>
  <si>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</si>
  <si>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</si>
  <si>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</si>
  <si>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</si>
  <si>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</si>
  <si>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</si>
  <si>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</si>
  <si>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</si>
  <si>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</si>
  <si>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</si>
  <si>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</si>
  <si>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</si>
  <si>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</si>
  <si>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</si>
  <si>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</si>
  <si>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</si>
  <si>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</si>
  <si>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</si>
  <si>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</si>
  <si>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</si>
  <si>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</si>
  <si>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</si>
  <si>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</si>
  <si>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</si>
  <si>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</si>
  <si>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</si>
  <si>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</si>
  <si>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</si>
  <si>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</si>
  <si>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</si>
  <si>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</si>
  <si>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</si>
  <si>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</si>
  <si>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</si>
  <si>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</si>
  <si>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</si>
  <si>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</si>
  <si>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</si>
  <si>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</si>
  <si>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</si>
  <si>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</si>
  <si>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</si>
  <si>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</si>
  <si>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</si>
  <si>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</si>
  <si>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</si>
  <si>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</si>
  <si>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</si>
  <si>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</si>
  <si>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</si>
  <si>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</si>
  <si>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</si>
  <si>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</si>
  <si>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</si>
  <si>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</si>
  <si>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</si>
  <si>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</si>
  <si>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</si>
  <si>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</si>
  <si>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</si>
  <si>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</si>
  <si>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</si>
  <si>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</si>
  <si>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</si>
  <si>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</si>
  <si>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</si>
  <si>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</si>
  <si>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</si>
  <si>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</si>
  <si>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</si>
  <si>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</si>
  <si>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</si>
  <si>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</si>
  <si>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</si>
  <si>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</si>
  <si>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</si>
  <si>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</si>
  <si>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</si>
  <si>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</si>
  <si>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</si>
  <si>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</si>
  <si>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</si>
  <si>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</si>
  <si>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</si>
  <si>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</si>
  <si>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</si>
  <si>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</si>
  <si>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</si>
  <si>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</si>
  <si>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</si>
  <si>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</si>
  <si>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</si>
  <si>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</si>
  <si>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</si>
  <si>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</si>
  <si>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</si>
  <si>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</si>
  <si>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</si>
  <si>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</si>
  <si>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</si>
  <si>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</si>
  <si>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</si>
  <si>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</si>
  <si>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</si>
  <si>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</si>
  <si>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</si>
  <si>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</si>
  <si>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</si>
  <si>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</si>
  <si>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</si>
  <si>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</si>
  <si>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</si>
  <si>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</si>
  <si>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</si>
  <si>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</si>
  <si>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</si>
  <si>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</si>
  <si>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</si>
  <si>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</si>
  <si>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</si>
  <si>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</si>
  <si>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</si>
  <si>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</si>
  <si>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</si>
  <si>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</si>
  <si>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</si>
  <si>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</si>
  <si>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</si>
  <si>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</si>
  <si>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</si>
  <si>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</si>
  <si>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</si>
  <si>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</si>
  <si>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</si>
  <si>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</si>
  <si>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</si>
  <si>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</si>
  <si>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</si>
  <si>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</si>
  <si>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</si>
  <si>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</si>
  <si>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</si>
  <si>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</si>
  <si>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</si>
  <si>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</si>
  <si>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</si>
  <si>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</si>
  <si>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</si>
  <si>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</si>
  <si>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</si>
  <si>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</si>
  <si>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</si>
  <si>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</si>
  <si>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</si>
  <si>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</si>
  <si>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</si>
  <si>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</si>
  <si>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</si>
  <si>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</si>
  <si>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</si>
  <si>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</si>
  <si>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</si>
  <si>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</si>
  <si>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</si>
  <si>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</si>
  <si>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</si>
  <si>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</si>
  <si>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</si>
  <si>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</si>
  <si>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</si>
  <si>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</si>
  <si>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</si>
  <si>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</si>
  <si>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</si>
  <si>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</si>
  <si>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</si>
  <si>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</si>
  <si>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</si>
  <si>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</si>
  <si>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</si>
  <si>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</si>
  <si>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</si>
  <si>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</si>
  <si>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</si>
  <si>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</si>
  <si>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</si>
  <si>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</si>
  <si>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</si>
  <si>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</si>
  <si>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</si>
  <si>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</si>
  <si>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</si>
  <si>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</si>
  <si>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</si>
  <si>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</si>
  <si>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</si>
  <si>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</si>
  <si>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</si>
  <si>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</si>
  <si>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</si>
  <si>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</si>
  <si>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</si>
  <si>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</si>
  <si>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</si>
  <si>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</si>
  <si>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</si>
  <si>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</si>
  <si>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</si>
  <si>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</si>
  <si>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</si>
  <si>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</si>
  <si>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</si>
  <si>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</si>
  <si>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</si>
  <si>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</si>
  <si>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</si>
  <si>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</si>
  <si>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</si>
  <si>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</si>
  <si>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</si>
  <si>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</si>
  <si>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</si>
  <si>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</si>
  <si>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</si>
  <si>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</si>
  <si>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</si>
  <si>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</si>
  <si>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</si>
  <si>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</si>
  <si>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</si>
  <si>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</si>
  <si>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</si>
  <si>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</si>
  <si>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</si>
  <si>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</si>
  <si>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</si>
  <si>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</si>
  <si>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</si>
  <si>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</si>
  <si>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</si>
  <si>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</si>
  <si>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</si>
  <si>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</si>
  <si>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</si>
  <si>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</si>
  <si>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</si>
  <si>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</si>
  <si>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</si>
  <si>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</si>
  <si>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</si>
  <si>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</si>
  <si>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</si>
  <si>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</si>
  <si>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</si>
  <si>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</si>
  <si>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</si>
  <si>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</si>
  <si>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</si>
  <si>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</si>
  <si>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</si>
  <si>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</si>
  <si>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</si>
  <si>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</si>
  <si>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</si>
  <si>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</si>
  <si>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</si>
  <si>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</si>
  <si>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</si>
  <si>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</si>
  <si>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</si>
  <si>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</si>
  <si>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</si>
  <si>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</si>
  <si>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</si>
  <si>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</si>
  <si>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</si>
  <si>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</si>
  <si>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</si>
  <si>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</si>
  <si>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</si>
  <si>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</si>
  <si>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</si>
  <si>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</si>
  <si>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</si>
  <si>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</si>
  <si>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</si>
  <si>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</si>
  <si>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</si>
  <si>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</si>
  <si>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</si>
  <si>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</si>
  <si>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</si>
  <si>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</si>
  <si>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</si>
  <si>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</si>
  <si>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</si>
  <si>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</si>
  <si>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</si>
  <si>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</si>
  <si>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</si>
  <si>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</si>
  <si>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</si>
  <si>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</si>
  <si>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</si>
  <si>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</si>
  <si>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</si>
  <si>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</si>
  <si>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</si>
  <si>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</si>
  <si>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</si>
  <si>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</si>
  <si>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</si>
  <si>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</si>
  <si>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</si>
  <si>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</si>
  <si>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</si>
  <si>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</si>
  <si>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</si>
  <si>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</si>
  <si>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</si>
  <si>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</si>
  <si>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</si>
  <si>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</si>
  <si>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</si>
  <si>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</si>
  <si>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</si>
  <si>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</si>
  <si>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</si>
  <si>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</si>
  <si>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</si>
  <si>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</si>
  <si>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</si>
  <si>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</si>
  <si>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</si>
  <si>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</si>
  <si>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</si>
  <si>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</si>
  <si>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</si>
  <si>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</si>
  <si>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</si>
  <si>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</si>
  <si>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</si>
  <si>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</si>
  <si>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</si>
  <si>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</si>
  <si>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</si>
  <si>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</si>
  <si>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</si>
  <si>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</si>
  <si>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</si>
  <si>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</si>
  <si>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</si>
  <si>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</si>
  <si>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</si>
  <si>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</si>
  <si>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</si>
  <si>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</si>
  <si>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</si>
  <si>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</si>
  <si>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</si>
  <si>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</si>
  <si>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</si>
  <si>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</si>
  <si>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</si>
  <si>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</si>
  <si>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</si>
  <si>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</si>
  <si>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</si>
  <si>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</si>
  <si>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</si>
  <si>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</si>
  <si>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</si>
  <si>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</si>
  <si>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</si>
  <si>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</si>
  <si>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</si>
  <si>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</si>
  <si>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</si>
  <si>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</si>
  <si>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</si>
  <si>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</si>
  <si>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</si>
  <si>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</si>
  <si>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</si>
  <si>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</si>
  <si>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</si>
  <si>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</si>
  <si>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</si>
  <si>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</si>
  <si>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</si>
  <si>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</si>
  <si>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</si>
  <si>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</si>
  <si>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</si>
  <si>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</si>
  <si>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</si>
  <si>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</si>
  <si>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</si>
  <si>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</si>
  <si>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</si>
  <si>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</si>
  <si>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</si>
  <si>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</si>
  <si>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</si>
  <si>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</si>
  <si>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</si>
  <si>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</si>
  <si>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</si>
  <si>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</si>
  <si>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</si>
  <si>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</si>
  <si>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</si>
  <si>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</si>
  <si>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</si>
  <si>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</si>
  <si>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</si>
  <si>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</si>
  <si>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</si>
  <si>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</si>
  <si>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</si>
  <si>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</si>
  <si>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</si>
  <si>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</si>
  <si>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</si>
  <si>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</si>
  <si>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</si>
  <si>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</si>
  <si>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</si>
  <si>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</si>
  <si>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</si>
  <si>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</si>
  <si>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</si>
  <si>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</si>
  <si>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</si>
  <si>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</si>
  <si>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</si>
  <si>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</si>
  <si>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</si>
  <si>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</si>
  <si>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</si>
  <si>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</si>
  <si>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</si>
  <si>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</si>
  <si>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</si>
  <si>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</si>
  <si>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</si>
  <si>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</si>
  <si>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</si>
  <si>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</si>
  <si>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</si>
  <si>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</si>
  <si>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</si>
  <si>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</si>
  <si>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</si>
  <si>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</si>
  <si>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</si>
  <si>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</si>
  <si>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</si>
  <si>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</si>
  <si>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</si>
  <si>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</si>
  <si>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</si>
  <si>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</si>
  <si>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</si>
  <si>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</si>
  <si>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</si>
  <si>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</si>
  <si>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</si>
  <si>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</si>
  <si>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</si>
  <si>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</si>
  <si>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</si>
  <si>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</si>
  <si>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</si>
  <si>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</si>
  <si>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</si>
  <si>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</si>
  <si>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</si>
  <si>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</si>
  <si>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</si>
  <si>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</si>
  <si>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</si>
  <si>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</si>
  <si>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</si>
  <si>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</si>
  <si>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</si>
  <si>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</si>
  <si>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</si>
  <si>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</si>
  <si>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</si>
  <si>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</si>
  <si>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</si>
  <si>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</si>
  <si>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</si>
  <si>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</si>
  <si>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</si>
  <si>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</si>
  <si>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</si>
  <si>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</si>
  <si>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</si>
  <si>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</si>
  <si>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</si>
  <si>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</si>
  <si>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</si>
  <si>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</si>
  <si>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</si>
  <si>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</si>
  <si>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</si>
  <si>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</si>
  <si>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</si>
  <si>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</si>
  <si>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</si>
  <si>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</si>
  <si>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</si>
  <si>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</si>
  <si>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</si>
  <si>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</si>
  <si>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</si>
  <si>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</si>
  <si>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</si>
  <si>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</si>
  <si>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</si>
  <si>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</si>
  <si>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</si>
  <si>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</si>
  <si>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</si>
  <si>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</si>
  <si>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</si>
  <si>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</si>
  <si>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</si>
  <si>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</si>
  <si>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</si>
  <si>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</si>
  <si>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</si>
  <si>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</si>
  <si>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</si>
  <si>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</si>
  <si>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</si>
  <si>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</si>
  <si>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</si>
  <si>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</si>
  <si>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</si>
  <si>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</si>
  <si>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</si>
  <si>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</si>
  <si>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</si>
  <si>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</si>
  <si>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</si>
  <si>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</si>
  <si>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</si>
  <si>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</si>
  <si>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</si>
  <si>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</si>
  <si>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</si>
  <si>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</si>
  <si>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</si>
  <si>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</si>
  <si>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</si>
  <si>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</si>
  <si>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</si>
  <si>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</si>
  <si>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</si>
  <si>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</si>
  <si>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</si>
  <si>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</si>
  <si>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</si>
  <si>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</si>
  <si>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</si>
  <si>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</si>
  <si>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</si>
  <si>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</si>
  <si>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</si>
  <si>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</si>
  <si>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</si>
  <si>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</si>
  <si>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</si>
  <si>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</si>
  <si>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</si>
  <si>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</si>
  <si>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</si>
  <si>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</si>
  <si>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</si>
  <si>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</si>
  <si>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</si>
  <si>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</si>
  <si>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</si>
  <si>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</si>
  <si>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</si>
  <si>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</si>
  <si>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</si>
  <si>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</si>
  <si>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</si>
  <si>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</si>
  <si>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</si>
  <si>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</si>
  <si>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</si>
  <si>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</si>
  <si>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</si>
  <si>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</si>
  <si>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</si>
  <si>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</si>
  <si>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</si>
  <si>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</si>
  <si>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</si>
  <si>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</si>
  <si>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</si>
  <si>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</si>
  <si>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</si>
  <si>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</si>
  <si>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</si>
  <si>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</si>
  <si>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</si>
  <si>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</si>
  <si>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</si>
  <si>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</si>
  <si>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</si>
  <si>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</si>
  <si>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</si>
  <si>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</si>
  <si>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</si>
  <si>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</si>
  <si>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</si>
  <si>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</si>
  <si>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</si>
  <si>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</si>
  <si>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</si>
  <si>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</si>
  <si>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</si>
  <si>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</si>
  <si>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</si>
  <si>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</si>
  <si>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</si>
  <si>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</si>
  <si>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</si>
  <si>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</si>
  <si>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</si>
  <si>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</si>
  <si>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</si>
  <si>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</si>
  <si>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</si>
  <si>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</si>
  <si>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</si>
  <si>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</si>
  <si>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</si>
  <si>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</si>
  <si>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</si>
  <si>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</si>
  <si>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</si>
  <si>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</si>
  <si>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</si>
  <si>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</si>
  <si>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</si>
  <si>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</si>
  <si>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</si>
  <si>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</si>
  <si>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</si>
  <si>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</si>
  <si>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</si>
  <si>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</si>
  <si>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</si>
  <si>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</si>
  <si>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</si>
  <si>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</si>
  <si>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</si>
  <si>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</si>
  <si>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</si>
  <si>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</si>
  <si>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</si>
  <si>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</si>
  <si>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</si>
  <si>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</si>
  <si>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</si>
  <si>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</si>
  <si>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</si>
  <si>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</si>
  <si>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</si>
  <si>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</si>
  <si>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</si>
  <si>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</si>
  <si>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</si>
  <si>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</si>
  <si>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</si>
  <si>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</si>
  <si>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</si>
  <si>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</si>
  <si>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</si>
  <si>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</si>
  <si>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</si>
  <si>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</si>
  <si>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</si>
  <si>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</si>
  <si>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</si>
  <si>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</si>
  <si>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</si>
  <si>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</si>
  <si>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</si>
  <si>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</si>
  <si>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</si>
  <si>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</si>
  <si>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</si>
  <si>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</si>
  <si>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</si>
  <si>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</si>
  <si>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</si>
  <si>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</si>
  <si>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</si>
  <si>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</si>
  <si>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</si>
  <si>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</si>
  <si>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</si>
  <si>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</si>
  <si>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</si>
  <si>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</si>
  <si>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</si>
  <si>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</si>
  <si>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</si>
  <si>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</si>
  <si>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</si>
  <si>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</si>
  <si>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</si>
  <si>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</si>
  <si>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</si>
  <si>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</si>
  <si>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</si>
  <si>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</si>
  <si>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</si>
  <si>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</si>
  <si>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</si>
  <si>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</si>
  <si>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</si>
  <si>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</si>
  <si>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</si>
  <si>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</si>
  <si>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</si>
  <si>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</si>
  <si>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</si>
  <si>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</si>
  <si>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</si>
  <si>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</si>
  <si>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</si>
  <si>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</si>
  <si>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</si>
  <si>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</si>
  <si>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</si>
  <si>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</si>
  <si>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</si>
  <si>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</si>
  <si>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</si>
  <si>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</si>
  <si>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</si>
  <si>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</si>
  <si>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</si>
  <si>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</si>
  <si>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</si>
  <si>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</si>
  <si>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</si>
  <si>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</si>
  <si>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</si>
  <si>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</si>
  <si>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</si>
  <si>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</si>
  <si>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</si>
  <si>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</si>
  <si>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</si>
  <si>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</si>
  <si>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</si>
  <si>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</si>
  <si>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</si>
  <si>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</si>
  <si>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</si>
  <si>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</si>
  <si>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</si>
  <si>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</si>
  <si>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</si>
  <si>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</si>
  <si>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</si>
  <si>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</si>
  <si>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</si>
  <si>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</si>
  <si>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</si>
  <si>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</si>
  <si>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</si>
  <si>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</si>
  <si>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</si>
  <si>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</si>
  <si>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</si>
  <si>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</si>
  <si>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</si>
  <si>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</si>
  <si>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</si>
  <si>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</si>
  <si>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</si>
  <si>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</si>
  <si>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</si>
  <si>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</si>
  <si>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</si>
  <si>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</si>
  <si>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</si>
  <si>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</si>
  <si>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</si>
  <si>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</si>
  <si>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</si>
  <si>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</si>
  <si>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</si>
  <si>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</si>
  <si>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</si>
  <si>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</si>
  <si>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</si>
  <si>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</si>
  <si>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</si>
  <si>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</si>
  <si>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</si>
  <si>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</si>
  <si>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</si>
  <si>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</si>
  <si>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</si>
  <si>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</si>
  <si>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</si>
  <si>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</si>
  <si>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</si>
  <si>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</si>
  <si>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</si>
  <si>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</si>
  <si>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</si>
  <si>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</si>
  <si>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</si>
  <si>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</si>
  <si>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</si>
  <si>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</si>
  <si>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</si>
  <si>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</si>
  <si>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</si>
  <si>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</si>
  <si>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</si>
  <si>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</si>
  <si>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</si>
  <si>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</si>
  <si>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</si>
  <si>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</si>
  <si>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</si>
  <si>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</si>
  <si>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</si>
  <si>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</si>
  <si>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</si>
  <si>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</si>
  <si>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</si>
  <si>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</si>
  <si>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</si>
  <si>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</si>
  <si>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</si>
  <si>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</si>
  <si>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</si>
  <si>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</si>
  <si>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</si>
  <si>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</si>
  <si>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</si>
  <si>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</si>
  <si>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</si>
  <si>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</si>
  <si>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</si>
  <si>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</si>
  <si>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</si>
  <si>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</si>
  <si>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</si>
  <si>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</si>
  <si>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</si>
  <si>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</si>
  <si>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</si>
  <si>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</si>
  <si>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</si>
  <si>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</si>
  <si>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</si>
  <si>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</si>
  <si>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</si>
  <si>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</si>
  <si>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</si>
  <si>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</si>
  <si>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</si>
  <si>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</si>
  <si>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</si>
  <si>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</si>
  <si>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</si>
  <si>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</si>
  <si>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</si>
  <si>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</si>
  <si>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</si>
  <si>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</si>
  <si>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</si>
  <si>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</si>
  <si>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</si>
  <si>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</si>
  <si>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</si>
  <si>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</si>
  <si>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</si>
  <si>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</si>
  <si>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</si>
  <si>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</si>
  <si>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</si>
  <si>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</si>
  <si>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</si>
  <si>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</si>
  <si>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</si>
  <si>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</si>
  <si>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</si>
  <si>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</si>
  <si>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</si>
  <si>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</si>
  <si>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</si>
  <si>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</si>
  <si>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</si>
  <si>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</si>
  <si>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</si>
  <si>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</si>
  <si>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</si>
  <si>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</si>
  <si>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</si>
  <si>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</si>
  <si>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</si>
  <si>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</si>
  <si>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</si>
  <si>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</si>
  <si>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</si>
  <si>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</si>
  <si>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</si>
  <si>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</si>
  <si>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</si>
  <si>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</si>
  <si>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</si>
  <si>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</si>
  <si>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</si>
  <si>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</si>
  <si>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</si>
  <si>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</si>
  <si>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</si>
  <si>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</si>
  <si>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</si>
  <si>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</si>
  <si>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</si>
  <si>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</si>
  <si>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</si>
  <si>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</si>
  <si>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</si>
  <si>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</si>
  <si>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</si>
  <si>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</si>
  <si>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</si>
  <si>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</si>
  <si>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</si>
  <si>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</si>
  <si>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</si>
  <si>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</si>
  <si>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</si>
  <si>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</si>
  <si>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</si>
  <si>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</si>
  <si>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</si>
  <si>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</si>
  <si>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</si>
  <si>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</si>
  <si>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</si>
  <si>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</si>
  <si>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</si>
  <si>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</si>
  <si>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</si>
  <si>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</si>
  <si>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</si>
  <si>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</si>
  <si>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</si>
  <si>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</si>
  <si>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</si>
  <si>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</si>
  <si>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</si>
  <si>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</si>
  <si>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</si>
  <si>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</si>
  <si>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</si>
  <si>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</si>
  <si>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</si>
  <si>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</si>
  <si>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</si>
  <si>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</si>
  <si>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</si>
  <si>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</si>
  <si>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</si>
  <si>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</si>
  <si>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</si>
  <si>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</si>
  <si>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</si>
  <si>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</si>
  <si>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</si>
  <si>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</si>
  <si>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</si>
  <si>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</si>
  <si>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</si>
  <si>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</si>
  <si>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</si>
  <si>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</si>
  <si>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</si>
  <si>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</si>
  <si>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</si>
  <si>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</si>
  <si>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</si>
  <si>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</si>
  <si>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</si>
  <si>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</si>
  <si>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</si>
  <si>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</si>
  <si>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</si>
  <si>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</si>
  <si>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</si>
  <si>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</si>
  <si>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</si>
  <si>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</si>
  <si>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</si>
  <si>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</si>
  <si>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</si>
  <si>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</si>
  <si>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</si>
  <si>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</si>
  <si>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</si>
  <si>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</si>
  <si>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</si>
  <si>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</si>
  <si>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</si>
  <si>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</si>
  <si>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</si>
  <si>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</si>
  <si>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</si>
  <si>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</si>
  <si>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</si>
  <si>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</si>
  <si>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</si>
  <si>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</si>
  <si>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</si>
  <si>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</si>
  <si>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</si>
  <si>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</si>
  <si>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</si>
  <si>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</si>
  <si>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</si>
  <si>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</si>
  <si>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</si>
  <si>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</si>
  <si>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</si>
  <si>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</si>
  <si>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</si>
  <si>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</si>
  <si>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</si>
  <si>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</si>
  <si>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</si>
  <si>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</si>
  <si>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</si>
  <si>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</si>
  <si>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</si>
  <si>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</si>
  <si>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</si>
  <si>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</si>
  <si>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</si>
  <si>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</si>
  <si>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</si>
  <si>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</si>
  <si>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</si>
  <si>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</si>
  <si>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</si>
  <si>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</si>
  <si>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</si>
  <si>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</si>
  <si>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</si>
  <si>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</si>
  <si>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</si>
  <si>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</si>
  <si>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</si>
  <si>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</si>
  <si>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</si>
  <si>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</si>
  <si>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</si>
  <si>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</si>
  <si>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</si>
  <si>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</si>
  <si>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</si>
  <si>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</si>
  <si>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</si>
  <si>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</si>
  <si>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</si>
  <si>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</si>
  <si>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</si>
  <si>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</si>
  <si>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</si>
  <si>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</si>
  <si>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</si>
  <si>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</si>
  <si>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</si>
  <si>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</si>
  <si>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</si>
  <si>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</si>
  <si>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</si>
  <si>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</si>
  <si>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</si>
  <si>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</si>
  <si>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</si>
  <si>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</si>
  <si>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</si>
  <si>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</si>
  <si>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</si>
  <si>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</si>
  <si>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</si>
  <si>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</si>
  <si>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</si>
  <si>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</si>
  <si>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</si>
  <si>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</si>
  <si>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</si>
  <si>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</si>
  <si>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</si>
  <si>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</si>
  <si>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</si>
  <si>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</si>
  <si>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</si>
  <si>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</si>
  <si>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</si>
  <si>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</si>
  <si>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</si>
  <si>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</si>
  <si>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</si>
  <si>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</si>
  <si>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</si>
  <si>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</si>
  <si>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</si>
  <si>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</si>
  <si>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</si>
  <si>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</si>
  <si>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</si>
  <si>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</si>
  <si>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</si>
  <si>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</si>
  <si>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</si>
  <si>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</si>
  <si>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</si>
  <si>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</si>
  <si>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</si>
  <si>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</si>
  <si>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</si>
  <si>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</si>
  <si>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</si>
  <si>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</si>
  <si>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</si>
  <si>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</si>
  <si>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</si>
  <si>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</si>
  <si>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</si>
  <si>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</si>
  <si>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</si>
  <si>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</si>
  <si>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</si>
  <si>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</si>
  <si>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</si>
  <si>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</si>
  <si>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</si>
  <si>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</si>
  <si>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</si>
  <si>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</si>
  <si>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</si>
  <si>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</si>
  <si>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</si>
  <si>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</si>
  <si>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</si>
  <si>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</si>
  <si>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</si>
  <si>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</si>
  <si>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</si>
  <si>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</si>
  <si>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</si>
  <si>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</si>
  <si>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</si>
  <si>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</si>
  <si>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</si>
  <si>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</si>
  <si>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</si>
  <si>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</si>
  <si>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</si>
  <si>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</si>
  <si>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</si>
  <si>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</si>
  <si>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</si>
  <si>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</si>
  <si>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</si>
  <si>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</si>
  <si>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</si>
  <si>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</si>
  <si>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</si>
  <si>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</si>
  <si>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</si>
  <si>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</si>
  <si>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</si>
  <si>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</si>
  <si>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</si>
  <si>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</si>
  <si>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</si>
  <si>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</si>
  <si>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</si>
  <si>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</si>
  <si>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</si>
  <si>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</si>
  <si>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</si>
  <si>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</si>
  <si>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</si>
  <si>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</si>
  <si>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</si>
  <si>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</si>
  <si>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</si>
  <si>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</si>
  <si>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</si>
  <si>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</si>
  <si>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</si>
  <si>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</si>
  <si>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</si>
  <si>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</si>
  <si>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</si>
  <si>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</si>
  <si>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</si>
  <si>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</si>
  <si>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</si>
  <si>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</si>
  <si>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</si>
  <si>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</si>
  <si>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</si>
  <si>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</si>
  <si>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</si>
  <si>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</si>
  <si>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</si>
  <si>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</si>
  <si>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</si>
  <si>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</si>
  <si>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</si>
  <si>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</si>
  <si>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</si>
  <si>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</si>
  <si>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</si>
  <si>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</si>
  <si>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</si>
  <si>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</si>
  <si>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</si>
  <si>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</si>
  <si>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</si>
  <si>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</si>
  <si>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</si>
  <si>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</si>
  <si>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</si>
  <si>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</si>
  <si>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</si>
  <si>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</si>
  <si>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</si>
  <si>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</si>
  <si>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</si>
  <si>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</si>
  <si>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</si>
  <si>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</si>
  <si>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</si>
  <si>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</si>
  <si>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</si>
  <si>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</si>
  <si>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</si>
  <si>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</si>
  <si>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</si>
  <si>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</si>
  <si>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</si>
  <si>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</si>
  <si>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</si>
  <si>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</si>
  <si>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</si>
  <si>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</si>
  <si>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</si>
  <si>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</si>
  <si>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</si>
  <si>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</si>
  <si>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</si>
  <si>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</si>
  <si>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</si>
  <si>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</si>
  <si>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</si>
  <si>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</si>
  <si>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</si>
  <si>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</si>
  <si>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</si>
  <si>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</si>
  <si>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</si>
  <si>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</si>
  <si>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</si>
  <si>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</si>
  <si>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</si>
  <si>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</si>
  <si>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</si>
  <si>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</si>
  <si>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</si>
  <si>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</si>
  <si>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</si>
  <si>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</si>
  <si>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</si>
  <si>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</si>
  <si>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</si>
  <si>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</si>
  <si>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</si>
  <si>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</si>
  <si>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</si>
  <si>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</si>
  <si>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</si>
  <si>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</si>
  <si>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</si>
  <si>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</si>
  <si>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</si>
  <si>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</si>
  <si>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</si>
  <si>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</si>
  <si>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</si>
  <si>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</si>
  <si>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</si>
  <si>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</si>
  <si>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</si>
  <si>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</si>
  <si>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</si>
  <si>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</si>
  <si>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</si>
  <si>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</si>
  <si>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</si>
  <si>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</si>
  <si>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</si>
  <si>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</si>
  <si>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</si>
  <si>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</si>
  <si>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</si>
  <si>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</si>
  <si>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</si>
  <si>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</si>
  <si>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</si>
  <si>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</si>
  <si>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</si>
  <si>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</si>
  <si>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</si>
  <si>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</si>
  <si>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</si>
  <si>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</si>
  <si>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</si>
  <si>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</si>
  <si>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</si>
  <si>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</si>
  <si>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</si>
  <si>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</si>
  <si>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</si>
  <si>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</si>
  <si>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</si>
  <si>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</si>
  <si>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</si>
  <si>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</si>
  <si>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</si>
  <si>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</si>
  <si>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</si>
  <si>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</si>
  <si>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</si>
  <si>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</si>
  <si>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</si>
  <si>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</si>
  <si>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</si>
  <si>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</si>
  <si>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</si>
  <si>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</si>
  <si>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</si>
  <si>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</si>
  <si>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</si>
  <si>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</si>
  <si>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</si>
  <si>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</si>
  <si>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</si>
  <si>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</si>
  <si>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</si>
  <si>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</si>
  <si>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</si>
  <si>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</si>
  <si>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</si>
  <si>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</si>
  <si>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</si>
  <si>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</si>
  <si>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</si>
  <si>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</si>
  <si>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</si>
  <si>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</si>
  <si>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</si>
  <si>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</si>
  <si>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</si>
  <si>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</si>
  <si>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</si>
  <si>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</si>
  <si>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</si>
  <si>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</si>
  <si>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</si>
  <si>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</si>
  <si>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</si>
  <si>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</si>
  <si>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</si>
  <si>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</si>
  <si>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</si>
  <si>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</si>
  <si>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</si>
  <si>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</si>
  <si>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</si>
  <si>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</si>
  <si>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</si>
  <si>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</si>
  <si>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</si>
  <si>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</si>
  <si>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</si>
  <si>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</si>
  <si>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</si>
  <si>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</si>
  <si>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</si>
  <si>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</si>
  <si>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</si>
  <si>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</si>
  <si>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</si>
  <si>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</si>
  <si>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</si>
  <si>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</si>
  <si>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</si>
  <si>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</si>
  <si>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</si>
  <si>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</si>
  <si>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</si>
  <si>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</si>
  <si>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</si>
  <si>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</si>
  <si>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</si>
  <si>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</si>
  <si>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</si>
  <si>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</si>
  <si>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</si>
  <si>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</si>
  <si>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</si>
  <si>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</si>
  <si>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</si>
  <si>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</si>
  <si>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</si>
  <si>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</si>
  <si>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</si>
  <si>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</si>
  <si>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</si>
  <si>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</si>
  <si>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</si>
  <si>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</si>
  <si>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</si>
  <si>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</si>
  <si>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</si>
  <si>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</si>
  <si>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</si>
  <si>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</si>
  <si>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</si>
  <si>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</si>
  <si>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</si>
  <si>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</si>
  <si>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</si>
  <si>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</si>
  <si>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</si>
  <si>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</si>
  <si>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</si>
  <si>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</si>
  <si>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</si>
  <si>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</si>
  <si>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</si>
  <si>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</si>
  <si>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</si>
  <si>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</si>
  <si>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</si>
  <si>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</si>
  <si>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</si>
  <si>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</si>
  <si>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</si>
  <si>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</si>
  <si>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</si>
  <si>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</si>
  <si>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</si>
  <si>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</si>
  <si>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</si>
  <si>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</si>
  <si>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</si>
  <si>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</si>
  <si>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</si>
  <si>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</si>
  <si>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</si>
  <si>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</si>
  <si>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</si>
  <si>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</si>
  <si>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</si>
  <si>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</si>
  <si>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</si>
  <si>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</si>
  <si>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</si>
  <si>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</si>
  <si>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</si>
  <si>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</si>
  <si>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</si>
  <si>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</si>
  <si>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</si>
  <si>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</si>
  <si>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</si>
  <si>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</si>
  <si>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</si>
  <si>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</si>
  <si>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</si>
  <si>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</si>
  <si>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</si>
  <si>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</si>
  <si>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</si>
  <si>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</si>
  <si>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</si>
  <si>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</si>
  <si>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</si>
  <si>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</si>
  <si>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</si>
  <si>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</si>
  <si>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</si>
  <si>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</si>
  <si>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</si>
  <si>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</si>
  <si>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</si>
  <si>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</si>
  <si>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</si>
  <si>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</si>
  <si>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</si>
  <si>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</si>
  <si>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</si>
  <si>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</si>
  <si>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</si>
  <si>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</si>
  <si>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</si>
  <si>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</si>
  <si>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</si>
  <si>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</si>
  <si>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</si>
  <si>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</si>
  <si>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</si>
  <si>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</si>
  <si>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</si>
  <si>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</si>
  <si>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</si>
  <si>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</si>
  <si>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</si>
  <si>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</si>
  <si>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</si>
  <si>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</si>
  <si>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</si>
  <si>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</si>
  <si>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</si>
  <si>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</si>
  <si>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</si>
  <si>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</si>
  <si>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</si>
  <si>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</si>
  <si>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</si>
  <si>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</si>
  <si>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</si>
  <si>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</si>
  <si>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</si>
  <si>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</si>
  <si>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</si>
  <si>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</si>
  <si>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</si>
  <si>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</si>
  <si>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</si>
  <si>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</si>
  <si>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</si>
  <si>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</si>
  <si>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</si>
  <si>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</si>
  <si>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</si>
  <si>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</si>
  <si>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</si>
  <si>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</si>
  <si>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</si>
  <si>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</si>
  <si>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</si>
  <si>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</si>
  <si>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</si>
  <si>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</si>
  <si>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</si>
  <si>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</si>
  <si>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</si>
  <si>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</si>
  <si>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</si>
  <si>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</si>
  <si>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</si>
  <si>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</si>
  <si>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</si>
  <si>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</si>
  <si>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</si>
  <si>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</si>
  <si>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</si>
  <si>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</si>
  <si>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</si>
  <si>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</si>
  <si>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</si>
  <si>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</si>
  <si>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</si>
  <si>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</si>
  <si>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</si>
  <si>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</si>
  <si>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</si>
  <si>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</si>
  <si>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</si>
  <si>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</si>
  <si>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</si>
  <si>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</si>
  <si>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</si>
  <si>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</si>
  <si>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</si>
  <si>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</si>
  <si>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</si>
  <si>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</si>
  <si>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</si>
  <si>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</si>
  <si>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</si>
  <si>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</si>
  <si>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</si>
  <si>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</si>
  <si>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</si>
  <si>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</si>
  <si>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</si>
  <si>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</si>
  <si>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</si>
  <si>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</si>
  <si>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</si>
  <si>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</si>
  <si>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</si>
  <si>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</si>
  <si>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</si>
  <si>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</si>
  <si>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</si>
  <si>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</si>
  <si>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</si>
  <si>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</si>
  <si>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</si>
  <si>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</si>
  <si>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</si>
  <si>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</si>
  <si>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</si>
  <si>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</si>
  <si>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</si>
  <si>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</si>
  <si>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</si>
  <si>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</si>
  <si>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</si>
  <si>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</si>
  <si>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</si>
  <si>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</si>
  <si>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</si>
  <si>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</si>
  <si>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</si>
  <si>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</si>
  <si>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</si>
  <si>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</si>
  <si>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</si>
  <si>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</si>
  <si>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</si>
  <si>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</si>
  <si>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</si>
  <si>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</si>
  <si>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</si>
  <si>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</si>
  <si>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</si>
  <si>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</si>
  <si>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</si>
  <si>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</si>
  <si>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</si>
  <si>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</si>
  <si>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</si>
  <si>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</si>
  <si>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</si>
  <si>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</si>
  <si>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</si>
  <si>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</si>
  <si>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</si>
  <si>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</si>
  <si>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</si>
  <si>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</si>
  <si>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</si>
  <si>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</si>
  <si>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</si>
  <si>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</si>
  <si>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</si>
  <si>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</si>
  <si>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</si>
  <si>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</si>
  <si>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</si>
  <si>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</si>
  <si>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</si>
  <si>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</si>
  <si>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</si>
  <si>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</si>
  <si>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</si>
  <si>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</si>
  <si>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</si>
  <si>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</si>
  <si>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</si>
  <si>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</si>
  <si>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</si>
  <si>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</si>
  <si>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</si>
  <si>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</si>
  <si>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</si>
  <si>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</si>
  <si>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</si>
  <si>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</si>
  <si>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</si>
  <si>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</si>
  <si>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</si>
  <si>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</si>
  <si>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</si>
  <si>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</si>
  <si>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</si>
  <si>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</si>
  <si>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</si>
  <si>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</si>
  <si>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</si>
  <si>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</si>
  <si>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</si>
  <si>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</si>
  <si>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</si>
  <si>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</si>
  <si>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</si>
  <si>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</si>
  <si>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</si>
  <si>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</si>
  <si>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</si>
  <si>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</si>
  <si>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</si>
  <si>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</si>
  <si>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</si>
  <si>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</si>
  <si>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</si>
  <si>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</si>
  <si>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</si>
  <si>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</si>
  <si>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</si>
  <si>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</si>
  <si>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</si>
  <si>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</si>
  <si>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</si>
  <si>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</si>
  <si>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</si>
  <si>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</si>
  <si>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</si>
  <si>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</si>
  <si>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</si>
  <si>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</si>
  <si>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</si>
  <si>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</si>
  <si>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</si>
  <si>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</si>
  <si>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</si>
  <si>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</si>
  <si>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</si>
  <si>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</si>
  <si>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</si>
  <si>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</si>
  <si>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</si>
  <si>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</si>
  <si>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</si>
  <si>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</si>
  <si>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</si>
  <si>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</si>
  <si>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</si>
  <si>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</si>
  <si>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</si>
  <si>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</si>
  <si>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</si>
  <si>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</si>
  <si>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</si>
  <si>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</si>
  <si>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</si>
  <si>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</si>
  <si>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</si>
  <si>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</si>
  <si>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</si>
  <si>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</si>
  <si>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</si>
  <si>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</si>
  <si>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</si>
  <si>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</si>
  <si>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</si>
  <si>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</si>
  <si>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</si>
  <si>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</si>
  <si>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</si>
  <si>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</si>
  <si>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</si>
  <si>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</si>
  <si>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</si>
  <si>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</si>
  <si>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</si>
  <si>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</si>
  <si>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</si>
  <si>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</si>
  <si>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</si>
  <si>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</si>
  <si>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</si>
  <si>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</si>
  <si>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</si>
  <si>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</si>
  <si>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</si>
  <si>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</si>
  <si>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</si>
  <si>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</si>
  <si>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</si>
  <si>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</si>
  <si>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</si>
  <si>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</si>
  <si>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</si>
  <si>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</si>
  <si>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</si>
  <si>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</si>
  <si>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</si>
  <si>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</si>
  <si>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</si>
  <si>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</si>
  <si>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</si>
  <si>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</si>
  <si>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</si>
  <si>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</si>
  <si>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</si>
  <si>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</si>
  <si>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</si>
  <si>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</si>
  <si>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</si>
  <si>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</si>
  <si>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</si>
  <si>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</si>
  <si>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</si>
  <si>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</si>
  <si>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</si>
  <si>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</si>
  <si>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</si>
  <si>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</si>
  <si>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</si>
  <si>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</si>
  <si>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</si>
  <si>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</si>
  <si>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</si>
  <si>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</si>
  <si>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</si>
  <si>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</si>
  <si>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</si>
  <si>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</si>
  <si>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</si>
  <si>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</si>
  <si>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</si>
  <si>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</si>
  <si>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</si>
  <si>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</si>
  <si>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</si>
  <si>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</si>
  <si>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</si>
  <si>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</si>
  <si>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</si>
  <si>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</si>
  <si>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</si>
  <si>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</si>
  <si>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</si>
  <si>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</si>
  <si>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</si>
  <si>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</si>
  <si>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</si>
  <si>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</si>
  <si>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</si>
  <si>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</si>
  <si>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</si>
  <si>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</si>
  <si>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</si>
  <si>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</si>
  <si>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</si>
  <si>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</si>
  <si>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</si>
  <si>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</si>
  <si>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</si>
  <si>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</si>
  <si>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</si>
  <si>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</si>
  <si>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</si>
  <si>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</si>
  <si>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</si>
  <si>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</si>
  <si>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</si>
  <si>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</si>
  <si>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</si>
  <si>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</si>
  <si>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</si>
  <si>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</si>
  <si>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</si>
  <si>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</si>
  <si>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</si>
  <si>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</si>
  <si>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</si>
  <si>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</si>
  <si>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</si>
  <si>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</si>
  <si>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</si>
  <si>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</si>
  <si>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</si>
  <si>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</si>
  <si>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</si>
  <si>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</si>
  <si>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</si>
  <si>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</si>
  <si>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</si>
  <si>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</si>
  <si>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</si>
  <si>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</si>
  <si>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</si>
  <si>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</si>
  <si>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</si>
  <si>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</si>
  <si>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</si>
  <si>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</si>
  <si>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</si>
  <si>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</si>
  <si>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</si>
  <si>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</si>
  <si>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</si>
  <si>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</si>
  <si>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</si>
  <si>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</si>
  <si>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</si>
  <si>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</si>
  <si>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</si>
  <si>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</si>
  <si>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</si>
  <si>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</si>
  <si>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</si>
  <si>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</si>
  <si>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</si>
  <si>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</si>
  <si>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</si>
  <si>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</si>
  <si>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</si>
  <si>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</si>
  <si>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</si>
  <si>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</si>
  <si>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</si>
  <si>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</si>
  <si>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</si>
  <si>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</si>
  <si>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</si>
  <si>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</si>
  <si>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</si>
  <si>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</si>
  <si>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</si>
  <si>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</si>
  <si>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</si>
  <si>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</si>
  <si>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</si>
  <si>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</si>
  <si>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</si>
  <si>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</si>
  <si>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</si>
  <si>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</si>
  <si>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</si>
  <si>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</si>
  <si>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</si>
  <si>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</si>
  <si>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</si>
  <si>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</si>
  <si>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</si>
  <si>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</si>
  <si>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</si>
  <si>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</si>
  <si>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</si>
  <si>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</si>
  <si>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</si>
  <si>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</si>
  <si>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</si>
  <si>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</si>
  <si>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</si>
  <si>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</si>
  <si>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</si>
  <si>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</si>
  <si>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</si>
  <si>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</si>
  <si>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</si>
  <si>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</si>
  <si>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</si>
  <si>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</si>
  <si>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</si>
  <si>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</si>
  <si>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</si>
  <si>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</si>
  <si>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</si>
  <si>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</si>
  <si>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</si>
  <si>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</si>
  <si>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</si>
  <si>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</si>
  <si>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</si>
  <si>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</si>
  <si>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</si>
  <si>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</si>
  <si>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</si>
  <si>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</si>
  <si>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</si>
  <si>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</si>
  <si>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</si>
  <si>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</si>
  <si>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</si>
  <si>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</si>
  <si>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</si>
  <si>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</si>
  <si>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</si>
  <si>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</si>
  <si>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</si>
  <si>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</si>
  <si>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</si>
  <si>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</si>
  <si>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</si>
  <si>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</si>
  <si>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</si>
  <si>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</si>
  <si>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</si>
  <si>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</si>
  <si>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</si>
  <si>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</si>
  <si>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</si>
  <si>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</si>
  <si>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</si>
  <si>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</si>
  <si>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</si>
  <si>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</si>
  <si>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</si>
  <si>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</si>
  <si>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</si>
  <si>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</si>
  <si>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</si>
  <si>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</si>
  <si>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</si>
  <si>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</si>
  <si>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</si>
  <si>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</si>
  <si>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</si>
  <si>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</si>
  <si>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</si>
  <si>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</si>
  <si>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</si>
  <si>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</si>
  <si>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</si>
  <si>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</si>
  <si>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</si>
  <si>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</si>
  <si>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</si>
  <si>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</si>
  <si>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</si>
  <si>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</si>
  <si>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</si>
  <si>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</si>
  <si>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</si>
  <si>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</si>
  <si>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</si>
  <si>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</si>
  <si>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</si>
  <si>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</si>
  <si>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</si>
  <si>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</si>
  <si>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</si>
  <si>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</si>
  <si>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</si>
  <si>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</si>
  <si>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</si>
  <si>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</si>
  <si>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</si>
  <si>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</si>
  <si>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</si>
  <si>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</si>
  <si>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</si>
  <si>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</si>
  <si>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</si>
  <si>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</si>
  <si>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</si>
  <si>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</si>
  <si>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</si>
  <si>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</si>
  <si>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</si>
  <si>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</si>
  <si>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</si>
  <si>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</si>
  <si>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</si>
  <si>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</si>
  <si>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</si>
  <si>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</si>
  <si>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</si>
  <si>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</si>
  <si>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</si>
  <si>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</si>
  <si>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</si>
  <si>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</si>
  <si>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</si>
  <si>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</si>
  <si>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</si>
  <si>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</si>
  <si>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</si>
  <si>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</si>
  <si>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</si>
  <si>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</si>
  <si>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</si>
  <si>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</si>
  <si>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</si>
  <si>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</si>
  <si>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</si>
  <si>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</si>
  <si>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</si>
  <si>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</si>
  <si>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</si>
  <si>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</si>
  <si>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</si>
  <si>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</si>
  <si>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</si>
  <si>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</si>
  <si>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</si>
  <si>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</si>
  <si>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</si>
  <si>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</si>
  <si>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</si>
  <si>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</si>
  <si>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</si>
  <si>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</si>
  <si>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</si>
  <si>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</si>
  <si>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</si>
  <si>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</si>
  <si>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</si>
  <si>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</si>
  <si>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</si>
  <si>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</si>
  <si>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</si>
  <si>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</si>
  <si>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</si>
  <si>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</si>
  <si>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</si>
  <si>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</si>
  <si>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</si>
  <si>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</si>
  <si>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</si>
  <si>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</si>
  <si>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</si>
  <si>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</si>
  <si>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</si>
  <si>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</si>
  <si>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</si>
  <si>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</si>
  <si>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</si>
  <si>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</si>
  <si>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</si>
  <si>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</si>
  <si>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</si>
  <si>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</si>
  <si>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</si>
  <si>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</si>
  <si>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</si>
  <si>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</si>
  <si>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</si>
  <si>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</si>
  <si>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</si>
  <si>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</si>
  <si>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</si>
  <si>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</si>
  <si>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</si>
  <si>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</si>
  <si>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</si>
  <si>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</si>
  <si>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</si>
  <si>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</si>
  <si>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</si>
  <si>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</si>
  <si>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</si>
  <si>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</si>
  <si>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</si>
  <si>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</si>
  <si>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</si>
  <si>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</si>
  <si>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</si>
  <si>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</si>
  <si>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</si>
  <si>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</si>
  <si>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</si>
  <si>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</si>
  <si>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</si>
  <si>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</si>
  <si>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</si>
  <si>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</si>
  <si>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</si>
  <si>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</si>
  <si>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</si>
  <si>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</si>
  <si>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</si>
  <si>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</si>
  <si>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</si>
  <si>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</si>
  <si>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</si>
  <si>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</si>
  <si>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</si>
  <si>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</si>
  <si>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</si>
  <si>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</si>
  <si>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</si>
  <si>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</si>
  <si>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</si>
  <si>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</si>
  <si>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</si>
  <si>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</si>
  <si>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</si>
  <si>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</si>
  <si>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</si>
  <si>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</si>
  <si>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</si>
  <si>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</si>
  <si>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</si>
  <si>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</si>
  <si>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</si>
  <si>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</si>
  <si>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</si>
  <si>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</si>
  <si>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</si>
  <si>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</si>
  <si>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</si>
  <si>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</si>
  <si>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</si>
  <si>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</si>
  <si>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</si>
  <si>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</si>
  <si>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</si>
  <si>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</si>
  <si>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</si>
  <si>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</si>
  <si>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</si>
  <si>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</si>
  <si>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</si>
  <si>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</si>
  <si>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</si>
  <si>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</si>
  <si>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</si>
  <si>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</si>
  <si>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</si>
  <si>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</si>
  <si>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</si>
  <si>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</si>
  <si>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</si>
  <si>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</si>
  <si>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</si>
  <si>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</si>
  <si>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</si>
  <si>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</si>
  <si>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</si>
  <si>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</si>
  <si>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</si>
  <si>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</si>
  <si>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</si>
  <si>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</si>
  <si>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</si>
  <si>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</si>
  <si>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</si>
  <si>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</si>
  <si>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</si>
  <si>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</si>
  <si>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</si>
  <si>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</si>
  <si>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</si>
  <si>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</si>
  <si>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</si>
  <si>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</si>
  <si>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</si>
  <si>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</si>
  <si>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</si>
  <si>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</si>
  <si>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</si>
  <si>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</si>
  <si>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</si>
  <si>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</si>
  <si>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</si>
  <si>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</si>
  <si>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</si>
  <si>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</si>
  <si>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</si>
  <si>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</si>
  <si>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</si>
  <si>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</si>
  <si>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</si>
  <si>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</si>
  <si>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</si>
  <si>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</si>
  <si>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</si>
  <si>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</si>
  <si>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</si>
  <si>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</si>
  <si>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</si>
  <si>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</si>
  <si>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</si>
  <si>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</si>
  <si>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</si>
  <si>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</si>
  <si>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</si>
  <si>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</si>
  <si>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</si>
  <si>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</si>
  <si>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</si>
  <si>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</si>
  <si>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</si>
  <si>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</si>
  <si>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</si>
  <si>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</si>
  <si>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</si>
  <si>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</si>
  <si>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</si>
  <si>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</si>
  <si>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</si>
  <si>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</si>
  <si>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</si>
  <si>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</si>
  <si>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</si>
  <si>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</si>
  <si>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</si>
  <si>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</si>
  <si>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</si>
  <si>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</si>
  <si>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</si>
  <si>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</si>
  <si>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</si>
  <si>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</si>
  <si>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</si>
  <si>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</si>
  <si>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</si>
  <si>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</si>
  <si>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</si>
  <si>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</si>
  <si>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</si>
  <si>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</si>
  <si>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</si>
  <si>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</si>
  <si>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</si>
  <si>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</si>
  <si>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</si>
  <si>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</si>
  <si>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</si>
  <si>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</si>
  <si>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</si>
  <si>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</si>
  <si>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</si>
  <si>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</si>
  <si>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</si>
  <si>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</si>
  <si>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</si>
  <si>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</si>
  <si>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</si>
  <si>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</si>
  <si>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</si>
  <si>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</si>
  <si>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</si>
  <si>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</si>
  <si>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</si>
  <si>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</si>
  <si>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</si>
  <si>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</si>
  <si>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</si>
  <si>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</si>
  <si>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</si>
  <si>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</si>
  <si>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</si>
  <si>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</si>
  <si>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</si>
  <si>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</si>
  <si>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</si>
  <si>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</si>
  <si>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</si>
  <si>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</si>
  <si>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</si>
  <si>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</si>
  <si>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</si>
  <si>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</si>
  <si>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</si>
  <si>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</si>
  <si>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</si>
  <si>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</si>
  <si>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</si>
  <si>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</si>
  <si>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</si>
  <si>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</si>
  <si>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</si>
  <si>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</si>
  <si>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</si>
  <si>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</si>
  <si>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</si>
  <si>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</si>
  <si>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</si>
  <si>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</si>
  <si>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</si>
  <si>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</si>
  <si>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</si>
  <si>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</si>
  <si>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</si>
  <si>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</si>
  <si>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</si>
  <si>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</si>
  <si>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</si>
  <si>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</si>
  <si>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</si>
  <si>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</si>
  <si>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</si>
  <si>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</si>
  <si>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</si>
  <si>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</si>
  <si>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</si>
  <si>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</si>
  <si>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</si>
  <si>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</si>
  <si>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</si>
  <si>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</si>
  <si>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</si>
  <si>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</si>
  <si>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</si>
  <si>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</si>
  <si>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</si>
  <si>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</si>
  <si>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</si>
  <si>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</si>
  <si>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</si>
  <si>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</si>
  <si>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</si>
  <si>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</si>
  <si>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</si>
  <si>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</si>
  <si>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</si>
  <si>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</si>
  <si>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</si>
  <si>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</si>
  <si>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</si>
  <si>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</si>
  <si>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</si>
  <si>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</si>
  <si>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</si>
  <si>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</si>
  <si>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</si>
  <si>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</si>
  <si>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</si>
  <si>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</si>
  <si>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</si>
  <si>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</si>
  <si>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</si>
  <si>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</si>
  <si>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</si>
  <si>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</si>
  <si>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</si>
  <si>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</si>
  <si>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</si>
  <si>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</si>
  <si>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</si>
  <si>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</si>
  <si>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</si>
  <si>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</si>
  <si>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</si>
  <si>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</si>
  <si>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</si>
  <si>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</si>
  <si>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</si>
  <si>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</si>
  <si>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</si>
  <si>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</si>
  <si>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</si>
  <si>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</si>
  <si>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</si>
  <si>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</si>
  <si>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</si>
  <si>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</si>
  <si>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</si>
  <si>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</si>
  <si>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</si>
  <si>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</si>
  <si>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</si>
  <si>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</si>
  <si>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</si>
  <si>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</si>
  <si>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</si>
  <si>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</si>
  <si>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</si>
  <si>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</si>
  <si>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</si>
  <si>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</si>
  <si>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</si>
  <si>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</si>
  <si>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</si>
  <si>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</si>
  <si>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</si>
  <si>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</si>
  <si>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</si>
  <si>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</si>
  <si>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</si>
  <si>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</si>
  <si>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</si>
  <si>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</si>
  <si>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</si>
  <si>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</si>
  <si>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</si>
  <si>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</si>
  <si>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</si>
  <si>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</si>
  <si>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</si>
  <si>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</si>
  <si>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</si>
  <si>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</si>
  <si>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</si>
  <si>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</si>
  <si>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</si>
  <si>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</si>
  <si>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</si>
  <si>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</si>
  <si>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</si>
  <si>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</si>
  <si>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</si>
  <si>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</si>
  <si>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</si>
  <si>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</si>
  <si>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</si>
  <si>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</si>
  <si>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</si>
  <si>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</si>
  <si>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</si>
  <si>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</si>
  <si>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</si>
  <si>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</si>
  <si>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</si>
  <si>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</si>
  <si>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</si>
  <si>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</si>
  <si>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</si>
  <si>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</si>
  <si>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</si>
  <si>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</si>
  <si>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</si>
  <si>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</si>
  <si>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</si>
  <si>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</si>
  <si>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</si>
  <si>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</si>
  <si>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</si>
  <si>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</si>
  <si>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</si>
  <si>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</si>
  <si>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</si>
  <si>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</si>
  <si>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</si>
  <si>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</si>
  <si>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</si>
  <si>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</si>
  <si>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</si>
  <si>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</si>
  <si>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</si>
  <si>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</si>
  <si>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</si>
  <si>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</si>
  <si>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</si>
  <si>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</si>
  <si>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</si>
  <si>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</si>
  <si>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</si>
  <si>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</si>
  <si>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</si>
  <si>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</si>
  <si>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</si>
  <si>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</si>
  <si>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</si>
  <si>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</si>
  <si>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</si>
  <si>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</si>
  <si>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</si>
  <si>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</si>
  <si>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</si>
  <si>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</si>
  <si>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</si>
  <si>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</si>
  <si>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</si>
  <si>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</si>
  <si>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</si>
  <si>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</si>
  <si>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</si>
  <si>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</si>
  <si>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</si>
  <si>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</si>
  <si>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</si>
  <si>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</si>
  <si>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</si>
  <si>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</si>
  <si>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</si>
  <si>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</si>
  <si>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</si>
  <si>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</si>
  <si>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</si>
  <si>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</si>
  <si>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</si>
  <si>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</si>
  <si>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</si>
  <si>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</si>
  <si>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</si>
  <si>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</si>
  <si>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</si>
  <si>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</si>
  <si>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</si>
  <si>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</si>
  <si>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</si>
  <si>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</si>
  <si>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</si>
  <si>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</si>
  <si>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</si>
  <si>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</si>
  <si>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</si>
  <si>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</si>
  <si>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</si>
  <si>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</si>
  <si>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</si>
  <si>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</si>
  <si>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</si>
  <si>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</si>
  <si>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</si>
  <si>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</si>
  <si>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</si>
  <si>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</si>
  <si>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</si>
  <si>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</si>
  <si>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</si>
  <si>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</si>
  <si>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</si>
  <si>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</si>
  <si>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</si>
  <si>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</si>
  <si>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</si>
  <si>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</si>
  <si>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</si>
  <si>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</si>
  <si>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</si>
  <si>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</si>
  <si>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</si>
  <si>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</si>
  <si>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</si>
  <si>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</si>
  <si>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</si>
  <si>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</si>
  <si>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</si>
  <si>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</si>
  <si>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</si>
  <si>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</si>
  <si>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</si>
  <si>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</si>
  <si>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</si>
  <si>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</si>
  <si>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</si>
  <si>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</si>
  <si>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</si>
  <si>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</si>
  <si>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</si>
  <si>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</si>
  <si>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</si>
  <si>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</si>
  <si>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</si>
  <si>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</si>
  <si>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</si>
  <si>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</si>
  <si>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</si>
  <si>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</si>
  <si>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</si>
  <si>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</si>
  <si>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</si>
  <si>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</si>
  <si>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</si>
  <si>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</si>
  <si>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</si>
  <si>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</si>
  <si>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</si>
  <si>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</si>
  <si>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</si>
  <si>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</si>
  <si>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</si>
  <si>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</si>
  <si>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</si>
  <si>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</si>
  <si>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</si>
  <si>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</si>
  <si>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</si>
  <si>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</si>
  <si>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</si>
  <si>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</si>
  <si>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</si>
  <si>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</si>
  <si>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</si>
  <si>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</si>
  <si>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</si>
  <si>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</si>
  <si>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</si>
  <si>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</si>
  <si>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</si>
  <si>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</si>
  <si>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</si>
  <si>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</si>
  <si>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</si>
  <si>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</si>
  <si>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</si>
  <si>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</si>
  <si>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</si>
  <si>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</si>
  <si>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</si>
  <si>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</si>
  <si>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</si>
  <si>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</si>
  <si>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</si>
  <si>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</si>
  <si>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</si>
  <si>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</si>
  <si>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</si>
  <si>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</si>
  <si>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</si>
  <si>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</si>
  <si>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</si>
  <si>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</si>
  <si>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</si>
  <si>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</si>
  <si>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</si>
  <si>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</si>
  <si>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</si>
  <si>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</si>
  <si>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</si>
  <si>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</si>
  <si>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</si>
  <si>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</si>
  <si>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</si>
  <si>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</si>
  <si>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</si>
  <si>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</si>
  <si>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</si>
  <si>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</si>
  <si>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</si>
  <si>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</si>
  <si>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</si>
  <si>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</si>
  <si>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</si>
  <si>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</si>
  <si>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</si>
  <si>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</si>
  <si>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</si>
  <si>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</si>
  <si>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</si>
  <si>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</si>
  <si>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</si>
  <si>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</si>
  <si>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</si>
  <si>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</si>
  <si>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</si>
  <si>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</si>
  <si>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</si>
  <si>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</si>
  <si>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</si>
  <si>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</si>
  <si>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</si>
  <si>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</si>
  <si>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</si>
  <si>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</si>
  <si>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</si>
  <si>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</si>
  <si>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</si>
  <si>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</si>
  <si>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</si>
  <si>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</si>
  <si>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</si>
  <si>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</si>
  <si>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</si>
  <si>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</si>
  <si>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</si>
  <si>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</si>
  <si>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</si>
  <si>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</si>
  <si>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</si>
  <si>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</si>
  <si>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</si>
  <si>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</si>
  <si>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</si>
  <si>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</si>
  <si>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</si>
  <si>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</si>
  <si>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</si>
  <si>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</si>
  <si>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</si>
  <si>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</si>
  <si>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</si>
  <si>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</si>
  <si>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</si>
  <si>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</si>
  <si>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</si>
  <si>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</si>
  <si>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</si>
  <si>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</si>
  <si>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</si>
  <si>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</si>
  <si>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</si>
  <si>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</si>
  <si>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</si>
  <si>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</si>
  <si>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</si>
  <si>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</si>
  <si>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</si>
  <si>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</si>
  <si>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</si>
  <si>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</si>
  <si>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</si>
  <si>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</si>
  <si>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</si>
  <si>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</si>
  <si>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</si>
  <si>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</si>
  <si>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</si>
  <si>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</si>
  <si>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</si>
  <si>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</si>
  <si>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</si>
  <si>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</si>
  <si>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</si>
  <si>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</si>
  <si>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</si>
  <si>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</si>
  <si>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</si>
  <si>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</si>
  <si>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</si>
  <si>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</si>
  <si>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</si>
  <si>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</si>
  <si>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</si>
  <si>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</si>
  <si>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</si>
  <si>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</si>
  <si>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</si>
  <si>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</si>
  <si>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</si>
  <si>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</si>
  <si>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</si>
  <si>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</si>
  <si>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</si>
  <si>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</si>
  <si>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</si>
  <si>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</si>
  <si>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</si>
  <si>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</si>
  <si>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</si>
  <si>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</si>
  <si>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</si>
  <si>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</si>
  <si>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</si>
  <si>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</si>
  <si>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</si>
  <si>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</si>
  <si>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</si>
  <si>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</si>
  <si>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</si>
  <si>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</si>
  <si>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</si>
  <si>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</si>
  <si>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</si>
  <si>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</si>
  <si>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</si>
  <si>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</si>
  <si>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</si>
  <si>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</si>
  <si>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</si>
  <si>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</si>
  <si>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</si>
  <si>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</si>
  <si>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</si>
  <si>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</si>
  <si>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</si>
  <si>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</si>
  <si>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</si>
  <si>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</si>
  <si>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</si>
  <si>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</si>
  <si>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</si>
  <si>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</si>
  <si>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</si>
  <si>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</si>
  <si>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</si>
  <si>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</si>
  <si>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</si>
  <si>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</si>
  <si>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</si>
  <si>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</si>
  <si>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</si>
  <si>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</si>
  <si>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</si>
  <si>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</si>
  <si>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</si>
  <si>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</si>
  <si>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</si>
  <si>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</si>
  <si>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</si>
  <si>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</si>
  <si>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</si>
  <si>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</si>
  <si>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</si>
  <si>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</si>
  <si>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</si>
  <si>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</si>
  <si>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</si>
  <si>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</si>
  <si>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</si>
  <si>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</si>
  <si>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</si>
  <si>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</si>
  <si>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</si>
  <si>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</si>
  <si>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</si>
  <si>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</si>
  <si>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</si>
  <si>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</si>
  <si>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</si>
  <si>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</si>
  <si>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</si>
  <si>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</si>
  <si>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</si>
  <si>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</si>
  <si>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</si>
  <si>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</si>
  <si>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</si>
  <si>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</si>
  <si>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</si>
  <si>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</si>
  <si>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</si>
  <si>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</si>
  <si>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</si>
  <si>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</si>
  <si>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</si>
  <si>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</si>
  <si>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</si>
  <si>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</si>
  <si>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</si>
  <si>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</si>
  <si>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</si>
  <si>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</si>
  <si>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</si>
  <si>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</si>
  <si>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</si>
  <si>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</si>
  <si>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</si>
  <si>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</si>
  <si>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</si>
  <si>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</si>
  <si>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</si>
  <si>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</si>
  <si>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</si>
  <si>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</si>
  <si>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</si>
  <si>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</si>
  <si>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</si>
  <si>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</si>
  <si>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</si>
  <si>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</si>
  <si>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</si>
  <si>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</si>
  <si>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</si>
  <si>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</si>
  <si>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</si>
  <si>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</si>
  <si>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</si>
  <si>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</si>
  <si>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</si>
  <si>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</si>
  <si>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</si>
  <si>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</si>
  <si>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</si>
  <si>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</si>
  <si>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</si>
  <si>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</si>
  <si>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</si>
  <si>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</si>
  <si>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</si>
  <si>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</si>
  <si>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</si>
  <si>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</si>
  <si>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</si>
  <si>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</si>
  <si>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</si>
  <si>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</si>
  <si>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</si>
  <si>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</si>
  <si>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</si>
  <si>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</si>
  <si>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</si>
  <si>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</si>
  <si>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</si>
  <si>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</si>
  <si>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</si>
  <si>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</si>
  <si>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</si>
  <si>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</si>
  <si>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</si>
  <si>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</si>
  <si>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</si>
  <si>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</si>
  <si>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</si>
  <si>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</si>
  <si>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</si>
  <si>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</si>
  <si>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</si>
  <si>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</si>
  <si>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</si>
  <si>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</si>
  <si>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</si>
  <si>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</si>
  <si>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</si>
  <si>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</si>
  <si>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</si>
  <si>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</si>
  <si>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</si>
  <si>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</si>
  <si>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</si>
  <si>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</si>
  <si>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</si>
  <si>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</si>
  <si>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</si>
  <si>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</si>
  <si>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</si>
  <si>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</si>
  <si>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</si>
  <si>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</si>
  <si>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</si>
  <si>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</si>
  <si>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</si>
  <si>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</si>
  <si>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</si>
  <si>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</si>
  <si>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</si>
  <si>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</si>
  <si>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</si>
  <si>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</si>
  <si>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</si>
  <si>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</si>
  <si>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</si>
  <si>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</si>
  <si>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</si>
  <si>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</si>
  <si>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</si>
  <si>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</si>
  <si>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</si>
  <si>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</si>
  <si>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</si>
  <si>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</si>
  <si>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</si>
  <si>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</si>
  <si>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</si>
  <si>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</si>
  <si>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</si>
  <si>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</si>
  <si>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</si>
  <si>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</si>
  <si>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</si>
  <si>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</si>
  <si>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</si>
  <si>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</si>
  <si>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</si>
  <si>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</si>
  <si>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</si>
  <si>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</si>
  <si>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</si>
  <si>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</si>
  <si>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</si>
  <si>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</si>
  <si>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</si>
  <si>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</si>
  <si>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</si>
  <si>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</si>
  <si>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</si>
  <si>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</si>
  <si>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</si>
  <si>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</si>
  <si>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</si>
  <si>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</si>
  <si>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</si>
  <si>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</si>
  <si>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</si>
  <si>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</si>
  <si>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</si>
  <si>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</si>
  <si>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</si>
  <si>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</si>
  <si>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</si>
  <si>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</si>
  <si>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</si>
  <si>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</si>
  <si>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</si>
  <si>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</si>
  <si>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</si>
  <si>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</si>
  <si>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</si>
  <si>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</si>
  <si>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</si>
  <si>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</si>
  <si>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</si>
  <si>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</si>
  <si>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</si>
  <si>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</si>
  <si>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</si>
  <si>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</si>
  <si>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</si>
  <si>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</si>
  <si>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</si>
  <si>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</si>
  <si>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</si>
  <si>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</si>
  <si>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</si>
  <si>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</si>
  <si>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</si>
  <si>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</si>
  <si>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</si>
  <si>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</si>
  <si>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</si>
  <si>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</si>
  <si>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</si>
  <si>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</si>
  <si>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</si>
  <si>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</si>
  <si>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</si>
  <si>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</si>
  <si>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</si>
  <si>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</si>
  <si>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</si>
  <si>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</si>
  <si>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</si>
  <si>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</si>
  <si>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</si>
  <si>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</si>
  <si>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</si>
  <si>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</si>
  <si>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</si>
  <si>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</si>
  <si>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</si>
  <si>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</si>
  <si>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</si>
  <si>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</si>
  <si>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</si>
  <si>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</si>
  <si>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</si>
  <si>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</si>
  <si>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</si>
  <si>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</si>
  <si>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</si>
  <si>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</si>
  <si>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</si>
  <si>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</si>
  <si>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</si>
  <si>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</si>
  <si>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</si>
  <si>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</si>
  <si>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</si>
  <si>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</si>
  <si>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</si>
  <si>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</si>
  <si>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</si>
  <si>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</si>
  <si>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</si>
  <si>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</si>
  <si>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</si>
  <si>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</si>
  <si>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</si>
  <si>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</si>
  <si>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</si>
  <si>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</si>
  <si>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</si>
  <si>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</si>
  <si>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</si>
  <si>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</si>
  <si>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</si>
  <si>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</si>
  <si>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</si>
  <si>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</si>
  <si>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</si>
  <si>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</si>
  <si>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</si>
  <si>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</si>
  <si>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</si>
  <si>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</si>
  <si>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</si>
  <si>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</si>
  <si>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</si>
  <si>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</si>
  <si>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</si>
  <si>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</si>
  <si>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</si>
  <si>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</si>
  <si>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</si>
  <si>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</si>
  <si>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</si>
  <si>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</si>
  <si>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</si>
  <si>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</si>
  <si>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</si>
  <si>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</si>
  <si>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</si>
  <si>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</si>
  <si>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</si>
  <si>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</si>
  <si>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</si>
  <si>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</si>
  <si>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</si>
  <si>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</si>
  <si>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</si>
  <si>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</si>
  <si>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</si>
  <si>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</si>
  <si>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</si>
  <si>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</si>
  <si>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</si>
  <si>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</si>
  <si>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</si>
  <si>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</si>
  <si>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</si>
  <si>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</si>
  <si>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</si>
  <si>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</si>
  <si>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</si>
  <si>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</si>
  <si>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</si>
  <si>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</si>
  <si>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</si>
  <si>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</si>
  <si>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</si>
  <si>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</si>
  <si>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</si>
  <si>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</si>
  <si>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</si>
  <si>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</si>
  <si>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</si>
  <si>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</si>
  <si>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</si>
  <si>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</si>
  <si>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</si>
  <si>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</si>
  <si>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</si>
  <si>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</si>
  <si>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</si>
  <si>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</si>
  <si>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</si>
  <si>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</si>
  <si>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</si>
  <si>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</si>
  <si>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</si>
  <si>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</si>
  <si>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</si>
  <si>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</si>
  <si>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</si>
  <si>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</si>
  <si>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</si>
  <si>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</si>
  <si>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</si>
  <si>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</si>
  <si>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</si>
  <si>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</si>
  <si>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</si>
  <si>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</si>
  <si>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</si>
  <si>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</si>
  <si>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</si>
  <si>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</si>
  <si>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</si>
  <si>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</si>
  <si>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</si>
  <si>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</si>
  <si>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</si>
  <si>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</si>
  <si>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</si>
  <si>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</si>
  <si>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</si>
  <si>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</si>
  <si>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</si>
  <si>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</si>
  <si>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</si>
  <si>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</si>
  <si>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</si>
  <si>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</si>
  <si>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</si>
  <si>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</si>
  <si>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</si>
  <si>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</si>
  <si>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</si>
  <si>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</si>
  <si>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</si>
  <si>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</si>
  <si>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</si>
  <si>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</si>
  <si>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</si>
  <si>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</si>
  <si>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</si>
  <si>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</si>
  <si>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</si>
  <si>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</si>
  <si>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</si>
  <si>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</si>
  <si>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</si>
  <si>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</si>
  <si>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</si>
  <si>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</si>
  <si>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</si>
  <si>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</si>
  <si>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</si>
  <si>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</si>
  <si>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</si>
  <si>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</si>
  <si>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</si>
  <si>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</si>
  <si>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</si>
  <si>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</si>
  <si>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</si>
  <si>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</si>
  <si>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</si>
  <si>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</si>
  <si>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</si>
  <si>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</si>
  <si>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</si>
  <si>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</si>
  <si>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</si>
  <si>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</si>
  <si>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</si>
  <si>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</si>
  <si>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</si>
  <si>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</si>
  <si>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</si>
  <si>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</si>
  <si>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</si>
  <si>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</si>
  <si>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</si>
  <si>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</si>
  <si>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</si>
  <si>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</si>
  <si>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</si>
  <si>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</si>
  <si>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</si>
  <si>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</si>
  <si>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</si>
  <si>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</si>
  <si>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</si>
  <si>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</si>
  <si>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</si>
  <si>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</si>
  <si>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</si>
  <si>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</si>
  <si>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</si>
  <si>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</si>
  <si>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</si>
  <si>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</si>
  <si>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</si>
  <si>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</si>
  <si>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</si>
  <si>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</si>
  <si>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</si>
  <si>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</si>
  <si>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</si>
  <si>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</si>
  <si>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</si>
  <si>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</si>
  <si>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</si>
  <si>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</si>
  <si>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</si>
  <si>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</si>
  <si>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</si>
  <si>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</si>
  <si>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</si>
  <si>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</si>
  <si>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</si>
  <si>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</si>
  <si>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</si>
  <si>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</si>
  <si>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</si>
  <si>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</si>
  <si>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</si>
  <si>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</si>
  <si>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</si>
  <si>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</si>
  <si>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</si>
  <si>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</si>
  <si>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</si>
  <si>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</si>
  <si>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</si>
  <si>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</si>
  <si>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</si>
  <si>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</si>
  <si>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</si>
  <si>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</si>
  <si>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</si>
  <si>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</si>
  <si>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</si>
  <si>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</si>
  <si>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</si>
  <si>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</si>
  <si>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</si>
  <si>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</si>
  <si>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</si>
  <si>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</si>
  <si>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</si>
  <si>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</si>
  <si>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</si>
  <si>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</si>
  <si>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</si>
  <si>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</si>
  <si>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</si>
  <si>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</si>
  <si>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</si>
  <si>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</si>
  <si>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</si>
  <si>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</si>
  <si>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</si>
  <si>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</si>
  <si>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</si>
  <si>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</si>
  <si>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</si>
  <si>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</si>
  <si>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</si>
  <si>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</si>
  <si>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</si>
  <si>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</si>
  <si>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</si>
  <si>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</si>
  <si>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</si>
  <si>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</si>
  <si>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</si>
  <si>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</si>
  <si>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</si>
  <si>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</si>
  <si>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</si>
  <si>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</si>
  <si>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</si>
  <si>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</si>
  <si>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</si>
  <si>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</si>
  <si>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</si>
  <si>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</si>
  <si>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</si>
  <si>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</si>
  <si>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</si>
  <si>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</si>
  <si>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</si>
  <si>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</si>
  <si>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</si>
  <si>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</si>
  <si>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</si>
  <si>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</si>
  <si>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</si>
  <si>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</si>
  <si>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</si>
  <si>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</si>
  <si>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</si>
  <si>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</si>
  <si>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</si>
  <si>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</si>
  <si>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</si>
  <si>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</si>
  <si>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</si>
  <si>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</si>
  <si>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</si>
  <si>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</si>
  <si>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</si>
  <si>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</si>
  <si>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</si>
  <si>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</si>
  <si>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</si>
  <si>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</si>
  <si>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</si>
  <si>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</si>
  <si>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</si>
  <si>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</si>
  <si>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</si>
  <si>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</si>
  <si>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</si>
  <si>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</si>
  <si>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</si>
  <si>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</si>
  <si>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</si>
  <si>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</si>
  <si>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</si>
  <si>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</si>
  <si>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</si>
  <si>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</si>
  <si>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</si>
  <si>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</si>
  <si>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</si>
  <si>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</si>
  <si>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</si>
  <si>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</si>
  <si>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</si>
  <si>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</si>
  <si>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</si>
  <si>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</si>
  <si>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</si>
  <si>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</si>
  <si>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</si>
  <si>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</si>
  <si>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</si>
  <si>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</si>
  <si>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</si>
  <si>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</si>
  <si>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</si>
  <si>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</si>
  <si>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</si>
  <si>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</si>
  <si>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</si>
  <si>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</si>
  <si>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</si>
  <si>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</si>
  <si>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</si>
  <si>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</si>
  <si>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</si>
  <si>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</si>
  <si>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</si>
  <si>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</si>
  <si>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</si>
  <si>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</si>
  <si>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</si>
  <si>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</si>
  <si>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</si>
  <si>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</si>
  <si>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</si>
  <si>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</si>
  <si>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</si>
  <si>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</si>
  <si>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</si>
  <si>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</si>
  <si>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</si>
  <si>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</si>
  <si>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</si>
  <si>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</si>
  <si>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</si>
  <si>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</si>
  <si>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</si>
  <si>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</si>
  <si>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</si>
  <si>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</si>
  <si>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</si>
  <si>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</si>
  <si>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</si>
  <si>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</si>
  <si>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</si>
  <si>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</si>
  <si>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</si>
  <si>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</si>
  <si>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</si>
  <si>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</si>
  <si>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</si>
  <si>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</si>
  <si>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</si>
  <si>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</si>
  <si>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</si>
  <si>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</si>
  <si>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</si>
  <si>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</si>
  <si>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</si>
  <si>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</si>
  <si>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</si>
  <si>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</si>
  <si>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</si>
  <si>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</si>
  <si>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</si>
  <si>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</si>
  <si>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</si>
  <si>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</si>
  <si>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</si>
  <si>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</si>
  <si>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</si>
  <si>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</si>
  <si>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</si>
  <si>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</si>
  <si>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</si>
  <si>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</si>
  <si>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</si>
  <si>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</si>
  <si>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</si>
  <si>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</si>
  <si>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</si>
  <si>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</si>
  <si>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</si>
  <si>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</si>
  <si>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</si>
  <si>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</si>
  <si>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</si>
  <si>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</si>
  <si>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</si>
  <si>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</si>
  <si>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</si>
  <si>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</si>
  <si>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</si>
  <si>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</si>
  <si>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</si>
  <si>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</si>
  <si>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</si>
  <si>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</si>
  <si>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</si>
  <si>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</si>
  <si>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</si>
  <si>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</si>
  <si>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</si>
  <si>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</si>
  <si>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</si>
  <si>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</si>
  <si>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</si>
  <si>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</si>
  <si>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</si>
  <si>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</si>
  <si>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</si>
  <si>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</si>
  <si>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</si>
  <si>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</si>
  <si>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</si>
  <si>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</si>
  <si>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</si>
  <si>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</si>
  <si>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</si>
  <si>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</si>
  <si>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</si>
  <si>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</si>
  <si>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</si>
  <si>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</si>
  <si>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</si>
  <si>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</si>
  <si>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</si>
  <si>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</si>
  <si>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</si>
  <si>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</si>
  <si>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</si>
  <si>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</si>
  <si>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</si>
  <si>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</si>
  <si>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</si>
  <si>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</si>
  <si>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</si>
  <si>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</si>
  <si>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</si>
  <si>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</si>
  <si>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</si>
  <si>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</si>
  <si>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</si>
  <si>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</si>
  <si>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</si>
  <si>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</si>
  <si>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</si>
  <si>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</si>
  <si>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</si>
  <si>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</si>
  <si>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</si>
  <si>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</si>
  <si>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</si>
  <si>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</si>
  <si>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</si>
  <si>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</si>
  <si>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</si>
  <si>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</si>
  <si>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</si>
  <si>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</si>
  <si>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</si>
  <si>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</si>
  <si>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</si>
  <si>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</si>
  <si>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</si>
  <si>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</si>
  <si>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</si>
  <si>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</si>
  <si>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</si>
  <si>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</si>
  <si>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</si>
  <si>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</si>
  <si>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</si>
  <si>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</si>
  <si>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</si>
  <si>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</si>
  <si>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</si>
  <si>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</si>
  <si>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</si>
  <si>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</si>
  <si>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</si>
  <si>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</si>
  <si>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</si>
  <si>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</si>
  <si>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</si>
  <si>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</si>
  <si>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</si>
  <si>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</si>
  <si>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</si>
  <si>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</si>
  <si>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</si>
  <si>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</si>
  <si>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</si>
  <si>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</si>
  <si>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</si>
  <si>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</si>
  <si>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</si>
  <si>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</si>
  <si>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</si>
  <si>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</si>
  <si>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</si>
  <si>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</si>
  <si>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</si>
  <si>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</si>
  <si>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</si>
  <si>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</si>
  <si>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</si>
  <si>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</si>
  <si>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</si>
  <si>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</si>
  <si>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</si>
  <si>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</si>
  <si>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</si>
  <si>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</si>
  <si>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</si>
  <si>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</si>
  <si>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</si>
  <si>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</si>
  <si>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</si>
  <si>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</si>
  <si>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</si>
  <si>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</si>
  <si>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</si>
  <si>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</si>
  <si>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</si>
  <si>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</si>
  <si>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</si>
  <si>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</si>
  <si>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</si>
  <si>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</si>
  <si>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</si>
  <si>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</si>
  <si>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</si>
  <si>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</si>
  <si>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</si>
  <si>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</si>
  <si>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</si>
  <si>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</si>
  <si>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</si>
  <si>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</si>
  <si>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</si>
  <si>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</si>
  <si>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</si>
  <si>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</si>
  <si>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</si>
  <si>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</si>
  <si>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</si>
  <si>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</si>
  <si>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</si>
  <si>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</si>
  <si>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</si>
  <si>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</si>
  <si>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</si>
  <si>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</si>
  <si>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</si>
  <si>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</si>
  <si>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</si>
  <si>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</si>
  <si>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</si>
  <si>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</si>
  <si>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</si>
  <si>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</si>
  <si>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</si>
  <si>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</si>
  <si>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</si>
  <si>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</si>
  <si>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</si>
  <si>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</si>
  <si>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</si>
  <si>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</si>
  <si>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</si>
  <si>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</si>
  <si>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</si>
  <si>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</si>
  <si>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</si>
  <si>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</si>
  <si>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</si>
  <si>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</si>
  <si>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</si>
  <si>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</si>
  <si>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</si>
  <si>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</si>
  <si>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</si>
  <si>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</si>
  <si>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</si>
  <si>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</si>
  <si>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</si>
  <si>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</si>
  <si>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</si>
  <si>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</si>
  <si>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</si>
  <si>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</si>
  <si>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</si>
  <si>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</si>
  <si>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</si>
  <si>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</si>
  <si>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</si>
  <si>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</si>
  <si>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</si>
  <si>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</si>
  <si>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</si>
  <si>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</si>
  <si>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</si>
  <si>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</si>
  <si>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</si>
  <si>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</si>
  <si>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</si>
  <si>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</si>
  <si>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</si>
  <si>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</si>
  <si>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</si>
  <si>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</si>
  <si>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</si>
  <si>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</si>
  <si>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</si>
  <si>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</si>
  <si>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</si>
  <si>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</si>
  <si>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</si>
  <si>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</si>
  <si>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</si>
  <si>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</si>
  <si>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</si>
  <si>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</si>
  <si>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</si>
  <si>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</si>
  <si>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</si>
  <si>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</si>
  <si>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</si>
  <si>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</si>
  <si>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</si>
  <si>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</si>
  <si>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</si>
  <si>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</si>
  <si>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</si>
  <si>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</si>
  <si>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</si>
  <si>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</si>
  <si>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</si>
  <si>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</si>
  <si>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</si>
  <si>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</si>
  <si>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</si>
  <si>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</si>
  <si>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</si>
  <si>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</si>
  <si>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</si>
  <si>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</si>
  <si>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</si>
  <si>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</si>
  <si>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</si>
  <si>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</si>
  <si>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</si>
  <si>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</si>
  <si>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</si>
  <si>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</si>
  <si>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</si>
  <si>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</si>
  <si>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</si>
  <si>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</si>
  <si>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</si>
  <si>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</si>
  <si>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</si>
  <si>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</si>
  <si>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</si>
  <si>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</si>
  <si>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</si>
  <si>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</si>
  <si>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</si>
  <si>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</si>
  <si>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</si>
  <si>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</si>
  <si>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</si>
  <si>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</si>
  <si>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</si>
  <si>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</si>
  <si>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</si>
  <si>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</si>
  <si>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</si>
  <si>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</si>
  <si>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</si>
  <si>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</si>
  <si>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</si>
  <si>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</si>
  <si>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</si>
  <si>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</si>
  <si>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</si>
  <si>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</si>
  <si>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</si>
  <si>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</si>
  <si>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</si>
  <si>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</si>
  <si>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</si>
  <si>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</si>
  <si>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</si>
  <si>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</si>
  <si>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</si>
  <si>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</si>
  <si>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</si>
  <si>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</si>
  <si>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</si>
  <si>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</si>
  <si>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</si>
  <si>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</si>
  <si>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</si>
  <si>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</si>
  <si>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</si>
  <si>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</si>
  <si>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</si>
  <si>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</si>
  <si>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</si>
  <si>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</si>
  <si>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</si>
  <si>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</si>
  <si>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</si>
  <si>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</si>
  <si>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</si>
  <si>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</si>
  <si>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</si>
  <si>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</si>
  <si>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</si>
  <si>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</si>
  <si>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</si>
  <si>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</si>
  <si>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</si>
  <si>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</si>
  <si>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</si>
  <si>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</si>
  <si>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</si>
  <si>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</si>
  <si>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</si>
  <si>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</si>
  <si>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</si>
  <si>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</si>
  <si>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</si>
  <si>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</si>
  <si>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</si>
  <si>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</si>
  <si>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</si>
  <si>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</si>
  <si>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</si>
  <si>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</si>
  <si>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</si>
  <si>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</si>
  <si>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</si>
  <si>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</si>
  <si>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</si>
  <si>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</si>
  <si>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</si>
  <si>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</si>
  <si>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</si>
  <si>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</si>
  <si>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</si>
  <si>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</si>
  <si>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</si>
  <si>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</si>
  <si>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</si>
  <si>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</si>
  <si>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</si>
  <si>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</si>
  <si>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</si>
  <si>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</si>
  <si>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</si>
  <si>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</si>
  <si>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</si>
  <si>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</si>
  <si>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</si>
  <si>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</si>
  <si>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</si>
  <si>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</si>
  <si>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</si>
  <si>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</si>
  <si>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</si>
  <si>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</si>
  <si>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</si>
  <si>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</si>
  <si>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</si>
  <si>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</si>
  <si>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</si>
  <si>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</si>
  <si>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</si>
  <si>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</si>
  <si>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</si>
  <si>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</si>
  <si>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</si>
  <si>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</si>
  <si>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</si>
  <si>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</si>
  <si>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</si>
  <si>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</si>
  <si>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</si>
  <si>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</si>
  <si>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</si>
  <si>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</si>
  <si>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</si>
  <si>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</si>
  <si>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</si>
  <si>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</si>
  <si>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</si>
  <si>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</si>
  <si>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</si>
  <si>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</si>
  <si>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</si>
  <si>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</si>
  <si>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</si>
  <si>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</si>
  <si>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</si>
  <si>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</si>
  <si>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</si>
  <si>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</si>
  <si>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</si>
  <si>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</si>
  <si>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</si>
  <si>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</si>
  <si>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</si>
  <si>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</si>
  <si>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</si>
  <si>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</si>
  <si>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</si>
  <si>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</si>
  <si>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</si>
  <si>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</si>
  <si>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</si>
  <si>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</si>
  <si>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</si>
  <si>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</si>
  <si>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</si>
  <si>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</si>
  <si>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</si>
  <si>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</si>
  <si>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</si>
  <si>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</si>
  <si>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</si>
  <si>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</si>
  <si>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</si>
  <si>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</si>
  <si>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</si>
  <si>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</si>
  <si>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</si>
  <si>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</si>
  <si>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</si>
  <si>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</si>
  <si>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</si>
  <si>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</si>
  <si>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</si>
  <si>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</si>
  <si>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</si>
  <si>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</si>
  <si>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</si>
  <si>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</si>
  <si>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</si>
  <si>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</si>
  <si>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</si>
  <si>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</si>
  <si>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</si>
  <si>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</si>
  <si>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</si>
  <si>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</si>
  <si>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</si>
  <si>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</si>
  <si>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</si>
  <si>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</si>
  <si>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</si>
  <si>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</si>
  <si>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</si>
  <si>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</si>
  <si>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</si>
  <si>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</si>
  <si>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</si>
  <si>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</si>
  <si>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</si>
  <si>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</si>
  <si>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</si>
  <si>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</si>
  <si>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</si>
  <si>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</si>
  <si>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</si>
  <si>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</si>
  <si>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</si>
  <si>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</si>
  <si>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</si>
  <si>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</si>
  <si>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</si>
  <si>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</si>
  <si>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</si>
  <si>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</si>
  <si>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</si>
  <si>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</si>
  <si>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</si>
  <si>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</si>
  <si>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</si>
  <si>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</si>
  <si>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</si>
  <si>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</si>
  <si>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</si>
  <si>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</si>
  <si>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</si>
  <si>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</si>
  <si>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</si>
  <si>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</si>
  <si>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</si>
  <si>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</si>
  <si>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</si>
  <si>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</si>
  <si>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</si>
  <si>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</si>
  <si>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</si>
  <si>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</si>
  <si>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</si>
  <si>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</si>
  <si>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</si>
  <si>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</si>
  <si>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</si>
  <si>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</si>
  <si>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</si>
  <si>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</si>
  <si>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</si>
  <si>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</si>
  <si>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</si>
  <si>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</si>
  <si>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</si>
  <si>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</si>
  <si>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</si>
  <si>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</si>
  <si>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</si>
  <si>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</si>
  <si>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</si>
  <si>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</si>
  <si>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</si>
  <si>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</si>
  <si>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</si>
  <si>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</si>
  <si>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</si>
  <si>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</si>
  <si>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</si>
  <si>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</si>
  <si>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</si>
  <si>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</si>
  <si>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</si>
  <si>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</si>
  <si>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</si>
  <si>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</si>
  <si>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</si>
  <si>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</si>
  <si>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</si>
  <si>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</si>
  <si>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</si>
  <si>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</si>
  <si>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</si>
  <si>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</si>
  <si>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</si>
  <si>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</si>
  <si>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</si>
  <si>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</si>
  <si>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</si>
  <si>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</si>
  <si>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</si>
  <si>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</si>
  <si>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</si>
  <si>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</si>
  <si>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</si>
  <si>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</si>
  <si>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</si>
  <si>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</si>
  <si>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</si>
  <si>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</si>
  <si>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</si>
  <si>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</si>
  <si>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</si>
  <si>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</si>
  <si>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</si>
  <si>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</si>
  <si>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</si>
  <si>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</si>
  <si>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</si>
  <si>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</si>
  <si>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</si>
  <si>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</si>
  <si>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</si>
  <si>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</si>
  <si>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</si>
  <si>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</si>
  <si>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</si>
  <si>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</si>
  <si>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</si>
  <si>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</si>
  <si>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</si>
  <si>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</si>
  <si>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</si>
  <si>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</si>
  <si>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</si>
  <si>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</si>
  <si>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</si>
  <si>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</si>
  <si>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</si>
  <si>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</si>
  <si>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</si>
  <si>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</si>
  <si>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</si>
  <si>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</si>
  <si>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</si>
  <si>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</si>
  <si>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</si>
  <si>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</si>
  <si>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</si>
  <si>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</si>
  <si>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</si>
  <si>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</si>
  <si>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</si>
  <si>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</si>
  <si>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</si>
  <si>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</si>
  <si>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</si>
  <si>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</si>
  <si>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</si>
  <si>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</si>
  <si>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</si>
  <si>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</si>
  <si>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</si>
  <si>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</si>
  <si>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</si>
  <si>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</si>
  <si>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</si>
  <si>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</si>
  <si>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</si>
  <si>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</si>
  <si>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</si>
  <si>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</si>
  <si>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</si>
  <si>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</si>
  <si>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</si>
  <si>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</si>
  <si>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</si>
  <si>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</si>
  <si>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</si>
  <si>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</si>
  <si>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</si>
  <si>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</si>
  <si>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</si>
  <si>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</si>
  <si>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</si>
  <si>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</si>
  <si>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</si>
  <si>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</si>
  <si>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</si>
  <si>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</si>
  <si>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</si>
  <si>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</si>
  <si>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</si>
  <si>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</si>
  <si>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</si>
  <si>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</si>
  <si>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</si>
  <si>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</si>
  <si>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</si>
  <si>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</si>
  <si>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</si>
  <si>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</si>
  <si>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</si>
  <si>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</si>
  <si>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</si>
  <si>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</si>
  <si>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</si>
  <si>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</si>
  <si>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</si>
  <si>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</si>
  <si>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</si>
  <si>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</si>
  <si>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</si>
  <si>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</si>
  <si>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</si>
  <si>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</si>
  <si>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</si>
  <si>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</si>
  <si>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</si>
  <si>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</si>
  <si>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</si>
  <si>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</si>
  <si>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</si>
  <si>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</si>
  <si>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</si>
  <si>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</si>
  <si>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</si>
  <si>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</si>
  <si>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</si>
  <si>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</si>
  <si>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</si>
  <si>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</si>
  <si>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</si>
  <si>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</si>
  <si>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</si>
  <si>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</si>
  <si>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</si>
  <si>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</si>
  <si>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</si>
  <si>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</si>
  <si>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</si>
  <si>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</si>
  <si>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</si>
  <si>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</si>
  <si>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</si>
  <si>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</si>
  <si>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</si>
  <si>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</si>
  <si>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</si>
  <si>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</si>
  <si>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</si>
  <si>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</si>
  <si>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</si>
  <si>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</si>
  <si>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</si>
  <si>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</si>
  <si>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</si>
  <si>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</si>
  <si>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</si>
  <si>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</si>
  <si>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</si>
  <si>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</si>
  <si>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</si>
  <si>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</si>
  <si>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</si>
  <si>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</si>
  <si>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</si>
  <si>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</si>
  <si>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</si>
  <si>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</si>
  <si>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</si>
  <si>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</si>
  <si>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</si>
  <si>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</si>
  <si>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</si>
  <si>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</si>
  <si>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</si>
  <si>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</si>
  <si>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</si>
  <si>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</si>
  <si>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</si>
  <si>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</si>
  <si>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</si>
  <si>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</si>
  <si>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</si>
  <si>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</si>
  <si>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</si>
  <si>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</si>
  <si>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</si>
  <si>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</si>
  <si>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</si>
  <si>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</si>
  <si>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</si>
  <si>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</si>
  <si>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</si>
  <si>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</si>
  <si>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2013-2014</t>
  </si>
  <si>
    <t>Dublianski</t>
  </si>
  <si>
    <t>Gaspard</t>
  </si>
  <si>
    <t>Gesunder</t>
  </si>
  <si>
    <t>Gorczanski</t>
  </si>
  <si>
    <t>Lembkes</t>
  </si>
  <si>
    <t>Major</t>
  </si>
  <si>
    <t>Markus</t>
  </si>
  <si>
    <t>Matador</t>
  </si>
  <si>
    <t>Moldavia</t>
  </si>
  <si>
    <t>Oleski</t>
  </si>
  <si>
    <t>Orléans</t>
  </si>
  <si>
    <t>Polux</t>
  </si>
  <si>
    <t>Pradel</t>
  </si>
  <si>
    <t>Prerouska</t>
  </si>
  <si>
    <t>Ramses</t>
  </si>
  <si>
    <t>Rapol</t>
  </si>
  <si>
    <t>Rochechouard</t>
  </si>
  <si>
    <t>Sinus</t>
  </si>
  <si>
    <t>Titus</t>
  </si>
  <si>
    <t>Tonus</t>
  </si>
  <si>
    <t>Victor</t>
  </si>
  <si>
    <t>Zeruca</t>
  </si>
  <si>
    <t>Askari</t>
  </si>
  <si>
    <t>Aztec</t>
  </si>
  <si>
    <t>Belinda</t>
  </si>
  <si>
    <t>Beryl</t>
  </si>
  <si>
    <t>Brink</t>
  </si>
  <si>
    <t>Constable</t>
  </si>
  <si>
    <t>Doral</t>
  </si>
  <si>
    <t>Emil</t>
  </si>
  <si>
    <t>Expander</t>
  </si>
  <si>
    <t>Janpol</t>
  </si>
  <si>
    <t>Korina</t>
  </si>
  <si>
    <t>Kurander</t>
  </si>
  <si>
    <t>Lesira</t>
  </si>
  <si>
    <t>Ligora</t>
  </si>
  <si>
    <t>Primor</t>
  </si>
  <si>
    <t>Rafal</t>
  </si>
  <si>
    <t>Start</t>
  </si>
  <si>
    <t>Valdor</t>
  </si>
  <si>
    <t>Adriana</t>
  </si>
  <si>
    <t>Akamar</t>
  </si>
  <si>
    <t>Alesi</t>
  </si>
  <si>
    <t>Aligator</t>
  </si>
  <si>
    <t>Amber</t>
  </si>
  <si>
    <t>Ariana</t>
  </si>
  <si>
    <t>Atlantic</t>
  </si>
  <si>
    <t>Aurum</t>
  </si>
  <si>
    <t>Bellini</t>
  </si>
  <si>
    <t>Boston</t>
  </si>
  <si>
    <t>Caddy</t>
  </si>
  <si>
    <t>Campala</t>
  </si>
  <si>
    <t>Canberra</t>
  </si>
  <si>
    <t>Cancan</t>
  </si>
  <si>
    <t>Capitol</t>
  </si>
  <si>
    <t>Capricorn</t>
  </si>
  <si>
    <t>CAPVERT</t>
  </si>
  <si>
    <t>Ceres</t>
  </si>
  <si>
    <t>Chelsi</t>
  </si>
  <si>
    <t>Cheops</t>
  </si>
  <si>
    <t>Courage</t>
  </si>
  <si>
    <t>Darmor</t>
  </si>
  <si>
    <t>Doublol</t>
  </si>
  <si>
    <t>Ecrin</t>
  </si>
  <si>
    <t>Eleonore</t>
  </si>
  <si>
    <t>Escort</t>
  </si>
  <si>
    <t>Evri</t>
  </si>
  <si>
    <t>Frederic</t>
  </si>
  <si>
    <t>Goeland</t>
  </si>
  <si>
    <t>Grizzly</t>
  </si>
  <si>
    <t>Ibex</t>
  </si>
  <si>
    <t>Idol</t>
  </si>
  <si>
    <t>Inca</t>
  </si>
  <si>
    <t>Jetton</t>
  </si>
  <si>
    <t>Kadore</t>
  </si>
  <si>
    <t>Kosto</t>
  </si>
  <si>
    <t>Lewis</t>
  </si>
  <si>
    <t>Liberator</t>
  </si>
  <si>
    <t>Licorne</t>
  </si>
  <si>
    <t>Lioness</t>
  </si>
  <si>
    <t>Liporta</t>
  </si>
  <si>
    <t>Lirabon</t>
  </si>
  <si>
    <t>Lirajet</t>
  </si>
  <si>
    <t>Madrigal</t>
  </si>
  <si>
    <t>Makila</t>
  </si>
  <si>
    <t>Mar</t>
  </si>
  <si>
    <t>Milena</t>
  </si>
  <si>
    <t>Montego</t>
  </si>
  <si>
    <t>Navajo</t>
  </si>
  <si>
    <t>Oase</t>
  </si>
  <si>
    <t>Olymp</t>
  </si>
  <si>
    <t>PAYROL</t>
  </si>
  <si>
    <t>Pollen</t>
  </si>
  <si>
    <t>Potomac</t>
  </si>
  <si>
    <t>Prince</t>
  </si>
  <si>
    <t>Recital</t>
  </si>
  <si>
    <t>Remy</t>
  </si>
  <si>
    <t>Rocket</t>
  </si>
  <si>
    <t>Roxet</t>
  </si>
  <si>
    <t>Sahara</t>
  </si>
  <si>
    <t>Salomont</t>
  </si>
  <si>
    <t>Shogun</t>
  </si>
  <si>
    <t>TAROX</t>
  </si>
  <si>
    <t>Tenor</t>
  </si>
  <si>
    <t>TOR</t>
  </si>
  <si>
    <t>Tradition</t>
  </si>
  <si>
    <t>Twister</t>
  </si>
  <si>
    <t>Zorro</t>
  </si>
  <si>
    <t>Kromerska1-DS1</t>
  </si>
  <si>
    <t>Madora2-DS3</t>
  </si>
  <si>
    <t>Madora3-DS1</t>
  </si>
  <si>
    <t>Olimpiade2-DS2</t>
  </si>
  <si>
    <t>Regal2-DS1</t>
  </si>
  <si>
    <t>Sarepta</t>
  </si>
  <si>
    <t>Bristol</t>
  </si>
  <si>
    <t>Tosca</t>
  </si>
  <si>
    <t>Aviso</t>
  </si>
  <si>
    <t>Jupiter</t>
  </si>
  <si>
    <t>Quinta</t>
  </si>
  <si>
    <t>ESASTRID</t>
  </si>
  <si>
    <t>Mohican</t>
  </si>
  <si>
    <t>ESC1132</t>
  </si>
  <si>
    <t>ADRIANA</t>
  </si>
  <si>
    <t>AMILLIA</t>
  </si>
  <si>
    <t>ANGELINA</t>
  </si>
  <si>
    <t>COOPER</t>
  </si>
  <si>
    <t>LADOGA</t>
  </si>
  <si>
    <t>MANITOBA</t>
  </si>
  <si>
    <t>OKAPI</t>
  </si>
  <si>
    <t>ONTARIO</t>
  </si>
  <si>
    <t>PAMELA</t>
  </si>
  <si>
    <t>TASMAN</t>
  </si>
  <si>
    <t>Maccarena</t>
  </si>
  <si>
    <t>RAGT-01</t>
  </si>
  <si>
    <t>RAGT-02</t>
  </si>
  <si>
    <t>RAGT-03</t>
  </si>
  <si>
    <t>RAGT-04</t>
  </si>
  <si>
    <t>RAGT-05</t>
  </si>
  <si>
    <t>RAGT-06</t>
  </si>
  <si>
    <t>RAGT-07</t>
  </si>
  <si>
    <t>RAGT-08</t>
  </si>
  <si>
    <t>RAGT-09</t>
  </si>
  <si>
    <t>RAGT-10</t>
  </si>
  <si>
    <t>SYN01</t>
  </si>
  <si>
    <t>SYN02</t>
  </si>
  <si>
    <t>SYN03</t>
  </si>
  <si>
    <t>SYN04</t>
  </si>
  <si>
    <t>SYN05</t>
  </si>
  <si>
    <t>SYN06</t>
  </si>
  <si>
    <t>SYN07</t>
  </si>
  <si>
    <t>SYN08</t>
  </si>
  <si>
    <t>SYN09</t>
  </si>
  <si>
    <t>SYN10</t>
  </si>
  <si>
    <t>RAGT-13</t>
  </si>
  <si>
    <t>RAGT-14</t>
  </si>
  <si>
    <t>RAGT-15</t>
  </si>
  <si>
    <t>SYNG11</t>
  </si>
  <si>
    <t>SYNG12</t>
  </si>
  <si>
    <t>RAPSO_002</t>
  </si>
  <si>
    <t>RAPSO_006</t>
  </si>
  <si>
    <t>RAPSO_008</t>
  </si>
  <si>
    <t>RAPSO_009</t>
  </si>
  <si>
    <t>RAPSO_011</t>
  </si>
  <si>
    <t>RAPSO_013</t>
  </si>
  <si>
    <t>RAPSO_014</t>
  </si>
  <si>
    <t>RAPSO_015</t>
  </si>
  <si>
    <t>RAPSO_017</t>
  </si>
  <si>
    <t>RAPSO_023</t>
  </si>
  <si>
    <t>RAPSO_027</t>
  </si>
  <si>
    <t>RAPSO_029</t>
  </si>
  <si>
    <t>RAPSO_030</t>
  </si>
  <si>
    <t>RAPSO_033</t>
  </si>
  <si>
    <t>RAPSO_035</t>
  </si>
  <si>
    <t>RAPSO_038</t>
  </si>
  <si>
    <t>RAPSO_040</t>
  </si>
  <si>
    <t>RAPSO_041</t>
  </si>
  <si>
    <t>RAPSO_043</t>
  </si>
  <si>
    <t>RAPSO_045</t>
  </si>
  <si>
    <t>RAPSO_046</t>
  </si>
  <si>
    <t>RAPSO_050</t>
  </si>
  <si>
    <t>RAPSO_051</t>
  </si>
  <si>
    <t>RAPSO_053</t>
  </si>
  <si>
    <t>RAPSO_054</t>
  </si>
  <si>
    <t>RAPSO_057</t>
  </si>
  <si>
    <t>RAPSO_062</t>
  </si>
  <si>
    <t>RAPSO_063</t>
  </si>
  <si>
    <t>RAPSO_064</t>
  </si>
  <si>
    <t>RAPSO_067</t>
  </si>
  <si>
    <t>RAPSO_068</t>
  </si>
  <si>
    <t>RAPSO_070</t>
  </si>
  <si>
    <t>RAPSO_072</t>
  </si>
  <si>
    <t>RAPSO_073</t>
  </si>
  <si>
    <t>RAPSO_075</t>
  </si>
  <si>
    <t>RAPSO_076</t>
  </si>
  <si>
    <t>RAPSO_077</t>
  </si>
  <si>
    <t>RAPSO_080</t>
  </si>
  <si>
    <t>RAPSO_081</t>
  </si>
  <si>
    <t>RAPSO_084</t>
  </si>
  <si>
    <t>RAPSO_085</t>
  </si>
  <si>
    <t>RAPSO_091</t>
  </si>
  <si>
    <t>RAPSO_098</t>
  </si>
  <si>
    <t>RAPSO_099</t>
  </si>
  <si>
    <t>RAPSO_102</t>
  </si>
  <si>
    <t>RAPSO_105</t>
  </si>
  <si>
    <t>RAPSO_108</t>
  </si>
  <si>
    <t>RAPSO_112</t>
  </si>
  <si>
    <t>RAPSO_115</t>
  </si>
  <si>
    <t>RAPSO_122</t>
  </si>
  <si>
    <t>RAPSO_124</t>
  </si>
  <si>
    <t>RAPSO_125</t>
  </si>
  <si>
    <t>RAPSO_128</t>
  </si>
  <si>
    <t>RAPSO_130</t>
  </si>
  <si>
    <t>RAPSO_131</t>
  </si>
  <si>
    <t>RAPSO_132</t>
  </si>
  <si>
    <t>RAPSO_135</t>
  </si>
  <si>
    <t>RAPSO_138</t>
  </si>
  <si>
    <t>RAPSO_139</t>
  </si>
  <si>
    <t>RAPSO_140</t>
  </si>
  <si>
    <t>RAPSO_144</t>
  </si>
  <si>
    <t>RAPSO_146</t>
  </si>
  <si>
    <t>RAPSO_148</t>
  </si>
  <si>
    <t>RAPSO_152</t>
  </si>
  <si>
    <t>RAPSO_154</t>
  </si>
  <si>
    <t>RAPSO_155</t>
  </si>
  <si>
    <t>RAPSO_156</t>
  </si>
  <si>
    <t>RAPSO_158</t>
  </si>
  <si>
    <t>RAPSO_160</t>
  </si>
  <si>
    <t>RAPSO_162</t>
  </si>
  <si>
    <t>RAPSO_165</t>
  </si>
  <si>
    <t>RAPSO_167</t>
  </si>
  <si>
    <t>RAPSO_168</t>
  </si>
  <si>
    <t>RAPSO_171</t>
  </si>
  <si>
    <t>RAPSO_174</t>
  </si>
  <si>
    <t>RAPSO_175</t>
  </si>
  <si>
    <t>RAPSO_176</t>
  </si>
  <si>
    <t>RAPSO_178</t>
  </si>
  <si>
    <t>RAPSO_180</t>
  </si>
  <si>
    <t>RAPSO_181</t>
  </si>
  <si>
    <t>RAPSO_187</t>
  </si>
  <si>
    <t>RAPSO_190</t>
  </si>
  <si>
    <t>RAPSO_193</t>
  </si>
  <si>
    <t>RAPSO_199</t>
  </si>
  <si>
    <t>RAPSO_202</t>
  </si>
  <si>
    <t>RAPSO_203</t>
  </si>
  <si>
    <t>RAPSO_207</t>
  </si>
  <si>
    <t>RAPSO_208</t>
  </si>
  <si>
    <t>RAPSO_209</t>
  </si>
  <si>
    <t>RAPSO_213</t>
  </si>
  <si>
    <t>RAPSO_215</t>
  </si>
  <si>
    <t>RAPSO_216</t>
  </si>
  <si>
    <t>RAPSO_219</t>
  </si>
  <si>
    <t>RAPSO_220</t>
  </si>
  <si>
    <t>RAPSO_222</t>
  </si>
  <si>
    <t>RAPSO_226</t>
  </si>
  <si>
    <t>RAPSO_227</t>
  </si>
  <si>
    <t>RAPSO_230</t>
  </si>
  <si>
    <t>RAPSO_231</t>
  </si>
  <si>
    <t>RAPSO_232</t>
  </si>
  <si>
    <t>RAPSO_234</t>
  </si>
  <si>
    <t>RAPSO_235</t>
  </si>
  <si>
    <t>RAPSO_238</t>
  </si>
  <si>
    <t>RAPSO_243</t>
  </si>
  <si>
    <t>RAPSO_245</t>
  </si>
  <si>
    <t>RAPSO_246</t>
  </si>
  <si>
    <t>RAPSO_248</t>
  </si>
  <si>
    <t>RAPSO_251</t>
  </si>
  <si>
    <t>RAPSO_253</t>
  </si>
  <si>
    <t>RAPSO_254</t>
  </si>
  <si>
    <t>RAPSO_256</t>
  </si>
  <si>
    <t>RAPSO_258</t>
  </si>
  <si>
    <t>RAPSO_259</t>
  </si>
  <si>
    <t>RAPSO_260</t>
  </si>
  <si>
    <t>RAPSO_261</t>
  </si>
  <si>
    <t>RAPSO_263</t>
  </si>
  <si>
    <t>RAPSO_265</t>
  </si>
  <si>
    <t>RAPSO_266</t>
  </si>
  <si>
    <t>RAPSO_267</t>
  </si>
  <si>
    <t>RAPSO_270</t>
  </si>
  <si>
    <t>RAPSO_271</t>
  </si>
  <si>
    <t>RAPSO_273</t>
  </si>
  <si>
    <t>RAPSO_277</t>
  </si>
  <si>
    <t>RAPSO_278</t>
  </si>
  <si>
    <t>RAPSO_281</t>
  </si>
  <si>
    <t>RAPSO_282</t>
  </si>
  <si>
    <t>RAPSO_292</t>
  </si>
  <si>
    <t>RAPSO_335</t>
  </si>
  <si>
    <t>RAPSO_342</t>
  </si>
  <si>
    <t>RAPSO_343</t>
  </si>
  <si>
    <t>RAPSO_349</t>
  </si>
  <si>
    <t>RAPSO_356</t>
  </si>
  <si>
    <t>RAPSO_363</t>
  </si>
  <si>
    <t>RAPSO_368</t>
  </si>
  <si>
    <t>RAPSO_375</t>
  </si>
  <si>
    <t>RAPSO_382</t>
  </si>
  <si>
    <t>RAPSO_387</t>
  </si>
  <si>
    <t>RAPSO_395</t>
  </si>
  <si>
    <t>RAPSO_402</t>
  </si>
  <si>
    <t>RAPSO_406</t>
  </si>
  <si>
    <t>RAPSO_411</t>
  </si>
  <si>
    <t>RAPSO_415</t>
  </si>
  <si>
    <t>RAPSO_418</t>
  </si>
  <si>
    <t>RAPSO_419</t>
  </si>
  <si>
    <t>RAPSO_430</t>
  </si>
  <si>
    <t>RAPSO_437</t>
  </si>
  <si>
    <t>RAPSO_456</t>
  </si>
  <si>
    <t>BRA_005</t>
  </si>
  <si>
    <t>BRA_006</t>
  </si>
  <si>
    <t>BRA_007</t>
  </si>
  <si>
    <t>BRA_008</t>
  </si>
  <si>
    <t>BRA_009</t>
  </si>
  <si>
    <t>BRA_010</t>
  </si>
  <si>
    <t>BRA_011</t>
  </si>
  <si>
    <t>MP001</t>
  </si>
  <si>
    <t>MP003</t>
  </si>
  <si>
    <t>RAPSO_294</t>
  </si>
  <si>
    <t>RAPSO_295</t>
  </si>
  <si>
    <t>RAPSO_296</t>
  </si>
  <si>
    <t>RAPSO_297</t>
  </si>
  <si>
    <t>RAPSO_298</t>
  </si>
  <si>
    <t>RAPSO_299</t>
  </si>
  <si>
    <t>RAPSO_300</t>
  </si>
  <si>
    <t>RAPSO_301</t>
  </si>
  <si>
    <t>RAPSO_302</t>
  </si>
  <si>
    <t>RAPSO_303</t>
  </si>
  <si>
    <t>RAPSO_304</t>
  </si>
  <si>
    <t>RAPSO_305</t>
  </si>
  <si>
    <t>RAPSO_306</t>
  </si>
  <si>
    <t>RAPSO_307</t>
  </si>
  <si>
    <t>RAPSO_308</t>
  </si>
  <si>
    <t>RAPSO_309</t>
  </si>
  <si>
    <t>RAPSO_310</t>
  </si>
  <si>
    <t>RAPSO_311</t>
  </si>
  <si>
    <t>RAPSO_312</t>
  </si>
  <si>
    <t>RAPSO_313</t>
  </si>
  <si>
    <t>RAPSO_314</t>
  </si>
  <si>
    <t>RAPSO_315</t>
  </si>
  <si>
    <t>RAPSO_316</t>
  </si>
  <si>
    <t>RAPSO_317</t>
  </si>
  <si>
    <t>RAPSO_318</t>
  </si>
  <si>
    <t>RAPSO_319</t>
  </si>
  <si>
    <t>RAPSO_320</t>
  </si>
  <si>
    <t>RAPSO_321</t>
  </si>
  <si>
    <t>RAPSO_322</t>
  </si>
  <si>
    <t>RAPSO_323</t>
  </si>
  <si>
    <t>RAPSO_324</t>
  </si>
  <si>
    <t>RAPSO_325</t>
  </si>
  <si>
    <t>RAPSO_326</t>
  </si>
  <si>
    <t>RAPSO_327</t>
  </si>
  <si>
    <t>RAPSO_328</t>
  </si>
  <si>
    <t>RAPSO_329</t>
  </si>
  <si>
    <t>RAPSO_330</t>
  </si>
  <si>
    <t>RAPSO_331</t>
  </si>
  <si>
    <t>RAPSO_332</t>
  </si>
  <si>
    <t>RAPSO_333</t>
  </si>
  <si>
    <t>RAPSO_334</t>
  </si>
  <si>
    <t>RAPSO_470</t>
  </si>
  <si>
    <t>RAPSO_471</t>
  </si>
  <si>
    <t>RAPSO_472</t>
  </si>
  <si>
    <t>RAPSO_473</t>
  </si>
  <si>
    <t>RAPSO_476</t>
  </si>
  <si>
    <t>RAPSO_477</t>
  </si>
  <si>
    <t>RAPSO_478</t>
  </si>
  <si>
    <t>RAPSO_479</t>
  </si>
  <si>
    <t>RAPSO_480</t>
  </si>
  <si>
    <t>Alsace 1360</t>
  </si>
  <si>
    <t>Fertodi elit</t>
  </si>
  <si>
    <t>Goldgelber Zarter Butter</t>
  </si>
  <si>
    <t>Gross Luzewiter</t>
  </si>
  <si>
    <t>Lembke</t>
  </si>
  <si>
    <t>Olquell Gulzover</t>
  </si>
  <si>
    <t>QuedLinburger Platzfester</t>
  </si>
  <si>
    <t>Bienvenu - R33</t>
  </si>
  <si>
    <t>Wira-INRA</t>
  </si>
  <si>
    <t>Bolko - POH 285</t>
  </si>
  <si>
    <t>NSL 96-25</t>
  </si>
  <si>
    <t>SW Gospel</t>
  </si>
  <si>
    <t xml:space="preserve">MANSHOLTS </t>
  </si>
  <si>
    <t xml:space="preserve">BLAGODATNYI </t>
  </si>
  <si>
    <t xml:space="preserve">CETMEKI </t>
  </si>
  <si>
    <t xml:space="preserve">DEBRUDER DIPPES </t>
  </si>
  <si>
    <t xml:space="preserve">EZSTERHAZY N.ST </t>
  </si>
  <si>
    <t xml:space="preserve">HOCHZUCHT REPOLE </t>
  </si>
  <si>
    <t xml:space="preserve">KOMBI </t>
  </si>
  <si>
    <t xml:space="preserve">KORMOVOI SKRIVERSKYI </t>
  </si>
  <si>
    <t xml:space="preserve">LJUBLANA </t>
  </si>
  <si>
    <t xml:space="preserve">MYTNINSKYI-2 </t>
  </si>
  <si>
    <t xml:space="preserve">NIEDERARNBACHER </t>
  </si>
  <si>
    <t xml:space="preserve">NOVOCHARTORYISKYI </t>
  </si>
  <si>
    <t xml:space="preserve">RANGI </t>
  </si>
  <si>
    <t xml:space="preserve">SNITYNSKYI </t>
  </si>
  <si>
    <t xml:space="preserve">KRASNODARSKYI </t>
  </si>
  <si>
    <t>ES-AGATHA</t>
  </si>
  <si>
    <t>ES-ALEGRIA</t>
  </si>
  <si>
    <t>ES-ALIENOR</t>
  </si>
  <si>
    <t>ES-CENTAURE</t>
  </si>
  <si>
    <t>ES-CUBIC</t>
  </si>
  <si>
    <t>ES-ANTONIA</t>
  </si>
  <si>
    <t>ES-BRAVA</t>
  </si>
  <si>
    <t>ES-VENUS</t>
  </si>
  <si>
    <t>ES-VIPER</t>
  </si>
  <si>
    <t>RAPSO_Compl_01 (euralis)</t>
  </si>
  <si>
    <t>RAPSO_Compl_02 (euralis)</t>
  </si>
  <si>
    <t>LE 1</t>
  </si>
  <si>
    <t>LE 2</t>
  </si>
  <si>
    <t>ALPAGA</t>
  </si>
  <si>
    <t>DKEXQUISITE</t>
  </si>
  <si>
    <t>Chateauroux</t>
  </si>
  <si>
    <t>FRA_36_CHAT</t>
  </si>
  <si>
    <t>Prot_Yield</t>
  </si>
  <si>
    <t>Oil_Yield</t>
  </si>
  <si>
    <t>CROP</t>
  </si>
  <si>
    <t>Crop</t>
  </si>
  <si>
    <t>Seed_Impurities</t>
  </si>
  <si>
    <t>Glucosinolates</t>
  </si>
  <si>
    <t>panel_euralis14</t>
  </si>
  <si>
    <t>P14EUR</t>
  </si>
  <si>
    <t>EUR</t>
  </si>
  <si>
    <t>Alsace_1360</t>
  </si>
  <si>
    <t>Fertodi_elit</t>
  </si>
  <si>
    <t>Goldgelber_Zarter_Butter</t>
  </si>
  <si>
    <t>Gross_Luzewiter</t>
  </si>
  <si>
    <t>Nain_de_Hambourg</t>
  </si>
  <si>
    <t>Olquell_Gulzover</t>
  </si>
  <si>
    <t>QuedLinburger_Platzfester</t>
  </si>
  <si>
    <t>Bienvenu_-_R33</t>
  </si>
  <si>
    <t>Bolko_-_POH_285</t>
  </si>
  <si>
    <t>NSL_96-25</t>
  </si>
  <si>
    <t>SW_Gospel</t>
  </si>
  <si>
    <t>RAPSO_Compl_01_(euralis)</t>
  </si>
  <si>
    <t>RAPSO_Compl_02_(euralis)</t>
  </si>
  <si>
    <t>LE_1</t>
  </si>
  <si>
    <t>LE_2</t>
  </si>
  <si>
    <t>KRASNODARSKYI</t>
  </si>
  <si>
    <t>RANGI</t>
  </si>
  <si>
    <t>NOVOCHARTORYISKYI</t>
  </si>
  <si>
    <t>MYTNINSKYI-2</t>
  </si>
  <si>
    <t>LJUBLANA</t>
  </si>
  <si>
    <t>KORMOVOI_SKRIVERSKYI</t>
  </si>
  <si>
    <t>KOMBI</t>
  </si>
  <si>
    <t>HOCHZUCHT_REPOLE</t>
  </si>
  <si>
    <t>EZSTERHAZY_N.ST</t>
  </si>
  <si>
    <t>DEBRUDER_DIPPES</t>
  </si>
  <si>
    <t>CETMEKI</t>
  </si>
  <si>
    <t>BLAGODATNYI</t>
  </si>
  <si>
    <t>MANSHOLTS</t>
  </si>
  <si>
    <t>temoin_1</t>
  </si>
  <si>
    <t>temoin_2</t>
  </si>
  <si>
    <t>NIEDERARNBACHER</t>
  </si>
  <si>
    <t>SNITYNSKYI</t>
  </si>
  <si>
    <t>PLANTDENS</t>
  </si>
  <si>
    <t>Plant_Density</t>
  </si>
  <si>
    <t xml:space="preserve">Number of viable plants counted per surface unit. </t>
  </si>
  <si>
    <t>Plant nb.m-²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</si>
  <si>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</si>
  <si>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</si>
  <si>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</si>
  <si>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</si>
  <si>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</si>
  <si>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</si>
  <si>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</si>
  <si>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</si>
  <si>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</si>
  <si>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</si>
  <si>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</si>
  <si>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</si>
  <si>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</si>
  <si>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</si>
  <si>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</si>
  <si>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</si>
  <si>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</si>
  <si>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</si>
  <si>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</si>
  <si>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</si>
  <si>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</si>
  <si>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</si>
  <si>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</si>
  <si>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</si>
  <si>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</si>
  <si>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</si>
  <si>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</si>
  <si>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</si>
  <si>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</si>
  <si>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</si>
  <si>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</si>
  <si>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</si>
  <si>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</si>
  <si>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</si>
  <si>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</si>
  <si>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</si>
  <si>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</si>
  <si>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</si>
  <si>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</si>
  <si>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</si>
  <si>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</si>
  <si>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</si>
  <si>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</si>
  <si>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</si>
  <si>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</si>
  <si>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</si>
  <si>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</si>
  <si>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</si>
  <si>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</si>
  <si>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</si>
  <si>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</si>
  <si>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</si>
  <si>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</si>
  <si>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</si>
  <si>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</si>
  <si>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</si>
  <si>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</si>
  <si>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</si>
  <si>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</si>
  <si>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</si>
  <si>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</si>
  <si>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</si>
  <si>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</si>
  <si>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</si>
  <si>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</si>
  <si>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</si>
  <si>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</si>
  <si>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</si>
  <si>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</si>
  <si>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</si>
  <si>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</si>
  <si>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</si>
  <si>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</si>
  <si>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</si>
  <si>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</si>
  <si>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</si>
  <si>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</si>
  <si>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</si>
  <si>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</si>
  <si>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</si>
  <si>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</si>
  <si>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</si>
  <si>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</si>
  <si>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</si>
  <si>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</si>
  <si>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</si>
  <si>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</si>
  <si>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</si>
  <si>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</si>
  <si>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</si>
  <si>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</si>
  <si>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</si>
  <si>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</si>
  <si>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</si>
  <si>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</si>
  <si>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</si>
  <si>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</si>
  <si>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</si>
  <si>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</si>
  <si>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</si>
  <si>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</si>
  <si>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</si>
  <si>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</si>
  <si>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</si>
  <si>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</si>
  <si>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</si>
  <si>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</si>
  <si>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</si>
  <si>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</si>
  <si>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</si>
  <si>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</si>
  <si>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</si>
  <si>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</si>
  <si>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</si>
  <si>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</si>
  <si>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</si>
  <si>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</si>
  <si>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</si>
  <si>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</si>
  <si>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</si>
  <si>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</si>
  <si>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</si>
  <si>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</si>
  <si>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</si>
  <si>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</si>
  <si>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</si>
  <si>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</si>
  <si>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</si>
  <si>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</si>
  <si>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</si>
  <si>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</si>
  <si>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</si>
  <si>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</si>
  <si>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</si>
  <si>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</si>
  <si>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</si>
  <si>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</si>
  <si>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</si>
  <si>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</si>
  <si>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</si>
  <si>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</si>
  <si>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</si>
  <si>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</si>
  <si>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</si>
  <si>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</si>
  <si>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The seed sample for SEEDH2O_LAB determination is used for seed counting (NBSEED_sample) using a precision counter.                                                                                TSW = (SEEDH2O_LAB / NBSEED_sample) x 1000</t>
  </si>
  <si>
    <t>Visual notation is attributed to the plants for each plot, taking into account the surface and the intensity of lodging   
 LODGING  =  0 : NA                                                                                                                                                  1 : No lodging                                                                                                                                                                2 : Culture leaning, without impact                                                                                                            5 : Average loding, low impact                                                                                                                          7 : High lodging, serious impact                                                                                                                      9 : Total lodging, compromised harvest</t>
  </si>
  <si>
    <t>Plant counting on a line.                                                                                                                             EMERG = (Number of plants obtained / Number of seeds sown) x 100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</si>
  <si>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                 Nc = nb of sowing lines chosen for plant counting, E = inter-line spacing.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</si>
  <si>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</si>
  <si>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</si>
  <si>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</si>
  <si>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</si>
  <si>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</si>
  <si>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</si>
  <si>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</si>
  <si>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</si>
  <si>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</si>
  <si>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</si>
  <si>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</si>
  <si>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</si>
  <si>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</si>
  <si>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</si>
  <si>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</si>
  <si>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</si>
  <si>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</si>
  <si>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</si>
  <si>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</si>
  <si>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</si>
  <si>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GRWSTG_C1_value</t>
  </si>
  <si>
    <t>GRWSTG_C1_date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</si>
  <si>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</si>
  <si>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</si>
  <si>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</si>
  <si>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</si>
  <si>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</si>
  <si>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</si>
  <si>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</si>
  <si>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</si>
  <si>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</si>
  <si>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</si>
  <si>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</si>
  <si>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</si>
  <si>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</si>
  <si>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</si>
  <si>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GRWSTG_G5_value</t>
  </si>
  <si>
    <t>GRWSTG_G5_date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</si>
  <si>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</si>
  <si>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</si>
  <si>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</si>
  <si>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</si>
  <si>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</si>
  <si>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</si>
  <si>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</si>
  <si>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</si>
  <si>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</si>
  <si>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</si>
  <si>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</si>
  <si>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</si>
  <si>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</si>
  <si>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</si>
  <si>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</si>
  <si>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</si>
  <si>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</si>
  <si>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</si>
  <si>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</si>
  <si>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</si>
  <si>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</si>
  <si>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</si>
  <si>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</si>
  <si>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</si>
  <si>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</si>
  <si>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</si>
  <si>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</si>
  <si>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</si>
  <si>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</si>
  <si>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</si>
  <si>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</si>
  <si>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</si>
  <si>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46.914158</t>
  </si>
  <si>
    <t>1.756584</t>
  </si>
  <si>
    <t>YOUNOUS</t>
  </si>
  <si>
    <t>Johanna</t>
  </si>
  <si>
    <t>johanna.younous@euralis.com</t>
  </si>
  <si>
    <t>Euralis Semences</t>
  </si>
  <si>
    <t>140 unités</t>
  </si>
  <si>
    <t>+33682239380</t>
  </si>
  <si>
    <t>40 unités ( attention suite à une erreur agriculteur, le Y1 a reçu 70 unités au premier apport)</t>
  </si>
  <si>
    <t>05244</t>
  </si>
  <si>
    <t>01257</t>
  </si>
  <si>
    <t>07246</t>
  </si>
  <si>
    <t>07272</t>
  </si>
  <si>
    <t>04237</t>
  </si>
  <si>
    <t>05268</t>
  </si>
  <si>
    <t>09225</t>
  </si>
  <si>
    <t>10285</t>
  </si>
  <si>
    <t>02243</t>
  </si>
  <si>
    <t>02272</t>
  </si>
  <si>
    <t>08244</t>
  </si>
  <si>
    <t>10273</t>
  </si>
  <si>
    <t>01235</t>
  </si>
  <si>
    <t>03277</t>
  </si>
  <si>
    <t>10220</t>
  </si>
  <si>
    <t>09250</t>
  </si>
  <si>
    <t>04242</t>
  </si>
  <si>
    <t>06252</t>
  </si>
  <si>
    <t>08219</t>
  </si>
  <si>
    <t>09262</t>
  </si>
  <si>
    <t>06239</t>
  </si>
  <si>
    <t>03254</t>
  </si>
  <si>
    <t>11223</t>
  </si>
  <si>
    <t>09284</t>
  </si>
  <si>
    <t>04220</t>
  </si>
  <si>
    <t>04284</t>
  </si>
  <si>
    <t>12234</t>
  </si>
  <si>
    <t>08270</t>
  </si>
  <si>
    <t>02239</t>
  </si>
  <si>
    <t>01284</t>
  </si>
  <si>
    <t>07236</t>
  </si>
  <si>
    <t>07269</t>
  </si>
  <si>
    <t>03224</t>
  </si>
  <si>
    <t>01281</t>
  </si>
  <si>
    <t>11240</t>
  </si>
  <si>
    <t>12258</t>
  </si>
  <si>
    <t>03239</t>
  </si>
  <si>
    <t>06282</t>
  </si>
  <si>
    <t>11215</t>
  </si>
  <si>
    <t>11283</t>
  </si>
  <si>
    <t>01220</t>
  </si>
  <si>
    <t>02253</t>
  </si>
  <si>
    <t>09245</t>
  </si>
  <si>
    <t>08260</t>
  </si>
  <si>
    <t>05219</t>
  </si>
  <si>
    <t>03255</t>
  </si>
  <si>
    <t>12233</t>
  </si>
  <si>
    <t>07277</t>
  </si>
  <si>
    <t>01233</t>
  </si>
  <si>
    <t>02263</t>
  </si>
  <si>
    <t>09238</t>
  </si>
  <si>
    <t>10280</t>
  </si>
  <si>
    <t>02214</t>
  </si>
  <si>
    <t>03252</t>
  </si>
  <si>
    <t>10227</t>
  </si>
  <si>
    <t>11274</t>
  </si>
  <si>
    <t>01229</t>
  </si>
  <si>
    <t>02273</t>
  </si>
  <si>
    <t>10230</t>
  </si>
  <si>
    <t>07280</t>
  </si>
  <si>
    <t>06237</t>
  </si>
  <si>
    <t>05260</t>
  </si>
  <si>
    <t>10249</t>
  </si>
  <si>
    <t>09264</t>
  </si>
  <si>
    <t>02224</t>
  </si>
  <si>
    <t>01251</t>
  </si>
  <si>
    <t>07230</t>
  </si>
  <si>
    <t>12273</t>
  </si>
  <si>
    <t>05240</t>
  </si>
  <si>
    <t>04277</t>
  </si>
  <si>
    <t>08220</t>
  </si>
  <si>
    <t>11263</t>
  </si>
  <si>
    <t>03245</t>
  </si>
  <si>
    <t>06255</t>
  </si>
  <si>
    <t>11242</t>
  </si>
  <si>
    <t>07258</t>
  </si>
  <si>
    <t>04245</t>
  </si>
  <si>
    <t>03271</t>
  </si>
  <si>
    <t>09244</t>
  </si>
  <si>
    <t>10257</t>
  </si>
  <si>
    <t>06216</t>
  </si>
  <si>
    <t>03256</t>
  </si>
  <si>
    <t>10239</t>
  </si>
  <si>
    <t>08254</t>
  </si>
  <si>
    <t>06248</t>
  </si>
  <si>
    <t>02250</t>
  </si>
  <si>
    <t>10246</t>
  </si>
  <si>
    <t>08272</t>
  </si>
  <si>
    <t>05249</t>
  </si>
  <si>
    <t>06275</t>
  </si>
  <si>
    <t>09223</t>
  </si>
  <si>
    <t>09254</t>
  </si>
  <si>
    <t>03231</t>
  </si>
  <si>
    <t>02279</t>
  </si>
  <si>
    <t>07225</t>
  </si>
  <si>
    <t>09259</t>
  </si>
  <si>
    <t>03221</t>
  </si>
  <si>
    <t>03268</t>
  </si>
  <si>
    <t>09243</t>
  </si>
  <si>
    <t>11251</t>
  </si>
  <si>
    <t>04239</t>
  </si>
  <si>
    <t>02267</t>
  </si>
  <si>
    <t>10245</t>
  </si>
  <si>
    <t>08258</t>
  </si>
  <si>
    <t>06233</t>
  </si>
  <si>
    <t>04275</t>
  </si>
  <si>
    <t>11244</t>
  </si>
  <si>
    <t>08281</t>
  </si>
  <si>
    <t>03237</t>
  </si>
  <si>
    <t>06253</t>
  </si>
  <si>
    <t>12238</t>
  </si>
  <si>
    <t>09280</t>
  </si>
  <si>
    <t>06214</t>
  </si>
  <si>
    <t>02251</t>
  </si>
  <si>
    <t>12214</t>
  </si>
  <si>
    <t>11250</t>
  </si>
  <si>
    <t>06227</t>
  </si>
  <si>
    <t>04278</t>
  </si>
  <si>
    <t>07240</t>
  </si>
  <si>
    <t>09278</t>
  </si>
  <si>
    <t>01236</t>
  </si>
  <si>
    <t>05283</t>
  </si>
  <si>
    <t>08223</t>
  </si>
  <si>
    <t>08279</t>
  </si>
  <si>
    <t>04232</t>
  </si>
  <si>
    <t>03269</t>
  </si>
  <si>
    <t>11218</t>
  </si>
  <si>
    <t>09267</t>
  </si>
  <si>
    <t>06241</t>
  </si>
  <si>
    <t>05285</t>
  </si>
  <si>
    <t>08242</t>
  </si>
  <si>
    <t>12257</t>
  </si>
  <si>
    <t>02231</t>
  </si>
  <si>
    <t>04254</t>
  </si>
  <si>
    <t>12247</t>
  </si>
  <si>
    <t>11268</t>
  </si>
  <si>
    <t>04231</t>
  </si>
  <si>
    <t>02269</t>
  </si>
  <si>
    <t>09237</t>
  </si>
  <si>
    <t>10275</t>
  </si>
  <si>
    <t>01246</t>
  </si>
  <si>
    <t>01263</t>
  </si>
  <si>
    <t>10234</t>
  </si>
  <si>
    <t>11260</t>
  </si>
  <si>
    <t>01247</t>
  </si>
  <si>
    <t>03262</t>
  </si>
  <si>
    <t>07227</t>
  </si>
  <si>
    <t>09252</t>
  </si>
  <si>
    <t>05217</t>
  </si>
  <si>
    <t>02266</t>
  </si>
  <si>
    <t>11239</t>
  </si>
  <si>
    <t>11254</t>
  </si>
  <si>
    <t>02237</t>
  </si>
  <si>
    <t>02281</t>
  </si>
  <si>
    <t>07226</t>
  </si>
  <si>
    <t>10251</t>
  </si>
  <si>
    <t>03229</t>
  </si>
  <si>
    <t>05263</t>
  </si>
  <si>
    <t>10221</t>
  </si>
  <si>
    <t>08275</t>
  </si>
  <si>
    <t>06221</t>
  </si>
  <si>
    <t>05262</t>
  </si>
  <si>
    <t>12223</t>
  </si>
  <si>
    <t>09270</t>
  </si>
  <si>
    <t>01222</t>
  </si>
  <si>
    <t>04265</t>
  </si>
  <si>
    <t>08224</t>
  </si>
  <si>
    <t>09258</t>
  </si>
  <si>
    <t>05229</t>
  </si>
  <si>
    <t>03273</t>
  </si>
  <si>
    <t>12224</t>
  </si>
  <si>
    <t>11277</t>
  </si>
  <si>
    <t>03243</t>
  </si>
  <si>
    <t>03282</t>
  </si>
  <si>
    <t>12249</t>
  </si>
  <si>
    <t>07281</t>
  </si>
  <si>
    <t>04226</t>
  </si>
  <si>
    <t>04270</t>
  </si>
  <si>
    <t>11245</t>
  </si>
  <si>
    <t>07285</t>
  </si>
  <si>
    <t>04246</t>
  </si>
  <si>
    <t>01279</t>
  </si>
  <si>
    <t>10226</t>
  </si>
  <si>
    <t>11266</t>
  </si>
  <si>
    <t>04229</t>
  </si>
  <si>
    <t>05277</t>
  </si>
  <si>
    <t>09224</t>
  </si>
  <si>
    <t>11252</t>
  </si>
  <si>
    <t>04217</t>
  </si>
  <si>
    <t>06284</t>
  </si>
  <si>
    <t>12228</t>
  </si>
  <si>
    <t>10263</t>
  </si>
  <si>
    <t>03235</t>
  </si>
  <si>
    <t>05271</t>
  </si>
  <si>
    <t>10223</t>
  </si>
  <si>
    <t>09276</t>
  </si>
  <si>
    <t>04228</t>
  </si>
  <si>
    <t>06279</t>
  </si>
  <si>
    <t>12226</t>
  </si>
  <si>
    <t>10259</t>
  </si>
  <si>
    <t>04249</t>
  </si>
  <si>
    <t>01254</t>
  </si>
  <si>
    <t>08230</t>
  </si>
  <si>
    <t>12281</t>
  </si>
  <si>
    <t>01226</t>
  </si>
  <si>
    <t>03259</t>
  </si>
  <si>
    <t>12215</t>
  </si>
  <si>
    <t>11271</t>
  </si>
  <si>
    <t>02235</t>
  </si>
  <si>
    <t>04276</t>
  </si>
  <si>
    <t>08241</t>
  </si>
  <si>
    <t>07261</t>
  </si>
  <si>
    <t>05214</t>
  </si>
  <si>
    <t>01282</t>
  </si>
  <si>
    <t>10241</t>
  </si>
  <si>
    <t>11278</t>
  </si>
  <si>
    <t>05245</t>
  </si>
  <si>
    <t>06251</t>
  </si>
  <si>
    <t>08215</t>
  </si>
  <si>
    <t>07266</t>
  </si>
  <si>
    <t>06236</t>
  </si>
  <si>
    <t>02283</t>
  </si>
  <si>
    <t>09234</t>
  </si>
  <si>
    <t>12272</t>
  </si>
  <si>
    <t>01228</t>
  </si>
  <si>
    <t>04267</t>
  </si>
  <si>
    <t>10248</t>
  </si>
  <si>
    <t>12269</t>
  </si>
  <si>
    <t>01217</t>
  </si>
  <si>
    <t>01260</t>
  </si>
  <si>
    <t>09231</t>
  </si>
  <si>
    <t>09269</t>
  </si>
  <si>
    <t>02245</t>
  </si>
  <si>
    <t>05253</t>
  </si>
  <si>
    <t>09248</t>
  </si>
  <si>
    <t>09271</t>
  </si>
  <si>
    <t>01214</t>
  </si>
  <si>
    <t>05266</t>
  </si>
  <si>
    <t>08231</t>
  </si>
  <si>
    <t>10272</t>
  </si>
  <si>
    <t>03234</t>
  </si>
  <si>
    <t>01283</t>
  </si>
  <si>
    <t>12229</t>
  </si>
  <si>
    <t>12263</t>
  </si>
  <si>
    <t>05232</t>
  </si>
  <si>
    <t>01269</t>
  </si>
  <si>
    <t>08218</t>
  </si>
  <si>
    <t>10255</t>
  </si>
  <si>
    <t>04222</t>
  </si>
  <si>
    <t>03276</t>
  </si>
  <si>
    <t>09232</t>
  </si>
  <si>
    <t>08273</t>
  </si>
  <si>
    <t>05216</t>
  </si>
  <si>
    <t>04256</t>
  </si>
  <si>
    <t>07216</t>
  </si>
  <si>
    <t>10284</t>
  </si>
  <si>
    <t>03217</t>
  </si>
  <si>
    <t>05256</t>
  </si>
  <si>
    <t>07241</t>
  </si>
  <si>
    <t>09266</t>
  </si>
  <si>
    <t>04214</t>
  </si>
  <si>
    <t>05280</t>
  </si>
  <si>
    <t>07215</t>
  </si>
  <si>
    <t>07256</t>
  </si>
  <si>
    <t>06228</t>
  </si>
  <si>
    <t>04259</t>
  </si>
  <si>
    <t>07244</t>
  </si>
  <si>
    <t>12270</t>
  </si>
  <si>
    <t>02244</t>
  </si>
  <si>
    <t>01252</t>
  </si>
  <si>
    <t>12239</t>
  </si>
  <si>
    <t>08271</t>
  </si>
  <si>
    <t>06222</t>
  </si>
  <si>
    <t>02256</t>
  </si>
  <si>
    <t>07224</t>
  </si>
  <si>
    <t>12278</t>
  </si>
  <si>
    <t>06244</t>
  </si>
  <si>
    <t>01274</t>
  </si>
  <si>
    <t>07243</t>
  </si>
  <si>
    <t>09281</t>
  </si>
  <si>
    <t>05233</t>
  </si>
  <si>
    <t>04251</t>
  </si>
  <si>
    <t>07233</t>
  </si>
  <si>
    <t>12255</t>
  </si>
  <si>
    <t>05235</t>
  </si>
  <si>
    <t>01256</t>
  </si>
  <si>
    <t>11229</t>
  </si>
  <si>
    <t>11273</t>
  </si>
  <si>
    <t>02226</t>
  </si>
  <si>
    <t>01268</t>
  </si>
  <si>
    <t>07249</t>
  </si>
  <si>
    <t>10266</t>
  </si>
  <si>
    <t>05237</t>
  </si>
  <si>
    <t>01276</t>
  </si>
  <si>
    <t>11214</t>
  </si>
  <si>
    <t>08274</t>
  </si>
  <si>
    <t>04216</t>
  </si>
  <si>
    <t>02274</t>
  </si>
  <si>
    <t>10231</t>
  </si>
  <si>
    <t>09273</t>
  </si>
  <si>
    <t>01219</t>
  </si>
  <si>
    <t>05254</t>
  </si>
  <si>
    <t>09214</t>
  </si>
  <si>
    <t>12279</t>
  </si>
  <si>
    <t>05224</t>
  </si>
  <si>
    <t>06273</t>
  </si>
  <si>
    <t>08216</t>
  </si>
  <si>
    <t>11262</t>
  </si>
  <si>
    <t>06218</t>
  </si>
  <si>
    <t>04258</t>
  </si>
  <si>
    <t>07237</t>
  </si>
  <si>
    <t>08278</t>
  </si>
  <si>
    <t>01232</t>
  </si>
  <si>
    <t>01277</t>
  </si>
  <si>
    <t>07235</t>
  </si>
  <si>
    <t>09261</t>
  </si>
  <si>
    <t>01239</t>
  </si>
  <si>
    <t>05275</t>
  </si>
  <si>
    <t>08225</t>
  </si>
  <si>
    <t>08262</t>
  </si>
  <si>
    <t>01215</t>
  </si>
  <si>
    <t>01262</t>
  </si>
  <si>
    <t>10215</t>
  </si>
  <si>
    <t>08261</t>
  </si>
  <si>
    <t>04225</t>
  </si>
  <si>
    <t>02262</t>
  </si>
  <si>
    <t>12242</t>
  </si>
  <si>
    <t>12265</t>
  </si>
  <si>
    <t>05247</t>
  </si>
  <si>
    <t>01278</t>
  </si>
  <si>
    <t>07222</t>
  </si>
  <si>
    <t>08263</t>
  </si>
  <si>
    <t>03227</t>
  </si>
  <si>
    <t>05250</t>
  </si>
  <si>
    <t>08238</t>
  </si>
  <si>
    <t>08285</t>
  </si>
  <si>
    <t>03230</t>
  </si>
  <si>
    <t>01271</t>
  </si>
  <si>
    <t>08228</t>
  </si>
  <si>
    <t>11256</t>
  </si>
  <si>
    <t>06230</t>
  </si>
  <si>
    <t>02275</t>
  </si>
  <si>
    <t>08217</t>
  </si>
  <si>
    <t>07252</t>
  </si>
  <si>
    <t>02241</t>
  </si>
  <si>
    <t>04280</t>
  </si>
  <si>
    <t>11249</t>
  </si>
  <si>
    <t>11267</t>
  </si>
  <si>
    <t>02228</t>
  </si>
  <si>
    <t>06258</t>
  </si>
  <si>
    <t>09227</t>
  </si>
  <si>
    <t>11272</t>
  </si>
  <si>
    <t>02230</t>
  </si>
  <si>
    <t>06271</t>
  </si>
  <si>
    <t>09230</t>
  </si>
  <si>
    <t>11258</t>
  </si>
  <si>
    <t>05238</t>
  </si>
  <si>
    <t>01280</t>
  </si>
  <si>
    <t>10235</t>
  </si>
  <si>
    <t>07250</t>
  </si>
  <si>
    <t>01218</t>
  </si>
  <si>
    <t>05257</t>
  </si>
  <si>
    <t>07219</t>
  </si>
  <si>
    <t>08255</t>
  </si>
  <si>
    <t>01244</t>
  </si>
  <si>
    <t>01273</t>
  </si>
  <si>
    <t>07242</t>
  </si>
  <si>
    <t>10267</t>
  </si>
  <si>
    <t>01237</t>
  </si>
  <si>
    <t>04263</t>
  </si>
  <si>
    <t>11221</t>
  </si>
  <si>
    <t>10279</t>
  </si>
  <si>
    <t>06225</t>
  </si>
  <si>
    <t>03260</t>
  </si>
  <si>
    <t>10229</t>
  </si>
  <si>
    <t>12260</t>
  </si>
  <si>
    <t>04248</t>
  </si>
  <si>
    <t>04266</t>
  </si>
  <si>
    <t>12240</t>
  </si>
  <si>
    <t>12256</t>
  </si>
  <si>
    <t>02240</t>
  </si>
  <si>
    <t>02270</t>
  </si>
  <si>
    <t>09222</t>
  </si>
  <si>
    <t>08282</t>
  </si>
  <si>
    <t>03240</t>
  </si>
  <si>
    <t>02261</t>
  </si>
  <si>
    <t>12232</t>
  </si>
  <si>
    <t>08251</t>
  </si>
  <si>
    <t>05215</t>
  </si>
  <si>
    <t>04282</t>
  </si>
  <si>
    <t>08221</t>
  </si>
  <si>
    <t>12251</t>
  </si>
  <si>
    <t>02248</t>
  </si>
  <si>
    <t>03251</t>
  </si>
  <si>
    <t>08234</t>
  </si>
  <si>
    <t>12266</t>
  </si>
  <si>
    <t>04241</t>
  </si>
  <si>
    <t>04260</t>
  </si>
  <si>
    <t>12231</t>
  </si>
  <si>
    <t>12276</t>
  </si>
  <si>
    <t>05222</t>
  </si>
  <si>
    <t>04274</t>
  </si>
  <si>
    <t>12227</t>
  </si>
  <si>
    <t>09282</t>
  </si>
  <si>
    <t>05248</t>
  </si>
  <si>
    <t>05279</t>
  </si>
  <si>
    <t>10240</t>
  </si>
  <si>
    <t>10274</t>
  </si>
  <si>
    <t>02234</t>
  </si>
  <si>
    <t>04272</t>
  </si>
  <si>
    <t>11231</t>
  </si>
  <si>
    <t>08267</t>
  </si>
  <si>
    <t>01242</t>
  </si>
  <si>
    <t>02259</t>
  </si>
  <si>
    <t>12235</t>
  </si>
  <si>
    <t>10250</t>
  </si>
  <si>
    <t>04215</t>
  </si>
  <si>
    <t>06280</t>
  </si>
  <si>
    <t>10216</t>
  </si>
  <si>
    <t>08277</t>
  </si>
  <si>
    <t>03215</t>
  </si>
  <si>
    <t>03275</t>
  </si>
  <si>
    <t>08245</t>
  </si>
  <si>
    <t>12284</t>
  </si>
  <si>
    <t>01231</t>
  </si>
  <si>
    <t>05251</t>
  </si>
  <si>
    <t>12216</t>
  </si>
  <si>
    <t>07270</t>
  </si>
  <si>
    <t>06238</t>
  </si>
  <si>
    <t>06268</t>
  </si>
  <si>
    <t>10225</t>
  </si>
  <si>
    <t>08269</t>
  </si>
  <si>
    <t>03233</t>
  </si>
  <si>
    <t>05278</t>
  </si>
  <si>
    <t>11224</t>
  </si>
  <si>
    <t>07255</t>
  </si>
  <si>
    <t>04223</t>
  </si>
  <si>
    <t>06281</t>
  </si>
  <si>
    <t>07223</t>
  </si>
  <si>
    <t>07275</t>
  </si>
  <si>
    <t>06223</t>
  </si>
  <si>
    <t>06276</t>
  </si>
  <si>
    <t>09242</t>
  </si>
  <si>
    <t>08265</t>
  </si>
  <si>
    <t>02217</t>
  </si>
  <si>
    <t>05272</t>
  </si>
  <si>
    <t>12248</t>
  </si>
  <si>
    <t>10262</t>
  </si>
  <si>
    <t>04234</t>
  </si>
  <si>
    <t>03279</t>
  </si>
  <si>
    <t>12219</t>
  </si>
  <si>
    <t>12252</t>
  </si>
  <si>
    <t>02249</t>
  </si>
  <si>
    <t>02252</t>
  </si>
  <si>
    <t>10217</t>
  </si>
  <si>
    <t>10258</t>
  </si>
  <si>
    <t>03242</t>
  </si>
  <si>
    <t>03267</t>
  </si>
  <si>
    <t>07229</t>
  </si>
  <si>
    <t>11270</t>
  </si>
  <si>
    <t>04227</t>
  </si>
  <si>
    <t>04281</t>
  </si>
  <si>
    <t>07231</t>
  </si>
  <si>
    <t>10261</t>
  </si>
  <si>
    <t>01234</t>
  </si>
  <si>
    <t>05264</t>
  </si>
  <si>
    <t>09247</t>
  </si>
  <si>
    <t>11279</t>
  </si>
  <si>
    <t>02227</t>
  </si>
  <si>
    <t>05273</t>
  </si>
  <si>
    <t>11236</t>
  </si>
  <si>
    <t>09285</t>
  </si>
  <si>
    <t>05220</t>
  </si>
  <si>
    <t>04264</t>
  </si>
  <si>
    <t>10228</t>
  </si>
  <si>
    <t>12267</t>
  </si>
  <si>
    <t>01227</t>
  </si>
  <si>
    <t>06264</t>
  </si>
  <si>
    <t>12218</t>
  </si>
  <si>
    <t>11261</t>
  </si>
  <si>
    <t>04219</t>
  </si>
  <si>
    <t>04252</t>
  </si>
  <si>
    <t>11219</t>
  </si>
  <si>
    <t>07259</t>
  </si>
  <si>
    <t>06235</t>
  </si>
  <si>
    <t>06270</t>
  </si>
  <si>
    <t>11232</t>
  </si>
  <si>
    <t>07264</t>
  </si>
  <si>
    <t>03214</t>
  </si>
  <si>
    <t>02254</t>
  </si>
  <si>
    <t>10214</t>
  </si>
  <si>
    <t>07282</t>
  </si>
  <si>
    <t>05226</t>
  </si>
  <si>
    <t>05267</t>
  </si>
  <si>
    <t>08233</t>
  </si>
  <si>
    <t>12268</t>
  </si>
  <si>
    <t>01248</t>
  </si>
  <si>
    <t>02257</t>
  </si>
  <si>
    <t>11235</t>
  </si>
  <si>
    <t>11275</t>
  </si>
  <si>
    <t>05241</t>
  </si>
  <si>
    <t>06257</t>
  </si>
  <si>
    <t>09236</t>
  </si>
  <si>
    <t>10269</t>
  </si>
  <si>
    <t>06229</t>
  </si>
  <si>
    <t>06259</t>
  </si>
  <si>
    <t>09221</t>
  </si>
  <si>
    <t>10256</t>
  </si>
  <si>
    <t>02247</t>
  </si>
  <si>
    <t>05261</t>
  </si>
  <si>
    <t>10237</t>
  </si>
  <si>
    <t>07257</t>
  </si>
  <si>
    <t>05239</t>
  </si>
  <si>
    <t>05252</t>
  </si>
  <si>
    <t>11233</t>
  </si>
  <si>
    <t>11257</t>
  </si>
  <si>
    <t>02229</t>
  </si>
  <si>
    <t>02255</t>
  </si>
  <si>
    <t>10244</t>
  </si>
  <si>
    <t>12254</t>
  </si>
  <si>
    <t>02221</t>
  </si>
  <si>
    <t>02271</t>
  </si>
  <si>
    <t>09235</t>
  </si>
  <si>
    <t>07276</t>
  </si>
  <si>
    <t>06232</t>
  </si>
  <si>
    <t>02285</t>
  </si>
  <si>
    <t>07239</t>
  </si>
  <si>
    <t>07271</t>
  </si>
  <si>
    <t>05227</t>
  </si>
  <si>
    <t>06272</t>
  </si>
  <si>
    <t>11222</t>
  </si>
  <si>
    <t>07267</t>
  </si>
  <si>
    <t>02246</t>
  </si>
  <si>
    <t>06265</t>
  </si>
  <si>
    <t>11234</t>
  </si>
  <si>
    <t>10282</t>
  </si>
  <si>
    <t>02216</t>
  </si>
  <si>
    <t>05255</t>
  </si>
  <si>
    <t>07218</t>
  </si>
  <si>
    <t>12283</t>
  </si>
  <si>
    <t>04218</t>
  </si>
  <si>
    <t>01255</t>
  </si>
  <si>
    <t>11230</t>
  </si>
  <si>
    <t>12253</t>
  </si>
  <si>
    <t>05221</t>
  </si>
  <si>
    <t>03270</t>
  </si>
  <si>
    <t>08237</t>
  </si>
  <si>
    <t>09251</t>
  </si>
  <si>
    <t>05228</t>
  </si>
  <si>
    <t>02260</t>
  </si>
  <si>
    <t>11228</t>
  </si>
  <si>
    <t>12262</t>
  </si>
  <si>
    <t>04230</t>
  </si>
  <si>
    <t>04255</t>
  </si>
  <si>
    <t>08232</t>
  </si>
  <si>
    <t>11281</t>
  </si>
  <si>
    <t>01241</t>
  </si>
  <si>
    <t>01285</t>
  </si>
  <si>
    <t>10236</t>
  </si>
  <si>
    <t>11284</t>
  </si>
  <si>
    <t>01245</t>
  </si>
  <si>
    <t>04250</t>
  </si>
  <si>
    <t>12230</t>
  </si>
  <si>
    <t>12259</t>
  </si>
  <si>
    <t>03249</t>
  </si>
  <si>
    <t>04262</t>
  </si>
  <si>
    <t>12221</t>
  </si>
  <si>
    <t>10260</t>
  </si>
  <si>
    <t>04238</t>
  </si>
  <si>
    <t>05274</t>
  </si>
  <si>
    <t>09239</t>
  </si>
  <si>
    <t>11253</t>
  </si>
  <si>
    <t>03246</t>
  </si>
  <si>
    <t>01270</t>
  </si>
  <si>
    <t>12222</t>
  </si>
  <si>
    <t>12271</t>
  </si>
  <si>
    <t>04244</t>
  </si>
  <si>
    <t>01250</t>
  </si>
  <si>
    <t>10238</t>
  </si>
  <si>
    <t>07260</t>
  </si>
  <si>
    <t>02218</t>
  </si>
  <si>
    <t>03284</t>
  </si>
  <si>
    <t>07217</t>
  </si>
  <si>
    <t>10276</t>
  </si>
  <si>
    <t>05234</t>
  </si>
  <si>
    <t>03281</t>
  </si>
  <si>
    <t>09246</t>
  </si>
  <si>
    <t>11285</t>
  </si>
  <si>
    <t>04236</t>
  </si>
  <si>
    <t>05270</t>
  </si>
  <si>
    <t>11216</t>
  </si>
  <si>
    <t>07268</t>
  </si>
  <si>
    <t>03236</t>
  </si>
  <si>
    <t>03261</t>
  </si>
  <si>
    <t>08222</t>
  </si>
  <si>
    <t>07262</t>
  </si>
  <si>
    <t>06224</t>
  </si>
  <si>
    <t>06256</t>
  </si>
  <si>
    <t>07232</t>
  </si>
  <si>
    <t>10253</t>
  </si>
  <si>
    <t>01223</t>
  </si>
  <si>
    <t>06283</t>
  </si>
  <si>
    <t>11237</t>
  </si>
  <si>
    <t>11282</t>
  </si>
  <si>
    <t>02219</t>
  </si>
  <si>
    <t>03264</t>
  </si>
  <si>
    <t>07234</t>
  </si>
  <si>
    <t>10281</t>
  </si>
  <si>
    <t>03228</t>
  </si>
  <si>
    <t>06266</t>
  </si>
  <si>
    <t>12217</t>
  </si>
  <si>
    <t>08280</t>
  </si>
  <si>
    <t>01230</t>
  </si>
  <si>
    <t>01266</t>
  </si>
  <si>
    <t>09240</t>
  </si>
  <si>
    <t>11280</t>
  </si>
  <si>
    <t>05218</t>
  </si>
  <si>
    <t>01259</t>
  </si>
  <si>
    <t>11217</t>
  </si>
  <si>
    <t>10265</t>
  </si>
  <si>
    <t>04224</t>
  </si>
  <si>
    <t>04269</t>
  </si>
  <si>
    <t>09228</t>
  </si>
  <si>
    <t>12274</t>
  </si>
  <si>
    <t>01240</t>
  </si>
  <si>
    <t>04273</t>
  </si>
  <si>
    <t>08239</t>
  </si>
  <si>
    <t>09274</t>
  </si>
  <si>
    <t>03222</t>
  </si>
  <si>
    <t>03278</t>
  </si>
  <si>
    <t>10232</t>
  </si>
  <si>
    <t>08252</t>
  </si>
  <si>
    <t>03248</t>
  </si>
  <si>
    <t>04253</t>
  </si>
  <si>
    <t>12244</t>
  </si>
  <si>
    <t>10264</t>
  </si>
  <si>
    <t>05225</t>
  </si>
  <si>
    <t>03272</t>
  </si>
  <si>
    <t>08249</t>
  </si>
  <si>
    <t>10252</t>
  </si>
  <si>
    <t>05246</t>
  </si>
  <si>
    <t>05284</t>
  </si>
  <si>
    <t>10242</t>
  </si>
  <si>
    <t>10268</t>
  </si>
  <si>
    <t>06226</t>
  </si>
  <si>
    <t>04271</t>
  </si>
  <si>
    <t>12245</t>
  </si>
  <si>
    <t>08256</t>
  </si>
  <si>
    <t>03232</t>
  </si>
  <si>
    <t>06274</t>
  </si>
  <si>
    <t>09216</t>
  </si>
  <si>
    <t>10283</t>
  </si>
  <si>
    <t>01238</t>
  </si>
  <si>
    <t>01267</t>
  </si>
  <si>
    <t>11220</t>
  </si>
  <si>
    <t>08268</t>
  </si>
  <si>
    <t>01249</t>
  </si>
  <si>
    <t>04261</t>
  </si>
  <si>
    <t>12241</t>
  </si>
  <si>
    <t>08257</t>
  </si>
  <si>
    <t>06242</t>
  </si>
  <si>
    <t>01261</t>
  </si>
  <si>
    <t>08247</t>
  </si>
  <si>
    <t>12277</t>
  </si>
  <si>
    <t>02242</t>
  </si>
  <si>
    <t>03265</t>
  </si>
  <si>
    <t>12237</t>
  </si>
  <si>
    <t>08259</t>
  </si>
  <si>
    <t>03220</t>
  </si>
  <si>
    <t>05259</t>
  </si>
  <si>
    <t>09226</t>
  </si>
  <si>
    <t>09263</t>
  </si>
  <si>
    <t>02220</t>
  </si>
  <si>
    <t>02265</t>
  </si>
  <si>
    <t>10233</t>
  </si>
  <si>
    <t>10254</t>
  </si>
  <si>
    <t>04247</t>
  </si>
  <si>
    <t>03258</t>
  </si>
  <si>
    <t>09217</t>
  </si>
  <si>
    <t>07253</t>
  </si>
  <si>
    <t>03241</t>
  </si>
  <si>
    <t>02264</t>
  </si>
  <si>
    <t>08240</t>
  </si>
  <si>
    <t>09255</t>
  </si>
  <si>
    <t>03244</t>
  </si>
  <si>
    <t>03266</t>
  </si>
  <si>
    <t>08229</t>
  </si>
  <si>
    <t>11265</t>
  </si>
  <si>
    <t>04233</t>
  </si>
  <si>
    <t>03257</t>
  </si>
  <si>
    <t>08236</t>
  </si>
  <si>
    <t>11255</t>
  </si>
  <si>
    <t>06215</t>
  </si>
  <si>
    <t>05258</t>
  </si>
  <si>
    <t>08243</t>
  </si>
  <si>
    <t>09260</t>
  </si>
  <si>
    <t>06219</t>
  </si>
  <si>
    <t>01264</t>
  </si>
  <si>
    <t>09220</t>
  </si>
  <si>
    <t>09256</t>
  </si>
  <si>
    <t>06240</t>
  </si>
  <si>
    <t>03250</t>
  </si>
  <si>
    <t>11225</t>
  </si>
  <si>
    <t>08250</t>
  </si>
  <si>
    <t>04240</t>
  </si>
  <si>
    <t>02280</t>
  </si>
  <si>
    <t>09218</t>
  </si>
  <si>
    <t>08266</t>
  </si>
  <si>
    <t>02223</t>
  </si>
  <si>
    <t>04279</t>
  </si>
  <si>
    <t>11241</t>
  </si>
  <si>
    <t>07274</t>
  </si>
  <si>
    <t>06245</t>
  </si>
  <si>
    <t>06277</t>
  </si>
  <si>
    <t>07228</t>
  </si>
  <si>
    <t>11264</t>
  </si>
  <si>
    <t>01216</t>
  </si>
  <si>
    <t>06250</t>
  </si>
  <si>
    <t>08246</t>
  </si>
  <si>
    <t>12250</t>
  </si>
  <si>
    <t>03218</t>
  </si>
  <si>
    <t>06263</t>
  </si>
  <si>
    <t>12236</t>
  </si>
  <si>
    <t>07279</t>
  </si>
  <si>
    <t>01225</t>
  </si>
  <si>
    <t>01253</t>
  </si>
  <si>
    <t>07221</t>
  </si>
  <si>
    <t>09275</t>
  </si>
  <si>
    <t>01224</t>
  </si>
  <si>
    <t>01265</t>
  </si>
  <si>
    <t>11227</t>
  </si>
  <si>
    <t>07283</t>
  </si>
  <si>
    <t>02225</t>
  </si>
  <si>
    <t>06262</t>
  </si>
  <si>
    <t>08214</t>
  </si>
  <si>
    <t>10278</t>
  </si>
  <si>
    <t>02222</t>
  </si>
  <si>
    <t>06285</t>
  </si>
  <si>
    <t>09219</t>
  </si>
  <si>
    <t>07278</t>
  </si>
  <si>
    <t>03225</t>
  </si>
  <si>
    <t>05276</t>
  </si>
  <si>
    <t>11238</t>
  </si>
  <si>
    <t>07251</t>
  </si>
  <si>
    <t>04243</t>
  </si>
  <si>
    <t>04283</t>
  </si>
  <si>
    <t>10219</t>
  </si>
  <si>
    <t>11276</t>
  </si>
  <si>
    <t>05223</t>
  </si>
  <si>
    <t>03285</t>
  </si>
  <si>
    <t>09215</t>
  </si>
  <si>
    <t>09283</t>
  </si>
  <si>
    <t>05230</t>
  </si>
  <si>
    <t>02284</t>
  </si>
  <si>
    <t>10247</t>
  </si>
  <si>
    <t>12285</t>
  </si>
  <si>
    <t>03238</t>
  </si>
  <si>
    <t>01275</t>
  </si>
  <si>
    <t>09229</t>
  </si>
  <si>
    <t>09277</t>
  </si>
  <si>
    <t>02232</t>
  </si>
  <si>
    <t>02268</t>
  </si>
  <si>
    <t>11226</t>
  </si>
  <si>
    <t>09257</t>
  </si>
  <si>
    <t>06234</t>
  </si>
  <si>
    <t>06278</t>
  </si>
  <si>
    <t>10243</t>
  </si>
  <si>
    <t>09279</t>
  </si>
  <si>
    <t>03247</t>
  </si>
  <si>
    <t>06260</t>
  </si>
  <si>
    <t>09233</t>
  </si>
  <si>
    <t>12264</t>
  </si>
  <si>
    <t>02236</t>
  </si>
  <si>
    <t>06269</t>
  </si>
  <si>
    <t>12225</t>
  </si>
  <si>
    <t>08284</t>
  </si>
  <si>
    <t>05231</t>
  </si>
  <si>
    <t>06261</t>
  </si>
  <si>
    <t>08226</t>
  </si>
  <si>
    <t>08276</t>
  </si>
  <si>
    <t>06243</t>
  </si>
  <si>
    <t>01258</t>
  </si>
  <si>
    <t>10224</t>
  </si>
  <si>
    <t>07263</t>
  </si>
  <si>
    <t>05243</t>
  </si>
  <si>
    <t>06254</t>
  </si>
  <si>
    <t>12220</t>
  </si>
  <si>
    <t>08264</t>
  </si>
  <si>
    <t>06217</t>
  </si>
  <si>
    <t>02258</t>
  </si>
  <si>
    <t>12246</t>
  </si>
  <si>
    <t>09272</t>
  </si>
  <si>
    <t>03226</t>
  </si>
  <si>
    <t>06267</t>
  </si>
  <si>
    <t>07220</t>
  </si>
  <si>
    <t>08283</t>
  </si>
  <si>
    <t>04235</t>
  </si>
  <si>
    <t>03263</t>
  </si>
  <si>
    <t>12243</t>
  </si>
  <si>
    <t>12282</t>
  </si>
  <si>
    <t>02233</t>
  </si>
  <si>
    <t>05282</t>
  </si>
  <si>
    <t>07248</t>
  </si>
  <si>
    <t>12261</t>
  </si>
  <si>
    <t>03219</t>
  </si>
  <si>
    <t>05265</t>
  </si>
  <si>
    <t>11248</t>
  </si>
  <si>
    <t>11269</t>
  </si>
  <si>
    <t>06246</t>
  </si>
  <si>
    <t>05281</t>
  </si>
  <si>
    <t>10222</t>
  </si>
  <si>
    <t>08253</t>
  </si>
  <si>
    <t>01243</t>
  </si>
  <si>
    <t>03274</t>
  </si>
  <si>
    <t>11246</t>
  </si>
  <si>
    <t>07284</t>
  </si>
  <si>
    <t>04221</t>
  </si>
  <si>
    <t>02278</t>
  </si>
  <si>
    <t>08248</t>
  </si>
  <si>
    <t>09253</t>
  </si>
  <si>
    <t>05242</t>
  </si>
  <si>
    <t>04257</t>
  </si>
  <si>
    <t>07214</t>
  </si>
  <si>
    <t>12280</t>
  </si>
  <si>
    <t>01221</t>
  </si>
  <si>
    <t>01272</t>
  </si>
  <si>
    <t>07238</t>
  </si>
  <si>
    <t>07254</t>
  </si>
  <si>
    <t>06247</t>
  </si>
  <si>
    <t>04268</t>
  </si>
  <si>
    <t>11247</t>
  </si>
  <si>
    <t>10277</t>
  </si>
  <si>
    <t>03223</t>
  </si>
  <si>
    <t>03283</t>
  </si>
  <si>
    <t>08227</t>
  </si>
  <si>
    <t>10270</t>
  </si>
  <si>
    <t>03216</t>
  </si>
  <si>
    <t>02282</t>
  </si>
  <si>
    <t>09241</t>
  </si>
  <si>
    <t>07265</t>
  </si>
  <si>
    <t>02238</t>
  </si>
  <si>
    <t>03280</t>
  </si>
  <si>
    <t>10218</t>
  </si>
  <si>
    <t>12275</t>
  </si>
  <si>
    <t>06249</t>
  </si>
  <si>
    <t>02277</t>
  </si>
  <si>
    <t>07245</t>
  </si>
  <si>
    <t>07273</t>
  </si>
  <si>
    <t>06220</t>
  </si>
  <si>
    <t>03253</t>
  </si>
  <si>
    <t>09249</t>
  </si>
  <si>
    <t>10271</t>
  </si>
  <si>
    <t>05236</t>
  </si>
  <si>
    <t>05269</t>
  </si>
  <si>
    <t>08235</t>
  </si>
  <si>
    <t>11259</t>
  </si>
  <si>
    <t>06231</t>
  </si>
  <si>
    <t>04285</t>
  </si>
  <si>
    <t>11243</t>
  </si>
  <si>
    <t>09265</t>
  </si>
  <si>
    <t>02215</t>
  </si>
  <si>
    <t>02276</t>
  </si>
  <si>
    <t>07247</t>
  </si>
  <si>
    <t>09268</t>
  </si>
  <si>
    <t>B2</t>
  </si>
  <si>
    <t>B3</t>
  </si>
  <si>
    <t>B4</t>
  </si>
  <si>
    <t>T13R016</t>
  </si>
  <si>
    <t>NA</t>
  </si>
  <si>
    <t>Meteo_data</t>
  </si>
  <si>
    <t>See tab</t>
  </si>
  <si>
    <t>Excel</t>
  </si>
  <si>
    <t>Soil_data</t>
  </si>
  <si>
    <t>INN_data</t>
  </si>
  <si>
    <t>Parcellaire_data</t>
  </si>
  <si>
    <t>ITK_data</t>
  </si>
  <si>
    <t>Pas de temps</t>
  </si>
  <si>
    <t>Journalier</t>
  </si>
  <si>
    <t>Date de début</t>
  </si>
  <si>
    <t>Date de fin</t>
  </si>
  <si>
    <t>___Temperature___</t>
  </si>
  <si>
    <t>Mean</t>
  </si>
  <si>
    <t>température moyenne  de la journée</t>
  </si>
  <si>
    <t>°C</t>
  </si>
  <si>
    <t>High</t>
  </si>
  <si>
    <t>température la plus élevée  de la journée</t>
  </si>
  <si>
    <t>Low</t>
  </si>
  <si>
    <t>température la plus basse  de la journée</t>
  </si>
  <si>
    <t>RH</t>
  </si>
  <si>
    <t>humidité relative moyenne de la journée</t>
  </si>
  <si>
    <t>Solar</t>
  </si>
  <si>
    <t>W/m2</t>
  </si>
  <si>
    <t>rayonnement moyen de la journée</t>
  </si>
  <si>
    <t>wat/m2</t>
  </si>
  <si>
    <t>Wind</t>
  </si>
  <si>
    <t>Speed</t>
  </si>
  <si>
    <t>vitesse du vent moyen de la journée</t>
  </si>
  <si>
    <t>km/h</t>
  </si>
  <si>
    <t>Rain-</t>
  </si>
  <si>
    <t>Fall</t>
  </si>
  <si>
    <t>précipitation de la journée</t>
  </si>
  <si>
    <t>mm</t>
  </si>
  <si>
    <t>ET</t>
  </si>
  <si>
    <t>Ref</t>
  </si>
  <si>
    <t xml:space="preserve">évapotranspiration de référence </t>
  </si>
  <si>
    <t>évapotranspiration calculée en fonction du coef choisi pour  la culture,</t>
  </si>
  <si>
    <t>Irrig</t>
  </si>
  <si>
    <t>ation</t>
  </si>
  <si>
    <t>perte en eau  de la journée</t>
  </si>
  <si>
    <t>Net</t>
  </si>
  <si>
    <t>Water</t>
  </si>
  <si>
    <t>cumul de la perte d'eau depuis le début du calcul d'ETP</t>
  </si>
  <si>
    <t>Cum</t>
  </si>
  <si>
    <t>Nom de la Station</t>
  </si>
  <si>
    <t>Station X</t>
  </si>
  <si>
    <t>4/5</t>
  </si>
  <si>
    <t>1/5</t>
  </si>
  <si>
    <t>Total</t>
  </si>
  <si>
    <t>N % DUMAS Spécial Ferti</t>
  </si>
  <si>
    <t>Manip</t>
  </si>
  <si>
    <t>Modalite</t>
  </si>
  <si>
    <t>Genotype</t>
  </si>
  <si>
    <t>Stade</t>
  </si>
  <si>
    <t>Nbr</t>
  </si>
  <si>
    <t>MF (g)</t>
  </si>
  <si>
    <t>MS (g)</t>
  </si>
  <si>
    <t>% Humidité</t>
  </si>
  <si>
    <t>MF Feuilles (g)</t>
  </si>
  <si>
    <t>MF Tige (g)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</si>
  <si>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</si>
  <si>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</si>
  <si>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</si>
  <si>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</si>
  <si>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</si>
  <si>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</si>
  <si>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</si>
  <si>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</si>
  <si>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</si>
  <si>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</si>
  <si>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</si>
  <si>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INN1</t>
  </si>
  <si>
    <t>INN3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</si>
  <si>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</si>
  <si>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</si>
  <si>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</si>
  <si>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</si>
  <si>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</si>
  <si>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</si>
  <si>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</si>
  <si>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</si>
  <si>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</si>
  <si>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</si>
  <si>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</si>
  <si>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</si>
  <si>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r>
      <rPr>
        <b/>
        <sz val="10"/>
        <rFont val="Arial"/>
        <family val="2"/>
      </rPr>
      <t>X et Y</t>
    </r>
    <r>
      <rPr>
        <sz val="10"/>
        <rFont val="Arial"/>
        <family val="2"/>
      </rPr>
      <t xml:space="preserve"> = coordonnées</t>
    </r>
  </si>
  <si>
    <r>
      <rPr>
        <b/>
        <sz val="10"/>
        <rFont val="Arial"/>
        <family val="2"/>
      </rPr>
      <t xml:space="preserve">Modalite </t>
    </r>
    <r>
      <rPr>
        <sz val="10"/>
        <rFont val="Arial"/>
        <family val="2"/>
      </rPr>
      <t>= N+/N-</t>
    </r>
  </si>
  <si>
    <r>
      <rPr>
        <b/>
        <sz val="10"/>
        <rFont val="Arial"/>
        <family val="2"/>
      </rPr>
      <t>Genotype</t>
    </r>
    <r>
      <rPr>
        <sz val="10"/>
        <rFont val="Arial"/>
        <family val="2"/>
      </rPr>
      <t xml:space="preserve"> = Nom du génotype</t>
    </r>
  </si>
  <si>
    <t>Action</t>
  </si>
  <si>
    <t>Produits</t>
  </si>
  <si>
    <t>Cibles</t>
  </si>
  <si>
    <t>Détails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</si>
  <si>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</si>
  <si>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</si>
  <si>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</si>
  <si>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</si>
  <si>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</si>
  <si>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</si>
  <si>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</si>
  <si>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</si>
  <si>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</si>
  <si>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</si>
  <si>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</si>
  <si>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</si>
  <si>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</si>
  <si>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</si>
  <si>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</si>
  <si>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</si>
  <si>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</si>
  <si>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</si>
  <si>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</si>
  <si>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</si>
  <si>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</si>
  <si>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</si>
  <si>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</si>
  <si>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</si>
  <si>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</si>
  <si>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</si>
  <si>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</si>
  <si>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</si>
  <si>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</si>
  <si>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</si>
  <si>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</si>
  <si>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</si>
  <si>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</si>
  <si>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</si>
  <si>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</si>
  <si>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</si>
  <si>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</si>
  <si>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</si>
  <si>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</si>
  <si>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</si>
  <si>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</si>
  <si>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</si>
  <si>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</si>
  <si>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</si>
  <si>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</si>
  <si>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</si>
  <si>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</si>
  <si>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</si>
  <si>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</si>
  <si>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</si>
  <si>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</si>
  <si>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</si>
  <si>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</si>
  <si>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</si>
  <si>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</si>
  <si>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</si>
  <si>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</si>
  <si>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</si>
  <si>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</si>
  <si>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</si>
  <si>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</si>
  <si>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</si>
  <si>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</si>
  <si>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</si>
  <si>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</si>
  <si>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</si>
  <si>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</si>
  <si>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</si>
  <si>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</si>
  <si>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</si>
  <si>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</si>
  <si>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</si>
  <si>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</si>
  <si>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</si>
  <si>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</si>
  <si>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</si>
  <si>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</si>
  <si>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</si>
  <si>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</si>
  <si>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</si>
  <si>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</si>
  <si>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</si>
  <si>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</si>
  <si>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</si>
  <si>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</si>
  <si>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</si>
  <si>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</si>
  <si>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</si>
  <si>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</si>
  <si>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</si>
  <si>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</si>
  <si>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</si>
  <si>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</si>
  <si>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</si>
  <si>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</si>
  <si>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</si>
  <si>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</si>
  <si>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</si>
  <si>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</si>
  <si>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</si>
  <si>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</si>
  <si>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</si>
  <si>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</si>
  <si>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</si>
  <si>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</si>
  <si>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</si>
  <si>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</si>
  <si>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</si>
  <si>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</si>
  <si>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</si>
  <si>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</si>
  <si>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</si>
  <si>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</si>
  <si>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</si>
  <si>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</si>
  <si>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</si>
  <si>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</si>
  <si>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</si>
  <si>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</si>
  <si>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</si>
  <si>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</si>
  <si>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</si>
  <si>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</si>
  <si>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</si>
  <si>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</si>
  <si>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</si>
  <si>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</si>
  <si>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</si>
  <si>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</si>
  <si>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</si>
  <si>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</si>
  <si>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</si>
  <si>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</si>
  <si>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</si>
  <si>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</si>
  <si>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</si>
  <si>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</si>
  <si>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</si>
  <si>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</si>
  <si>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</si>
  <si>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</si>
  <si>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</si>
  <si>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</si>
  <si>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</si>
  <si>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</si>
  <si>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</si>
  <si>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</si>
  <si>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</si>
  <si>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</si>
  <si>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</si>
  <si>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</si>
  <si>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</si>
  <si>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</si>
  <si>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</si>
  <si>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</si>
  <si>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</si>
  <si>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</si>
  <si>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</si>
  <si>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</si>
  <si>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</si>
  <si>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</si>
  <si>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</si>
  <si>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</si>
  <si>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</si>
  <si>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</si>
  <si>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</si>
  <si>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</si>
  <si>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</si>
  <si>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</si>
  <si>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</si>
  <si>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</si>
  <si>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</si>
  <si>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</si>
  <si>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</si>
  <si>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</si>
  <si>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</si>
  <si>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</si>
  <si>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</si>
  <si>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</si>
  <si>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X-&gt;</t>
  </si>
  <si>
    <t>ANNEE : 14</t>
  </si>
  <si>
    <t>LIEU : CHX</t>
  </si>
  <si>
    <t>PROTOCOLE : M708</t>
  </si>
  <si>
    <t>Alpaga</t>
  </si>
  <si>
    <t>DK-Exquisite</t>
  </si>
  <si>
    <t>Rep 1</t>
  </si>
  <si>
    <t>Rep 2</t>
  </si>
  <si>
    <t>N-</t>
  </si>
  <si>
    <t>N+</t>
  </si>
  <si>
    <t>DK-EXQUISITE</t>
  </si>
  <si>
    <t>-</t>
  </si>
  <si>
    <t>02-03-04/09/2013</t>
  </si>
  <si>
    <t>Herbicides</t>
  </si>
  <si>
    <t>Semis colza</t>
  </si>
  <si>
    <t>Insecticides</t>
  </si>
  <si>
    <t>Fertilisation 1</t>
  </si>
  <si>
    <t>Fertilisation 2</t>
  </si>
  <si>
    <t>2L + 1L</t>
  </si>
  <si>
    <t>Alabama + Springbox</t>
  </si>
  <si>
    <t>0.15 L</t>
  </si>
  <si>
    <t>Callisto</t>
  </si>
  <si>
    <t>2.5 Kg</t>
  </si>
  <si>
    <t>Bilbo</t>
  </si>
  <si>
    <t>0.1 L</t>
  </si>
  <si>
    <t>Fury</t>
  </si>
  <si>
    <t>Solution azotée 390</t>
  </si>
  <si>
    <t>so3</t>
  </si>
  <si>
    <t>Super 23</t>
  </si>
  <si>
    <t>350 KG/Ha</t>
  </si>
  <si>
    <t>Argilo limoneux calcaire</t>
  </si>
  <si>
    <t>TYPE de sol :</t>
  </si>
  <si>
    <t xml:space="preserve">         RU eau:                                                                                   </t>
  </si>
  <si>
    <t>Faible</t>
  </si>
  <si>
    <t>PROFONDEUR du sol</t>
  </si>
  <si>
    <t>Moyennement profond (30 à 60 cm)</t>
  </si>
  <si>
    <t xml:space="preserve">      Drainage:</t>
  </si>
  <si>
    <t xml:space="preserve">POTENTIEL: </t>
  </si>
  <si>
    <t>Moyen</t>
  </si>
  <si>
    <t xml:space="preserve">      Irrigation:</t>
  </si>
  <si>
    <t>Non</t>
  </si>
  <si>
    <t xml:space="preserve">            PRECEDENT:                          </t>
  </si>
  <si>
    <t>Blé tendre</t>
  </si>
  <si>
    <t>enlevées/brûlées</t>
  </si>
  <si>
    <t>Devenir des pailles :</t>
  </si>
  <si>
    <t>70 Unités pour N+ et 0 Unités pour N-</t>
  </si>
  <si>
    <t>70 Unités pour N+ et 40 Unités pour N-</t>
  </si>
  <si>
    <t>Récolte</t>
  </si>
  <si>
    <t>Lit de semences: Motteux ; Etat du sol au semis: Sec ; Type de semoir: Précision</t>
  </si>
  <si>
    <t>Rapport</t>
  </si>
  <si>
    <t>K2O/MgO</t>
  </si>
  <si>
    <t>CaO/K2O</t>
  </si>
  <si>
    <t>MO/Cu</t>
  </si>
  <si>
    <t>P2O5/Zn</t>
  </si>
  <si>
    <t>CaO/MgO</t>
  </si>
  <si>
    <t>Valeur</t>
  </si>
  <si>
    <t>Plage d'équilibre</t>
  </si>
  <si>
    <t>1,8 à 2,8</t>
  </si>
  <si>
    <t>10 et +</t>
  </si>
  <si>
    <t>0 à 75</t>
  </si>
  <si>
    <t>0 à 650</t>
  </si>
  <si>
    <t>12 et +</t>
  </si>
  <si>
    <t>Charançon :NA Phoma:2</t>
  </si>
  <si>
    <t>Charançon :NA Phoma:6</t>
  </si>
  <si>
    <t>Charançon :NA Phoma:9</t>
  </si>
  <si>
    <t>Charançon :NA Phoma:8</t>
  </si>
  <si>
    <t>Charançon :NA Phoma:3</t>
  </si>
  <si>
    <t>Charançon :NA Phoma:4</t>
  </si>
  <si>
    <t>Charançon :8 Phoma:NA</t>
  </si>
  <si>
    <t>Charançon :NA Phoma:1</t>
  </si>
  <si>
    <t>Charançon :NA Phoma:7</t>
  </si>
  <si>
    <t>Charançon :2 Phoma:2</t>
  </si>
  <si>
    <t>Charançon :NA Phoma:5</t>
  </si>
  <si>
    <t>Charançon :NA Phoma:NA</t>
  </si>
  <si>
    <t>Charançon :1 Phoma:3</t>
  </si>
  <si>
    <t>Charançon :9 Phoma:NA</t>
  </si>
  <si>
    <t>Charançon :1 Phoma:9</t>
  </si>
  <si>
    <t>Charançon :3 Phoma:7</t>
  </si>
  <si>
    <t>Charançon :3 Phoma:9</t>
  </si>
  <si>
    <t>Charançon :1 Phoma:2</t>
  </si>
  <si>
    <t>Charançon :1 Phoma:8</t>
  </si>
  <si>
    <t>Charançon :4 Phoma:3</t>
  </si>
  <si>
    <t>Charançon :1 Phoma:7</t>
  </si>
  <si>
    <t>Charançon :1 Phoma:1</t>
  </si>
  <si>
    <t>Charançon :3 Phoma:6</t>
  </si>
  <si>
    <t>Charançon :1 Phoma:5</t>
  </si>
  <si>
    <t>Charançon :5 Phoma:3</t>
  </si>
  <si>
    <t>Charançon :3 Phoma:3</t>
  </si>
  <si>
    <t>Charançon :5 Phoma:4</t>
  </si>
  <si>
    <t>Charançon :1 Phoma:4</t>
  </si>
  <si>
    <t>Charançon :1 Phoma:NA</t>
  </si>
  <si>
    <t>Charançon :2 Phoma:5</t>
  </si>
  <si>
    <t>Charançon :7 Phoma:5</t>
  </si>
  <si>
    <t>Charançon :3 Phoma:1</t>
  </si>
  <si>
    <t>Charançon :5 Phoma:9</t>
  </si>
  <si>
    <t>Charançon :3 Phoma:8</t>
  </si>
  <si>
    <t>Charançon :4 Phoma:4</t>
  </si>
  <si>
    <t>Charançon :4 Phoma:9</t>
  </si>
  <si>
    <t>Charançon :6 Phoma:9</t>
  </si>
  <si>
    <t>Charançon :7 Phoma:4</t>
  </si>
  <si>
    <t>Charançon :2 Phoma:9</t>
  </si>
  <si>
    <t>Charançon :2 Phoma:4</t>
  </si>
  <si>
    <t>Charançon :3 Phoma:4</t>
  </si>
  <si>
    <t>Charançon :3 Phoma:5</t>
  </si>
  <si>
    <t>Charançon :3 Phoma:2</t>
  </si>
  <si>
    <t>Charançon :5 Phoma:7</t>
  </si>
  <si>
    <t>Charançon :7 Phoma:2</t>
  </si>
  <si>
    <t>Charançon :7 Phoma:9</t>
  </si>
  <si>
    <t>Charançon :2 Phoma:3</t>
  </si>
  <si>
    <t>Charançon :2 Phoma:7</t>
  </si>
  <si>
    <t>Charançon :1 Phoma:6</t>
  </si>
  <si>
    <t>Charançon :2 Phoma:8</t>
  </si>
  <si>
    <t>Charançon :9 Phoma:6</t>
  </si>
  <si>
    <t>Charançon :5 Phoma:8</t>
  </si>
  <si>
    <t>Charançon :7 Phoma:3</t>
  </si>
  <si>
    <t>Charançon :5 Phoma:2</t>
  </si>
  <si>
    <t>Charançon :5 Phoma:NA</t>
  </si>
  <si>
    <t>Charançon :5 Phoma:6</t>
  </si>
  <si>
    <t>Charançon :5 Phoma:5</t>
  </si>
  <si>
    <t>Charançon :7 Phoma:NA</t>
  </si>
  <si>
    <t>Charançon :8 Phoma:9</t>
  </si>
  <si>
    <t>Charançon :4 Phoma:2</t>
  </si>
  <si>
    <t>Charançon :7 Phoma:8</t>
  </si>
  <si>
    <t>Charançon :2 Phoma:1</t>
  </si>
  <si>
    <t>Charançon :6 Phoma:6</t>
  </si>
  <si>
    <t>Charançon :4 Phoma:6</t>
  </si>
  <si>
    <t>Charançon :4 Phoma:8</t>
  </si>
  <si>
    <t>Charançon :6 Phoma:8</t>
  </si>
  <si>
    <t>Charançon :3 Phoma:NA</t>
  </si>
  <si>
    <t>Charançon :4 Phoma:7</t>
  </si>
  <si>
    <t>Charançon :4 Phoma:5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</si>
</sst>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\ _€_-;\-* #,##0.00\ _€_-;_-* &quot;-&quot;??\ _€_-;_-@_-"/>
    <numFmt numFmtId="164" formatCode="dd/mm/yy"/>
    <numFmt numFmtId="165" formatCode="d/mm/yyyy;@"/>
    <numFmt numFmtId="166" formatCode="0.0000"/>
    <numFmt numFmtId="167" formatCode="d/m/yy"/>
    <numFmt numFmtId="168" formatCode="m/d/yy\ h:mm"/>
    <numFmt numFmtId="169" formatCode="00"/>
    <numFmt numFmtId="170" formatCode="000"/>
  </numFmts>
  <fonts count="70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rgb="FFFF0000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theme="1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2"/>
      <name val="Arial"/>
      <family val="2"/>
    </font>
    <font>
      <b/>
      <sz val="12"/>
      <name val="Geneva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Arial"/>
      <family val="2"/>
    </font>
    <font>
      <b/>
      <sz val="10"/>
      <color rgb="FFFF0000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i/>
      <sz val="10"/>
      <color indexed="56"/>
      <name val="Arial"/>
      <family val="2"/>
    </font>
    <font>
      <sz val="10"/>
      <color indexed="9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9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45">
    <xf numFmtId="0" fontId="0" fillId="0" borderId="0"/>
    <xf numFmtId="0" fontId="2" fillId="0" borderId="0" applyNumberFormat="0" applyFill="0" applyBorder="0" applyProtection="0"/>
    <xf numFmtId="0" fontId="2" fillId="0" borderId="0" applyNumberFormat="0" applyFill="0" applyBorder="0" applyProtection="0"/>
    <xf numFmtId="0" fontId="3" fillId="0" borderId="0" applyNumberFormat="0" applyFill="0" applyBorder="0" applyProtection="0"/>
    <xf numFmtId="0" fontId="2" fillId="0" borderId="0" applyNumberFormat="0" applyFill="0" applyBorder="0" applyProtection="0"/>
    <xf numFmtId="0" fontId="4" fillId="0" borderId="0"/>
    <xf numFmtId="0" fontId="28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6" fillId="0" borderId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2" borderId="0" applyNumberFormat="0" applyBorder="0" applyAlignment="0" applyProtection="0"/>
    <xf numFmtId="0" fontId="34" fillId="15" borderId="0" applyNumberFormat="0" applyBorder="0" applyAlignment="0" applyProtection="0"/>
    <xf numFmtId="0" fontId="34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19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25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6" borderId="0" applyNumberFormat="0" applyBorder="0" applyAlignment="0" applyProtection="0"/>
    <xf numFmtId="0" fontId="36" fillId="27" borderId="5" applyNumberFormat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27" borderId="19" applyNumberFormat="0" applyAlignment="0" applyProtection="0"/>
    <xf numFmtId="0" fontId="38" fillId="27" borderId="19" applyNumberFormat="0" applyAlignment="0" applyProtection="0"/>
    <xf numFmtId="0" fontId="38" fillId="27" borderId="19" applyNumberFormat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26" fillId="28" borderId="21" applyNumberFormat="0" applyFont="0" applyAlignment="0" applyProtection="0"/>
    <xf numFmtId="0" fontId="26" fillId="28" borderId="21" applyNumberFormat="0" applyFont="0" applyAlignment="0" applyProtection="0"/>
    <xf numFmtId="0" fontId="40" fillId="14" borderId="19" applyNumberFormat="0" applyAlignment="0" applyProtection="0"/>
    <xf numFmtId="0" fontId="40" fillId="14" borderId="19" applyNumberFormat="0" applyAlignment="0" applyProtection="0"/>
    <xf numFmtId="0" fontId="40" fillId="14" borderId="19" applyNumberFormat="0" applyAlignment="0" applyProtection="0"/>
    <xf numFmtId="0" fontId="41" fillId="0" borderId="22" applyNumberFormat="0" applyFill="0" applyAlignment="0" applyProtection="0"/>
    <xf numFmtId="0" fontId="42" fillId="0" borderId="0" applyNumberFormat="0" applyFill="0" applyBorder="0" applyAlignment="0" applyProtection="0"/>
    <xf numFmtId="0" fontId="43" fillId="11" borderId="0" applyNumberFormat="0" applyBorder="0" applyAlignment="0" applyProtection="0"/>
    <xf numFmtId="0" fontId="44" fillId="10" borderId="0" applyNumberFormat="0" applyBorder="0" applyAlignment="0" applyProtection="0"/>
    <xf numFmtId="0" fontId="44" fillId="10" borderId="0" applyNumberFormat="0" applyBorder="0" applyAlignment="0" applyProtection="0"/>
    <xf numFmtId="0" fontId="26" fillId="0" borderId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1" fillId="0" borderId="0"/>
    <xf numFmtId="0" fontId="26" fillId="0" borderId="0"/>
    <xf numFmtId="0" fontId="26" fillId="0" borderId="0"/>
    <xf numFmtId="0" fontId="34" fillId="0" borderId="0"/>
    <xf numFmtId="0" fontId="26" fillId="0" borderId="0"/>
    <xf numFmtId="0" fontId="46" fillId="0" borderId="0"/>
    <xf numFmtId="0" fontId="34" fillId="28" borderId="21" applyNumberFormat="0" applyFont="0" applyAlignment="0" applyProtection="0"/>
    <xf numFmtId="9" fontId="34" fillId="0" borderId="0" applyFont="0" applyFill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4" fillId="10" borderId="0" applyNumberFormat="0" applyBorder="0" applyAlignment="0" applyProtection="0"/>
    <xf numFmtId="0" fontId="36" fillId="27" borderId="5" applyNumberFormat="0" applyAlignment="0" applyProtection="0"/>
    <xf numFmtId="0" fontId="36" fillId="27" borderId="5" applyNumberFormat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50" fillId="0" borderId="25" applyNumberFormat="0" applyFill="0" applyAlignment="0" applyProtection="0"/>
    <xf numFmtId="0" fontId="50" fillId="0" borderId="25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7" fillId="0" borderId="0" applyNumberFormat="0" applyFill="0" applyBorder="0" applyAlignment="0" applyProtection="0"/>
    <xf numFmtId="0" fontId="48" fillId="0" borderId="23" applyNumberFormat="0" applyFill="0" applyAlignment="0" applyProtection="0"/>
    <xf numFmtId="0" fontId="49" fillId="0" borderId="24" applyNumberFormat="0" applyFill="0" applyAlignment="0" applyProtection="0"/>
    <xf numFmtId="0" fontId="50" fillId="0" borderId="25" applyNumberFormat="0" applyFill="0" applyAlignment="0" applyProtection="0"/>
    <xf numFmtId="0" fontId="50" fillId="0" borderId="0" applyNumberFormat="0" applyFill="0" applyBorder="0" applyAlignment="0" applyProtection="0"/>
    <xf numFmtId="0" fontId="51" fillId="30" borderId="26" applyNumberFormat="0" applyAlignment="0" applyProtection="0"/>
    <xf numFmtId="0" fontId="51" fillId="30" borderId="26" applyNumberFormat="0" applyAlignment="0" applyProtection="0"/>
    <xf numFmtId="0" fontId="39" fillId="0" borderId="20" applyNumberFormat="0" applyFill="0" applyAlignment="0" applyProtection="0"/>
    <xf numFmtId="0" fontId="37" fillId="0" borderId="0" applyNumberFormat="0" applyFill="0" applyBorder="0" applyAlignment="0" applyProtection="0"/>
    <xf numFmtId="0" fontId="51" fillId="30" borderId="26" applyNumberFormat="0" applyAlignment="0" applyProtection="0"/>
    <xf numFmtId="43" fontId="28" fillId="0" borderId="0" applyFont="0" applyFill="0" applyBorder="0" applyAlignment="0" applyProtection="0"/>
    <xf numFmtId="0" fontId="26" fillId="0" borderId="0" applyNumberFormat="0" applyFont="0" applyFill="0" applyBorder="0" applyAlignment="0" applyProtection="0"/>
  </cellStyleXfs>
  <cellXfs count="379">
    <xf numFmtId="0" fontId="0" fillId="0" borderId="0" xfId="0"/>
    <xf numFmtId="0" fontId="4" fillId="0" borderId="0" xfId="0" applyFont="1" applyAlignment="1">
      <alignment horizontal="left"/>
    </xf>
    <xf numFmtId="0" fontId="7" fillId="0" borderId="0" xfId="6" applyFont="1" applyAlignment="1">
      <alignment horizontal="left"/>
    </xf>
    <xf numFmtId="164" fontId="7" fillId="0" borderId="0" xfId="6" applyNumberFormat="1" applyFont="1" applyAlignment="1">
      <alignment horizontal="left"/>
    </xf>
    <xf numFmtId="0" fontId="8" fillId="0" borderId="0" xfId="6" applyFont="1" applyAlignment="1">
      <alignment horizontal="left"/>
    </xf>
    <xf numFmtId="0" fontId="4" fillId="0" borderId="0" xfId="9" applyFont="1" applyAlignment="1">
      <alignment horizontal="left"/>
    </xf>
    <xf numFmtId="164" fontId="8" fillId="0" borderId="0" xfId="6" applyNumberFormat="1" applyFont="1" applyAlignment="1">
      <alignment horizontal="left"/>
    </xf>
    <xf numFmtId="0" fontId="4" fillId="0" borderId="0" xfId="6" applyFont="1" applyAlignment="1">
      <alignment horizontal="left"/>
    </xf>
    <xf numFmtId="0" fontId="4" fillId="0" borderId="0" xfId="9" applyFont="1" applyBorder="1" applyAlignment="1">
      <alignment horizontal="left"/>
    </xf>
    <xf numFmtId="0" fontId="12" fillId="0" borderId="0" xfId="9" applyFont="1" applyBorder="1" applyAlignment="1">
      <alignment horizontal="left"/>
    </xf>
    <xf numFmtId="0" fontId="8" fillId="0" borderId="0" xfId="9" applyFont="1" applyAlignment="1">
      <alignment horizontal="left"/>
    </xf>
    <xf numFmtId="0" fontId="10" fillId="0" borderId="0" xfId="9" applyFont="1" applyAlignment="1">
      <alignment horizontal="left"/>
    </xf>
    <xf numFmtId="0" fontId="9" fillId="0" borderId="0" xfId="9" applyFont="1" applyFill="1" applyAlignment="1">
      <alignment horizontal="left"/>
    </xf>
    <xf numFmtId="0" fontId="8" fillId="2" borderId="1" xfId="9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49" fontId="13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8" fillId="0" borderId="1" xfId="9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0" fontId="4" fillId="0" borderId="1" xfId="5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5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8" fillId="0" borderId="1" xfId="9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49" fontId="4" fillId="0" borderId="1" xfId="0" applyNumberFormat="1" applyFont="1" applyFill="1" applyBorder="1" applyAlignment="1">
      <alignment horizontal="left" vertical="center" wrapText="1"/>
    </xf>
    <xf numFmtId="0" fontId="4" fillId="0" borderId="7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center" vertical="center" wrapText="1"/>
    </xf>
    <xf numFmtId="0" fontId="4" fillId="0" borderId="1" xfId="9" applyFont="1" applyBorder="1" applyAlignment="1">
      <alignment horizontal="left" vertical="center" wrapText="1"/>
    </xf>
    <xf numFmtId="0" fontId="4" fillId="0" borderId="7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wrapText="1"/>
    </xf>
    <xf numFmtId="0" fontId="4" fillId="0" borderId="8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9" fillId="0" borderId="8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2" borderId="1" xfId="9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8" fillId="0" borderId="2" xfId="9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0" borderId="2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1" xfId="9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wrapText="1"/>
    </xf>
    <xf numFmtId="0" fontId="4" fillId="0" borderId="0" xfId="9" applyFont="1" applyBorder="1" applyAlignment="1">
      <alignment horizontal="left" vertical="center"/>
    </xf>
    <xf numFmtId="0" fontId="9" fillId="0" borderId="0" xfId="9" applyFont="1" applyFill="1" applyBorder="1" applyAlignment="1">
      <alignment horizontal="left"/>
    </xf>
    <xf numFmtId="0" fontId="9" fillId="2" borderId="1" xfId="9" applyFont="1" applyFill="1" applyBorder="1" applyAlignment="1">
      <alignment horizontal="left"/>
    </xf>
    <xf numFmtId="0" fontId="13" fillId="2" borderId="1" xfId="9" applyFont="1" applyFill="1" applyBorder="1" applyAlignment="1">
      <alignment horizontal="left"/>
    </xf>
    <xf numFmtId="0" fontId="16" fillId="0" borderId="1" xfId="9" applyFont="1" applyBorder="1" applyAlignment="1">
      <alignment horizontal="left" vertical="center" wrapText="1"/>
    </xf>
    <xf numFmtId="0" fontId="4" fillId="0" borderId="1" xfId="9" applyFont="1" applyBorder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/>
    </xf>
    <xf numFmtId="0" fontId="8" fillId="0" borderId="0" xfId="9" applyFont="1" applyBorder="1" applyAlignment="1">
      <alignment horizontal="left" vertical="center" wrapText="1"/>
    </xf>
    <xf numFmtId="0" fontId="9" fillId="0" borderId="0" xfId="9" applyFont="1" applyBorder="1" applyAlignment="1">
      <alignment horizontal="left" vertical="center" wrapText="1"/>
    </xf>
    <xf numFmtId="0" fontId="8" fillId="0" borderId="0" xfId="9" applyFont="1" applyBorder="1" applyAlignment="1">
      <alignment horizontal="left" vertical="center"/>
    </xf>
    <xf numFmtId="0" fontId="8" fillId="0" borderId="0" xfId="9" applyFont="1" applyFill="1" applyBorder="1" applyAlignment="1">
      <alignment horizontal="left" vertical="center"/>
    </xf>
    <xf numFmtId="0" fontId="9" fillId="2" borderId="1" xfId="0" applyFont="1" applyFill="1" applyBorder="1" applyAlignment="1" applyProtection="1">
      <alignment horizontal="left"/>
    </xf>
    <xf numFmtId="0" fontId="13" fillId="2" borderId="1" xfId="0" applyFont="1" applyFill="1" applyBorder="1" applyAlignment="1" applyProtection="1">
      <alignment horizontal="left"/>
    </xf>
    <xf numFmtId="0" fontId="13" fillId="2" borderId="7" xfId="0" applyFont="1" applyFill="1" applyBorder="1" applyAlignment="1" applyProtection="1">
      <alignment horizontal="left"/>
    </xf>
    <xf numFmtId="0" fontId="4" fillId="0" borderId="5" xfId="0" applyFont="1" applyBorder="1" applyAlignment="1">
      <alignment horizontal="left" wrapText="1"/>
    </xf>
    <xf numFmtId="0" fontId="8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2" fillId="0" borderId="7" xfId="1" applyNumberFormat="1" applyFont="1" applyFill="1" applyBorder="1" applyAlignment="1" applyProtection="1">
      <alignment horizontal="left" vertical="center" wrapText="1"/>
    </xf>
    <xf numFmtId="0" fontId="9" fillId="2" borderId="1" xfId="10" applyFont="1" applyFill="1" applyBorder="1" applyAlignment="1">
      <alignment horizontal="left"/>
    </xf>
    <xf numFmtId="0" fontId="8" fillId="2" borderId="1" xfId="10" applyFont="1" applyFill="1" applyBorder="1" applyAlignment="1">
      <alignment horizontal="left"/>
    </xf>
    <xf numFmtId="0" fontId="4" fillId="0" borderId="1" xfId="1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49" fontId="9" fillId="2" borderId="1" xfId="0" applyNumberFormat="1" applyFont="1" applyFill="1" applyBorder="1" applyAlignment="1" applyProtection="1">
      <alignment horizontal="left"/>
    </xf>
    <xf numFmtId="49" fontId="13" fillId="2" borderId="1" xfId="0" applyNumberFormat="1" applyFont="1" applyFill="1" applyBorder="1" applyAlignment="1" applyProtection="1">
      <alignment horizontal="left"/>
    </xf>
    <xf numFmtId="0" fontId="10" fillId="2" borderId="1" xfId="0" applyFont="1" applyFill="1" applyBorder="1" applyAlignment="1" applyProtection="1">
      <alignment horizontal="left"/>
      <protection locked="0"/>
    </xf>
    <xf numFmtId="0" fontId="13" fillId="2" borderId="6" xfId="0" applyFont="1" applyFill="1" applyBorder="1" applyAlignment="1">
      <alignment horizontal="left"/>
    </xf>
    <xf numFmtId="49" fontId="20" fillId="0" borderId="1" xfId="0" applyNumberFormat="1" applyFont="1" applyFill="1" applyBorder="1" applyAlignment="1" applyProtection="1">
      <alignment horizontal="left" vertical="center" wrapText="1"/>
    </xf>
    <xf numFmtId="49" fontId="20" fillId="0" borderId="1" xfId="0" applyNumberFormat="1" applyFont="1" applyFill="1" applyBorder="1" applyAlignment="1" applyProtection="1">
      <alignment horizontal="left" wrapText="1"/>
    </xf>
    <xf numFmtId="0" fontId="4" fillId="0" borderId="0" xfId="0" applyFont="1" applyFill="1" applyBorder="1" applyAlignment="1">
      <alignment horizontal="left"/>
    </xf>
    <xf numFmtId="0" fontId="20" fillId="0" borderId="1" xfId="9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/>
    </xf>
    <xf numFmtId="0" fontId="8" fillId="0" borderId="0" xfId="0" applyFont="1"/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1" xfId="3" applyNumberFormat="1" applyFont="1" applyFill="1" applyBorder="1" applyAlignment="1" applyProtection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2" borderId="1" xfId="0" applyFont="1" applyFill="1" applyBorder="1"/>
    <xf numFmtId="0" fontId="4" fillId="0" borderId="1" xfId="0" applyFont="1" applyFill="1" applyBorder="1" applyAlignment="1" applyProtection="1">
      <alignment horizontal="center"/>
      <protection locked="0"/>
    </xf>
    <xf numFmtId="0" fontId="22" fillId="3" borderId="11" xfId="0" applyFont="1" applyFill="1" applyBorder="1" applyAlignment="1">
      <alignment vertical="center"/>
    </xf>
    <xf numFmtId="0" fontId="0" fillId="0" borderId="12" xfId="0" applyFill="1" applyBorder="1"/>
    <xf numFmtId="0" fontId="17" fillId="4" borderId="12" xfId="0" applyFont="1" applyFill="1" applyBorder="1"/>
    <xf numFmtId="0" fontId="9" fillId="3" borderId="13" xfId="0" applyFont="1" applyFill="1" applyBorder="1" applyAlignment="1">
      <alignment horizontal="center" vertical="center"/>
    </xf>
    <xf numFmtId="0" fontId="13" fillId="0" borderId="14" xfId="9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7" fillId="3" borderId="15" xfId="0" applyFont="1" applyFill="1" applyBorder="1" applyAlignment="1">
      <alignment vertical="center"/>
    </xf>
    <xf numFmtId="0" fontId="0" fillId="0" borderId="12" xfId="0" applyBorder="1"/>
    <xf numFmtId="0" fontId="9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Fill="1" applyBorder="1"/>
    <xf numFmtId="0" fontId="13" fillId="0" borderId="1" xfId="9" applyFont="1" applyFill="1" applyBorder="1" applyAlignment="1">
      <alignment horizontal="center"/>
    </xf>
    <xf numFmtId="0" fontId="17" fillId="3" borderId="11" xfId="0" applyFont="1" applyFill="1" applyBorder="1" applyAlignment="1">
      <alignment vertical="center"/>
    </xf>
    <xf numFmtId="0" fontId="13" fillId="0" borderId="14" xfId="9" applyFont="1" applyBorder="1" applyAlignment="1">
      <alignment horizontal="center" vertical="center"/>
    </xf>
    <xf numFmtId="0" fontId="17" fillId="3" borderId="16" xfId="0" applyFont="1" applyFill="1" applyBorder="1" applyAlignment="1">
      <alignment vertical="center"/>
    </xf>
    <xf numFmtId="0" fontId="24" fillId="0" borderId="0" xfId="1" applyNumberFormat="1" applyFont="1" applyFill="1" applyBorder="1" applyAlignment="1" applyProtection="1">
      <protection locked="0"/>
    </xf>
    <xf numFmtId="0" fontId="23" fillId="0" borderId="0" xfId="0" applyFont="1" applyAlignment="1">
      <alignment wrapText="1"/>
    </xf>
    <xf numFmtId="0" fontId="4" fillId="0" borderId="0" xfId="0" applyFont="1" applyAlignment="1" applyProtection="1">
      <protection locked="0"/>
    </xf>
    <xf numFmtId="0" fontId="8" fillId="0" borderId="0" xfId="0" applyFont="1" applyAlignment="1" applyProtection="1"/>
    <xf numFmtId="0" fontId="4" fillId="5" borderId="11" xfId="0" applyFont="1" applyFill="1" applyBorder="1" applyAlignment="1">
      <alignment vertical="center"/>
    </xf>
    <xf numFmtId="0" fontId="4" fillId="0" borderId="0" xfId="0" applyFont="1" applyProtection="1">
      <protection locked="0"/>
    </xf>
    <xf numFmtId="0" fontId="8" fillId="5" borderId="13" xfId="0" applyFont="1" applyFill="1" applyBorder="1" applyAlignment="1">
      <alignment horizontal="center" vertical="center"/>
    </xf>
    <xf numFmtId="0" fontId="8" fillId="0" borderId="0" xfId="0" applyFont="1" applyProtection="1"/>
    <xf numFmtId="0" fontId="23" fillId="3" borderId="16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25" fillId="3" borderId="11" xfId="0" applyFont="1" applyFill="1" applyBorder="1" applyAlignment="1">
      <alignment vertical="center"/>
    </xf>
    <xf numFmtId="0" fontId="25" fillId="0" borderId="12" xfId="0" applyFont="1" applyFill="1" applyBorder="1"/>
    <xf numFmtId="0" fontId="26" fillId="0" borderId="0" xfId="0" applyFont="1" applyAlignment="1" applyProtection="1">
      <protection locked="0"/>
    </xf>
    <xf numFmtId="0" fontId="22" fillId="6" borderId="12" xfId="5" applyFont="1" applyFill="1" applyBorder="1"/>
    <xf numFmtId="0" fontId="27" fillId="0" borderId="12" xfId="5" applyFont="1" applyFill="1" applyBorder="1"/>
    <xf numFmtId="0" fontId="4" fillId="0" borderId="12" xfId="5" applyBorder="1"/>
    <xf numFmtId="0" fontId="4" fillId="0" borderId="0" xfId="5"/>
    <xf numFmtId="0" fontId="9" fillId="6" borderId="1" xfId="5" applyFont="1" applyFill="1" applyBorder="1"/>
    <xf numFmtId="0" fontId="8" fillId="0" borderId="1" xfId="5" applyFont="1" applyFill="1" applyBorder="1"/>
    <xf numFmtId="0" fontId="8" fillId="0" borderId="1" xfId="5" applyFont="1" applyBorder="1"/>
    <xf numFmtId="0" fontId="0" fillId="7" borderId="12" xfId="0" applyFill="1" applyBorder="1"/>
    <xf numFmtId="0" fontId="15" fillId="7" borderId="1" xfId="0" applyFont="1" applyFill="1" applyBorder="1"/>
    <xf numFmtId="0" fontId="14" fillId="0" borderId="0" xfId="0" applyFont="1"/>
    <xf numFmtId="0" fontId="0" fillId="0" borderId="0" xfId="0" applyFont="1"/>
    <xf numFmtId="0" fontId="23" fillId="0" borderId="0" xfId="0" applyFont="1"/>
    <xf numFmtId="0" fontId="2" fillId="3" borderId="11" xfId="1" applyFill="1" applyBorder="1"/>
    <xf numFmtId="165" fontId="26" fillId="0" borderId="0" xfId="0" applyNumberFormat="1" applyFont="1" applyAlignment="1" applyProtection="1">
      <protection locked="0"/>
    </xf>
    <xf numFmtId="0" fontId="9" fillId="3" borderId="18" xfId="0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 wrapText="1"/>
    </xf>
    <xf numFmtId="0" fontId="13" fillId="0" borderId="14" xfId="9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32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29" fillId="0" borderId="12" xfId="0" applyFont="1" applyFill="1" applyBorder="1" applyAlignment="1">
      <alignment horizontal="center" vertical="center"/>
    </xf>
    <xf numFmtId="0" fontId="0" fillId="0" borderId="17" xfId="6" applyFont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33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14" fontId="0" fillId="0" borderId="12" xfId="0" applyNumberFormat="1" applyFill="1" applyBorder="1"/>
    <xf numFmtId="0" fontId="26" fillId="8" borderId="0" xfId="0" applyFont="1" applyFill="1" applyAlignment="1" applyProtection="1">
      <protection locked="0"/>
    </xf>
    <xf numFmtId="165" fontId="26" fillId="8" borderId="0" xfId="0" applyNumberFormat="1" applyFont="1" applyFill="1" applyAlignment="1" applyProtection="1">
      <protection locked="0"/>
    </xf>
    <xf numFmtId="0" fontId="0" fillId="0" borderId="12" xfId="0" quotePrefix="1" applyFill="1" applyBorder="1"/>
    <xf numFmtId="0" fontId="0" fillId="0" borderId="0" xfId="0" applyAlignment="1">
      <alignment vertical="top"/>
    </xf>
    <xf numFmtId="0" fontId="29" fillId="0" borderId="0" xfId="0" applyFont="1" applyAlignment="1">
      <alignment vertical="top"/>
    </xf>
    <xf numFmtId="0" fontId="26" fillId="0" borderId="0" xfId="0" applyFont="1" applyAlignment="1">
      <alignment horizontal="right"/>
    </xf>
    <xf numFmtId="0" fontId="53" fillId="0" borderId="0" xfId="0" applyFont="1" applyAlignment="1">
      <alignment horizontal="right"/>
    </xf>
    <xf numFmtId="0" fontId="26" fillId="0" borderId="0" xfId="0" applyFont="1"/>
    <xf numFmtId="0" fontId="26" fillId="8" borderId="0" xfId="0" applyFont="1" applyFill="1"/>
    <xf numFmtId="0" fontId="26" fillId="8" borderId="0" xfId="0" applyFont="1" applyFill="1" applyAlignment="1">
      <alignment horizontal="right"/>
    </xf>
    <xf numFmtId="0" fontId="53" fillId="0" borderId="0" xfId="0" applyFont="1"/>
    <xf numFmtId="0" fontId="53" fillId="8" borderId="0" xfId="0" applyFont="1" applyFill="1"/>
    <xf numFmtId="0" fontId="53" fillId="8" borderId="0" xfId="0" applyFont="1" applyFill="1" applyAlignment="1">
      <alignment horizontal="right"/>
    </xf>
    <xf numFmtId="0" fontId="26" fillId="0" borderId="12" xfId="0" applyFont="1" applyBorder="1"/>
    <xf numFmtId="0" fontId="53" fillId="0" borderId="12" xfId="0" applyFont="1" applyBorder="1"/>
    <xf numFmtId="0" fontId="54" fillId="3" borderId="0" xfId="0" applyFont="1" applyFill="1" applyBorder="1" applyAlignment="1">
      <alignment horizontal="center" vertical="center"/>
    </xf>
    <xf numFmtId="0" fontId="55" fillId="0" borderId="14" xfId="9" applyFont="1" applyFill="1" applyBorder="1" applyAlignment="1">
      <alignment horizontal="center"/>
    </xf>
    <xf numFmtId="0" fontId="56" fillId="4" borderId="14" xfId="0" applyFont="1" applyFill="1" applyBorder="1" applyAlignment="1">
      <alignment horizontal="center"/>
    </xf>
    <xf numFmtId="0" fontId="26" fillId="8" borderId="0" xfId="0" applyFont="1" applyFill="1" applyAlignment="1">
      <alignment horizontal="left"/>
    </xf>
    <xf numFmtId="0" fontId="26" fillId="0" borderId="0" xfId="0" applyFont="1" applyFill="1"/>
    <xf numFmtId="0" fontId="25" fillId="3" borderId="0" xfId="0" applyFont="1" applyFill="1" applyBorder="1" applyAlignment="1">
      <alignment vertical="center"/>
    </xf>
    <xf numFmtId="0" fontId="26" fillId="0" borderId="0" xfId="0" applyFont="1" applyAlignment="1">
      <alignment vertical="top"/>
    </xf>
    <xf numFmtId="0" fontId="25" fillId="4" borderId="12" xfId="0" applyFont="1" applyFill="1" applyBorder="1"/>
    <xf numFmtId="0" fontId="26" fillId="0" borderId="0" xfId="0" applyFont="1" applyFill="1" applyBorder="1"/>
    <xf numFmtId="0" fontId="26" fillId="0" borderId="12" xfId="0" applyFont="1" applyFill="1" applyBorder="1"/>
    <xf numFmtId="165" fontId="26" fillId="0" borderId="0" xfId="0" applyNumberFormat="1" applyFont="1" applyAlignment="1">
      <alignment horizontal="right"/>
    </xf>
    <xf numFmtId="43" fontId="26" fillId="0" borderId="0" xfId="143" applyFont="1" applyAlignment="1">
      <alignment horizontal="right"/>
    </xf>
    <xf numFmtId="14" fontId="26" fillId="0" borderId="12" xfId="0" applyNumberFormat="1" applyFont="1" applyFill="1" applyBorder="1"/>
    <xf numFmtId="165" fontId="26" fillId="8" borderId="0" xfId="0" applyNumberFormat="1" applyFont="1" applyFill="1" applyAlignment="1">
      <alignment horizontal="right"/>
    </xf>
    <xf numFmtId="0" fontId="26" fillId="0" borderId="12" xfId="0" applyNumberFormat="1" applyFont="1" applyFill="1" applyBorder="1"/>
    <xf numFmtId="0" fontId="46" fillId="0" borderId="0" xfId="106" applyFont="1" applyAlignment="1">
      <alignment vertical="top"/>
    </xf>
    <xf numFmtId="0" fontId="53" fillId="3" borderId="0" xfId="0" applyFont="1" applyFill="1" applyBorder="1" applyAlignment="1">
      <alignment vertical="center"/>
    </xf>
    <xf numFmtId="0" fontId="53" fillId="0" borderId="0" xfId="0" applyFont="1" applyAlignment="1">
      <alignment vertical="top"/>
    </xf>
    <xf numFmtId="0" fontId="53" fillId="4" borderId="12" xfId="0" applyFont="1" applyFill="1" applyBorder="1"/>
    <xf numFmtId="0" fontId="53" fillId="0" borderId="0" xfId="0" applyFont="1" applyFill="1" applyBorder="1"/>
    <xf numFmtId="0" fontId="53" fillId="0" borderId="12" xfId="0" applyFont="1" applyFill="1" applyBorder="1"/>
    <xf numFmtId="165" fontId="53" fillId="0" borderId="0" xfId="0" applyNumberFormat="1" applyFont="1" applyAlignment="1">
      <alignment horizontal="right"/>
    </xf>
    <xf numFmtId="43" fontId="53" fillId="0" borderId="0" xfId="143" applyFont="1" applyAlignment="1">
      <alignment horizontal="right"/>
    </xf>
    <xf numFmtId="14" fontId="53" fillId="0" borderId="12" xfId="0" applyNumberFormat="1" applyFont="1" applyFill="1" applyBorder="1"/>
    <xf numFmtId="165" fontId="53" fillId="8" borderId="0" xfId="0" applyNumberFormat="1" applyFont="1" applyFill="1" applyAlignment="1">
      <alignment horizontal="right"/>
    </xf>
    <xf numFmtId="0" fontId="53" fillId="0" borderId="0" xfId="106" applyFont="1" applyAlignment="1">
      <alignment vertical="top"/>
    </xf>
    <xf numFmtId="0" fontId="25" fillId="0" borderId="14" xfId="9" applyFont="1" applyFill="1" applyBorder="1" applyAlignment="1">
      <alignment horizontal="center"/>
    </xf>
    <xf numFmtId="0" fontId="53" fillId="0" borderId="12" xfId="0" applyNumberFormat="1" applyFont="1" applyFill="1" applyBorder="1"/>
    <xf numFmtId="0" fontId="46" fillId="0" borderId="0" xfId="111" applyAlignment="1">
      <alignment horizontal="center"/>
    </xf>
    <xf numFmtId="0" fontId="46" fillId="0" borderId="0" xfId="111"/>
    <xf numFmtId="0" fontId="46" fillId="0" borderId="17" xfId="111" applyBorder="1" applyAlignment="1">
      <alignment horizontal="center"/>
    </xf>
    <xf numFmtId="0" fontId="32" fillId="0" borderId="17" xfId="111" applyFont="1" applyBorder="1" applyAlignment="1">
      <alignment horizontal="center"/>
    </xf>
    <xf numFmtId="0" fontId="32" fillId="0" borderId="17" xfId="111" applyFont="1" applyFill="1" applyBorder="1" applyAlignment="1">
      <alignment horizontal="center"/>
    </xf>
    <xf numFmtId="0" fontId="26" fillId="0" borderId="17" xfId="144" applyNumberFormat="1" applyFont="1" applyFill="1" applyBorder="1" applyAlignment="1">
      <alignment horizontal="center"/>
    </xf>
    <xf numFmtId="14" fontId="26" fillId="0" borderId="17" xfId="144" applyNumberFormat="1" applyFont="1" applyFill="1" applyBorder="1" applyAlignment="1">
      <alignment horizontal="center"/>
    </xf>
    <xf numFmtId="0" fontId="0" fillId="0" borderId="17" xfId="0" applyBorder="1"/>
    <xf numFmtId="0" fontId="26" fillId="0" borderId="0" xfId="108"/>
    <xf numFmtId="0" fontId="26" fillId="0" borderId="0" xfId="108" applyAlignment="1">
      <alignment horizontal="center"/>
    </xf>
    <xf numFmtId="0" fontId="46" fillId="0" borderId="17" xfId="111" applyBorder="1"/>
    <xf numFmtId="0" fontId="59" fillId="32" borderId="36" xfId="108" applyFont="1" applyFill="1" applyBorder="1" applyAlignment="1">
      <alignment horizontal="center"/>
    </xf>
    <xf numFmtId="0" fontId="59" fillId="32" borderId="37" xfId="108" applyFont="1" applyFill="1" applyBorder="1" applyAlignment="1">
      <alignment horizontal="center"/>
    </xf>
    <xf numFmtId="0" fontId="59" fillId="32" borderId="38" xfId="108" applyFont="1" applyFill="1" applyBorder="1" applyAlignment="1">
      <alignment horizontal="center"/>
    </xf>
    <xf numFmtId="0" fontId="59" fillId="32" borderId="39" xfId="108" applyFont="1" applyFill="1" applyBorder="1" applyAlignment="1">
      <alignment horizontal="center"/>
    </xf>
    <xf numFmtId="0" fontId="59" fillId="32" borderId="40" xfId="108" applyFont="1" applyFill="1" applyBorder="1" applyAlignment="1">
      <alignment horizontal="center"/>
    </xf>
    <xf numFmtId="0" fontId="26" fillId="0" borderId="34" xfId="108" applyFont="1" applyBorder="1" applyAlignment="1">
      <alignment horizontal="center"/>
    </xf>
    <xf numFmtId="14" fontId="26" fillId="0" borderId="34" xfId="108" applyNumberFormat="1" applyFont="1" applyBorder="1" applyAlignment="1">
      <alignment horizontal="center"/>
    </xf>
    <xf numFmtId="0" fontId="26" fillId="0" borderId="34" xfId="108" applyNumberFormat="1" applyBorder="1" applyAlignment="1">
      <alignment horizontal="center"/>
    </xf>
    <xf numFmtId="0" fontId="26" fillId="0" borderId="34" xfId="108" applyBorder="1" applyAlignment="1">
      <alignment horizontal="center"/>
    </xf>
    <xf numFmtId="0" fontId="26" fillId="0" borderId="35" xfId="108" applyBorder="1" applyAlignment="1">
      <alignment horizontal="center"/>
    </xf>
    <xf numFmtId="0" fontId="26" fillId="0" borderId="17" xfId="108" applyBorder="1" applyAlignment="1">
      <alignment horizontal="center"/>
    </xf>
    <xf numFmtId="2" fontId="26" fillId="0" borderId="42" xfId="108" applyNumberFormat="1" applyBorder="1" applyAlignment="1">
      <alignment horizontal="center"/>
    </xf>
    <xf numFmtId="2" fontId="26" fillId="0" borderId="34" xfId="108" applyNumberFormat="1" applyBorder="1" applyAlignment="1">
      <alignment horizontal="center"/>
    </xf>
    <xf numFmtId="166" fontId="46" fillId="0" borderId="17" xfId="111" applyNumberFormat="1" applyBorder="1" applyAlignment="1">
      <alignment horizontal="center"/>
    </xf>
    <xf numFmtId="0" fontId="26" fillId="0" borderId="43" xfId="108" applyBorder="1" applyAlignment="1">
      <alignment horizontal="center"/>
    </xf>
    <xf numFmtId="0" fontId="26" fillId="0" borderId="27" xfId="108" applyBorder="1" applyAlignment="1">
      <alignment horizontal="center"/>
    </xf>
    <xf numFmtId="0" fontId="26" fillId="0" borderId="44" xfId="108" applyBorder="1" applyAlignment="1">
      <alignment horizontal="center"/>
    </xf>
    <xf numFmtId="0" fontId="59" fillId="0" borderId="0" xfId="108" applyFont="1"/>
    <xf numFmtId="0" fontId="26" fillId="0" borderId="0" xfId="108" applyFont="1"/>
    <xf numFmtId="0" fontId="0" fillId="0" borderId="33" xfId="0" applyBorder="1"/>
    <xf numFmtId="0" fontId="0" fillId="0" borderId="41" xfId="0" applyBorder="1"/>
    <xf numFmtId="0" fontId="0" fillId="0" borderId="0" xfId="0" applyBorder="1"/>
    <xf numFmtId="167" fontId="0" fillId="0" borderId="17" xfId="0" applyNumberFormat="1" applyBorder="1" applyAlignment="1">
      <alignment horizontal="center"/>
    </xf>
    <xf numFmtId="0" fontId="46" fillId="0" borderId="41" xfId="111" applyBorder="1" applyAlignment="1">
      <alignment horizontal="center"/>
    </xf>
    <xf numFmtId="0" fontId="46" fillId="0" borderId="33" xfId="111" applyBorder="1" applyAlignment="1">
      <alignment horizontal="center"/>
    </xf>
    <xf numFmtId="168" fontId="25" fillId="0" borderId="17" xfId="0" applyNumberFormat="1" applyFont="1" applyBorder="1" applyAlignment="1">
      <alignment horizontal="center"/>
    </xf>
    <xf numFmtId="0" fontId="0" fillId="0" borderId="17" xfId="0" applyNumberFormat="1" applyBorder="1"/>
    <xf numFmtId="169" fontId="61" fillId="0" borderId="45" xfId="0" applyNumberFormat="1" applyFont="1" applyFill="1" applyBorder="1"/>
    <xf numFmtId="169" fontId="61" fillId="0" borderId="50" xfId="0" applyNumberFormat="1" applyFont="1" applyFill="1" applyBorder="1"/>
    <xf numFmtId="169" fontId="61" fillId="0" borderId="62" xfId="0" applyNumberFormat="1" applyFont="1" applyFill="1" applyBorder="1"/>
    <xf numFmtId="170" fontId="61" fillId="0" borderId="63" xfId="0" applyNumberFormat="1" applyFont="1" applyFill="1" applyBorder="1"/>
    <xf numFmtId="170" fontId="61" fillId="0" borderId="64" xfId="0" applyNumberFormat="1" applyFont="1" applyFill="1" applyBorder="1"/>
    <xf numFmtId="0" fontId="62" fillId="34" borderId="46" xfId="0" applyFont="1" applyFill="1" applyBorder="1"/>
    <xf numFmtId="0" fontId="62" fillId="34" borderId="47" xfId="0" applyFont="1" applyFill="1" applyBorder="1"/>
    <xf numFmtId="0" fontId="62" fillId="34" borderId="0" xfId="0" applyFont="1" applyFill="1" applyBorder="1"/>
    <xf numFmtId="0" fontId="62" fillId="34" borderId="51" xfId="0" applyFont="1" applyFill="1" applyBorder="1"/>
    <xf numFmtId="0" fontId="62" fillId="34" borderId="54" xfId="0" applyFont="1" applyFill="1" applyBorder="1"/>
    <xf numFmtId="0" fontId="62" fillId="34" borderId="55" xfId="0" applyFont="1" applyFill="1" applyBorder="1"/>
    <xf numFmtId="0" fontId="62" fillId="35" borderId="58" xfId="0" applyFont="1" applyFill="1" applyBorder="1"/>
    <xf numFmtId="0" fontId="62" fillId="35" borderId="59" xfId="0" applyFont="1" applyFill="1" applyBorder="1"/>
    <xf numFmtId="0" fontId="62" fillId="35" borderId="0" xfId="0" applyFont="1" applyFill="1" applyBorder="1"/>
    <xf numFmtId="0" fontId="62" fillId="35" borderId="51" xfId="0" applyFont="1" applyFill="1" applyBorder="1"/>
    <xf numFmtId="0" fontId="62" fillId="35" borderId="48" xfId="0" applyFont="1" applyFill="1" applyBorder="1"/>
    <xf numFmtId="0" fontId="62" fillId="35" borderId="46" xfId="0" applyFont="1" applyFill="1" applyBorder="1"/>
    <xf numFmtId="0" fontId="62" fillId="35" borderId="49" xfId="0" applyFont="1" applyFill="1" applyBorder="1"/>
    <xf numFmtId="0" fontId="62" fillId="35" borderId="52" xfId="0" applyFont="1" applyFill="1" applyBorder="1"/>
    <xf numFmtId="0" fontId="62" fillId="35" borderId="53" xfId="0" applyFont="1" applyFill="1" applyBorder="1"/>
    <xf numFmtId="0" fontId="62" fillId="35" borderId="56" xfId="0" applyFont="1" applyFill="1" applyBorder="1"/>
    <xf numFmtId="0" fontId="62" fillId="35" borderId="54" xfId="0" applyFont="1" applyFill="1" applyBorder="1"/>
    <xf numFmtId="0" fontId="62" fillId="35" borderId="57" xfId="0" applyFont="1" applyFill="1" applyBorder="1"/>
    <xf numFmtId="0" fontId="62" fillId="34" borderId="60" xfId="0" applyFont="1" applyFill="1" applyBorder="1"/>
    <xf numFmtId="0" fontId="62" fillId="34" borderId="58" xfId="0" applyFont="1" applyFill="1" applyBorder="1"/>
    <xf numFmtId="0" fontId="62" fillId="34" borderId="61" xfId="0" applyFont="1" applyFill="1" applyBorder="1"/>
    <xf numFmtId="0" fontId="62" fillId="34" borderId="52" xfId="0" applyFont="1" applyFill="1" applyBorder="1"/>
    <xf numFmtId="0" fontId="62" fillId="34" borderId="53" xfId="0" applyFont="1" applyFill="1" applyBorder="1"/>
    <xf numFmtId="0" fontId="61" fillId="0" borderId="0" xfId="0" applyFont="1"/>
    <xf numFmtId="0" fontId="62" fillId="0" borderId="0" xfId="0" applyFont="1"/>
    <xf numFmtId="0" fontId="0" fillId="0" borderId="65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67" xfId="0" applyNumberFormat="1" applyBorder="1"/>
    <xf numFmtId="0" fontId="0" fillId="0" borderId="68" xfId="0" applyNumberFormat="1" applyBorder="1"/>
    <xf numFmtId="0" fontId="59" fillId="32" borderId="69" xfId="108" applyFont="1" applyFill="1" applyBorder="1" applyAlignment="1">
      <alignment horizontal="center"/>
    </xf>
    <xf numFmtId="0" fontId="59" fillId="32" borderId="45" xfId="108" applyFont="1" applyFill="1" applyBorder="1" applyAlignment="1">
      <alignment horizontal="center"/>
    </xf>
    <xf numFmtId="0" fontId="59" fillId="33" borderId="45" xfId="108" applyFont="1" applyFill="1" applyBorder="1" applyAlignment="1">
      <alignment horizontal="center"/>
    </xf>
    <xf numFmtId="0" fontId="26" fillId="0" borderId="44" xfId="108" applyFont="1" applyBorder="1" applyAlignment="1">
      <alignment horizontal="center"/>
    </xf>
    <xf numFmtId="14" fontId="26" fillId="0" borderId="44" xfId="108" applyNumberFormat="1" applyFont="1" applyBorder="1" applyAlignment="1">
      <alignment horizontal="center"/>
    </xf>
    <xf numFmtId="0" fontId="26" fillId="0" borderId="44" xfId="108" applyNumberFormat="1" applyBorder="1" applyAlignment="1">
      <alignment horizontal="center"/>
    </xf>
    <xf numFmtId="0" fontId="0" fillId="0" borderId="70" xfId="0" applyBorder="1" applyAlignment="1">
      <alignment horizontal="center" vertical="center" wrapText="1"/>
    </xf>
    <xf numFmtId="0" fontId="26" fillId="0" borderId="71" xfId="108" applyBorder="1" applyAlignment="1">
      <alignment horizontal="center"/>
    </xf>
    <xf numFmtId="0" fontId="26" fillId="0" borderId="72" xfId="108" applyBorder="1" applyAlignment="1">
      <alignment horizontal="center"/>
    </xf>
    <xf numFmtId="0" fontId="26" fillId="0" borderId="73" xfId="108" applyBorder="1" applyAlignment="1">
      <alignment horizontal="center"/>
    </xf>
    <xf numFmtId="2" fontId="26" fillId="0" borderId="74" xfId="108" applyNumberFormat="1" applyBorder="1" applyAlignment="1">
      <alignment horizontal="center"/>
    </xf>
    <xf numFmtId="2" fontId="26" fillId="0" borderId="44" xfId="108" applyNumberFormat="1" applyBorder="1" applyAlignment="1">
      <alignment horizontal="center"/>
    </xf>
    <xf numFmtId="166" fontId="46" fillId="0" borderId="73" xfId="111" applyNumberFormat="1" applyBorder="1" applyAlignment="1">
      <alignment horizontal="center"/>
    </xf>
    <xf numFmtId="0" fontId="26" fillId="0" borderId="75" xfId="108" applyFont="1" applyBorder="1" applyAlignment="1">
      <alignment horizontal="center"/>
    </xf>
    <xf numFmtId="14" fontId="26" fillId="0" borderId="75" xfId="108" applyNumberFormat="1" applyFont="1" applyBorder="1" applyAlignment="1">
      <alignment horizontal="center"/>
    </xf>
    <xf numFmtId="0" fontId="26" fillId="0" borderId="75" xfId="108" applyNumberFormat="1" applyBorder="1" applyAlignment="1">
      <alignment horizontal="center"/>
    </xf>
    <xf numFmtId="0" fontId="26" fillId="0" borderId="75" xfId="108" applyBorder="1" applyAlignment="1">
      <alignment horizontal="center"/>
    </xf>
    <xf numFmtId="0" fontId="26" fillId="0" borderId="76" xfId="108" applyBorder="1" applyAlignment="1">
      <alignment horizontal="center"/>
    </xf>
    <xf numFmtId="0" fontId="26" fillId="0" borderId="62" xfId="108" applyBorder="1" applyAlignment="1">
      <alignment horizontal="center"/>
    </xf>
    <xf numFmtId="2" fontId="26" fillId="0" borderId="77" xfId="108" applyNumberFormat="1" applyBorder="1" applyAlignment="1">
      <alignment horizontal="center"/>
    </xf>
    <xf numFmtId="2" fontId="26" fillId="0" borderId="75" xfId="108" applyNumberFormat="1" applyBorder="1" applyAlignment="1">
      <alignment horizontal="center"/>
    </xf>
    <xf numFmtId="0" fontId="0" fillId="0" borderId="62" xfId="0" applyNumberFormat="1" applyBorder="1"/>
    <xf numFmtId="166" fontId="46" fillId="0" borderId="62" xfId="111" applyNumberFormat="1" applyBorder="1" applyAlignment="1">
      <alignment horizontal="center"/>
    </xf>
    <xf numFmtId="0" fontId="26" fillId="0" borderId="78" xfId="108" applyFont="1" applyBorder="1" applyAlignment="1">
      <alignment horizontal="center"/>
    </xf>
    <xf numFmtId="14" fontId="26" fillId="0" borderId="78" xfId="108" applyNumberFormat="1" applyFont="1" applyBorder="1" applyAlignment="1">
      <alignment horizontal="center"/>
    </xf>
    <xf numFmtId="0" fontId="26" fillId="0" borderId="78" xfId="108" applyNumberFormat="1" applyBorder="1" applyAlignment="1">
      <alignment horizontal="center"/>
    </xf>
    <xf numFmtId="0" fontId="26" fillId="0" borderId="78" xfId="108" applyBorder="1" applyAlignment="1">
      <alignment horizontal="center"/>
    </xf>
    <xf numFmtId="0" fontId="0" fillId="0" borderId="79" xfId="0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26" fillId="0" borderId="81" xfId="108" applyBorder="1" applyAlignment="1">
      <alignment horizontal="center"/>
    </xf>
    <xf numFmtId="0" fontId="26" fillId="0" borderId="82" xfId="108" applyBorder="1" applyAlignment="1">
      <alignment horizontal="center"/>
    </xf>
    <xf numFmtId="0" fontId="26" fillId="0" borderId="83" xfId="108" applyBorder="1" applyAlignment="1">
      <alignment horizontal="center"/>
    </xf>
    <xf numFmtId="0" fontId="26" fillId="0" borderId="84" xfId="108" applyBorder="1" applyAlignment="1">
      <alignment horizontal="center"/>
    </xf>
    <xf numFmtId="2" fontId="26" fillId="0" borderId="85" xfId="108" applyNumberFormat="1" applyBorder="1" applyAlignment="1">
      <alignment horizontal="center"/>
    </xf>
    <xf numFmtId="2" fontId="26" fillId="0" borderId="78" xfId="108" applyNumberFormat="1" applyBorder="1" applyAlignment="1">
      <alignment horizontal="center"/>
    </xf>
    <xf numFmtId="0" fontId="0" fillId="0" borderId="86" xfId="0" applyNumberFormat="1" applyBorder="1"/>
    <xf numFmtId="166" fontId="46" fillId="0" borderId="83" xfId="111" applyNumberFormat="1" applyBorder="1" applyAlignment="1">
      <alignment horizontal="center"/>
    </xf>
    <xf numFmtId="0" fontId="0" fillId="0" borderId="87" xfId="0" applyNumberFormat="1" applyBorder="1"/>
    <xf numFmtId="0" fontId="0" fillId="0" borderId="64" xfId="0" applyNumberFormat="1" applyBorder="1"/>
    <xf numFmtId="0" fontId="0" fillId="0" borderId="88" xfId="0" applyNumberFormat="1" applyBorder="1"/>
    <xf numFmtId="0" fontId="26" fillId="0" borderId="0" xfId="0" applyFont="1" applyBorder="1"/>
    <xf numFmtId="166" fontId="53" fillId="0" borderId="73" xfId="111" applyNumberFormat="1" applyFont="1" applyBorder="1" applyAlignment="1">
      <alignment horizontal="center"/>
    </xf>
    <xf numFmtId="166" fontId="53" fillId="0" borderId="17" xfId="111" applyNumberFormat="1" applyFont="1" applyBorder="1" applyAlignment="1">
      <alignment horizontal="center"/>
    </xf>
    <xf numFmtId="14" fontId="26" fillId="0" borderId="62" xfId="108" applyNumberFormat="1" applyFont="1" applyFill="1" applyBorder="1" applyAlignment="1">
      <alignment horizontal="center"/>
    </xf>
    <xf numFmtId="0" fontId="64" fillId="0" borderId="62" xfId="108" applyFont="1" applyFill="1" applyBorder="1" applyAlignment="1">
      <alignment horizontal="center"/>
    </xf>
    <xf numFmtId="0" fontId="26" fillId="0" borderId="62" xfId="108" applyFont="1" applyFill="1" applyBorder="1" applyAlignment="1">
      <alignment horizontal="center"/>
    </xf>
    <xf numFmtId="0" fontId="59" fillId="0" borderId="89" xfId="108" applyFont="1" applyFill="1" applyBorder="1" applyAlignment="1">
      <alignment horizontal="right"/>
    </xf>
    <xf numFmtId="0" fontId="68" fillId="0" borderId="0" xfId="108" applyFont="1" applyFill="1" applyBorder="1" applyAlignment="1">
      <alignment horizontal="center"/>
    </xf>
    <xf numFmtId="0" fontId="59" fillId="0" borderId="0" xfId="108" applyFont="1" applyFill="1" applyBorder="1" applyAlignment="1">
      <alignment horizontal="left"/>
    </xf>
    <xf numFmtId="0" fontId="26" fillId="0" borderId="0" xfId="108" applyFont="1" applyFill="1" applyBorder="1" applyAlignment="1">
      <alignment horizontal="center"/>
    </xf>
    <xf numFmtId="0" fontId="26" fillId="0" borderId="0" xfId="108" applyFont="1" applyFill="1" applyBorder="1" applyAlignment="1"/>
    <xf numFmtId="0" fontId="26" fillId="0" borderId="0" xfId="108" applyFont="1" applyFill="1" applyAlignment="1"/>
    <xf numFmtId="0" fontId="26" fillId="0" borderId="0" xfId="108" applyFont="1" applyFill="1" applyBorder="1" applyAlignment="1">
      <alignment horizontal="left"/>
    </xf>
    <xf numFmtId="0" fontId="26" fillId="0" borderId="89" xfId="108" applyFont="1" applyFill="1" applyBorder="1" applyAlignment="1"/>
    <xf numFmtId="0" fontId="69" fillId="0" borderId="0" xfId="108" applyFont="1" applyFill="1" applyBorder="1" applyAlignment="1"/>
    <xf numFmtId="0" fontId="59" fillId="0" borderId="89" xfId="108" applyFont="1" applyFill="1" applyBorder="1" applyAlignment="1">
      <alignment horizontal="left"/>
    </xf>
    <xf numFmtId="0" fontId="26" fillId="0" borderId="0" xfId="108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6" fillId="0" borderId="62" xfId="111" applyBorder="1" applyAlignment="1">
      <alignment horizontal="center"/>
    </xf>
    <xf numFmtId="0" fontId="46" fillId="0" borderId="62" xfId="111" applyBorder="1" applyAlignment="1">
      <alignment horizontal="center" vertical="center"/>
    </xf>
    <xf numFmtId="0" fontId="60" fillId="32" borderId="62" xfId="111" applyFont="1" applyFill="1" applyBorder="1" applyAlignment="1">
      <alignment horizontal="center"/>
    </xf>
    <xf numFmtId="14" fontId="63" fillId="31" borderId="62" xfId="111" applyNumberFormat="1" applyFont="1" applyFill="1" applyBorder="1" applyAlignment="1">
      <alignment horizontal="center"/>
    </xf>
    <xf numFmtId="0" fontId="0" fillId="0" borderId="62" xfId="0" applyBorder="1"/>
    <xf numFmtId="0" fontId="59" fillId="0" borderId="62" xfId="108" applyFont="1" applyFill="1" applyBorder="1" applyAlignment="1"/>
    <xf numFmtId="0" fontId="26" fillId="0" borderId="62" xfId="108" applyFont="1" applyFill="1" applyBorder="1" applyAlignment="1"/>
    <xf numFmtId="0" fontId="65" fillId="0" borderId="62" xfId="108" applyFont="1" applyFill="1" applyBorder="1" applyAlignment="1">
      <alignment horizontal="center"/>
    </xf>
    <xf numFmtId="16" fontId="26" fillId="0" borderId="62" xfId="108" applyNumberFormat="1" applyFont="1" applyFill="1" applyBorder="1" applyAlignment="1">
      <alignment horizontal="center"/>
    </xf>
    <xf numFmtId="14" fontId="26" fillId="0" borderId="62" xfId="0" applyNumberFormat="1" applyFont="1" applyFill="1" applyBorder="1"/>
    <xf numFmtId="0" fontId="4" fillId="0" borderId="1" xfId="0" applyFont="1" applyFill="1" applyBorder="1" applyAlignment="1" applyProtection="1">
      <alignment horizontal="left" vertical="center" wrapText="1"/>
      <protection locked="0"/>
    </xf>
    <xf numFmtId="0" fontId="8" fillId="0" borderId="0" xfId="9" applyFont="1" applyBorder="1" applyAlignment="1">
      <alignment horizontal="left"/>
    </xf>
    <xf numFmtId="0" fontId="8" fillId="0" borderId="1" xfId="9" applyFont="1" applyBorder="1" applyAlignment="1">
      <alignment horizontal="left" vertical="center"/>
    </xf>
    <xf numFmtId="0" fontId="9" fillId="0" borderId="2" xfId="9" applyFont="1" applyBorder="1" applyAlignment="1">
      <alignment horizontal="left"/>
    </xf>
    <xf numFmtId="0" fontId="8" fillId="0" borderId="3" xfId="9" applyFont="1" applyBorder="1" applyAlignment="1">
      <alignment horizontal="left"/>
    </xf>
    <xf numFmtId="0" fontId="10" fillId="0" borderId="4" xfId="9" applyFont="1" applyBorder="1" applyAlignment="1">
      <alignment horizontal="left"/>
    </xf>
    <xf numFmtId="0" fontId="13" fillId="0" borderId="1" xfId="9" applyFont="1" applyBorder="1" applyAlignment="1">
      <alignment horizontal="left" vertical="center" wrapText="1"/>
    </xf>
    <xf numFmtId="0" fontId="8" fillId="0" borderId="1" xfId="9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0" fontId="32" fillId="0" borderId="17" xfId="111" applyFont="1" applyBorder="1" applyAlignment="1">
      <alignment horizontal="center"/>
    </xf>
    <xf numFmtId="0" fontId="46" fillId="0" borderId="17" xfId="111" applyBorder="1" applyAlignment="1">
      <alignment horizontal="center" vertical="center"/>
    </xf>
    <xf numFmtId="0" fontId="46" fillId="0" borderId="17" xfId="111" applyBorder="1" applyAlignment="1">
      <alignment horizontal="center"/>
    </xf>
    <xf numFmtId="0" fontId="26" fillId="0" borderId="0" xfId="108" applyFont="1" applyFill="1" applyBorder="1" applyAlignment="1">
      <alignment horizontal="center"/>
    </xf>
    <xf numFmtId="0" fontId="26" fillId="0" borderId="0" xfId="108" applyFont="1" applyFill="1" applyBorder="1" applyAlignment="1">
      <alignment horizontal="center" vertical="center"/>
    </xf>
    <xf numFmtId="0" fontId="68" fillId="0" borderId="0" xfId="108" applyFont="1" applyFill="1" applyBorder="1" applyAlignment="1">
      <alignment horizontal="center" vertical="center"/>
    </xf>
    <xf numFmtId="49" fontId="57" fillId="31" borderId="27" xfId="108" applyNumberFormat="1" applyFont="1" applyFill="1" applyBorder="1" applyAlignment="1">
      <alignment horizontal="center"/>
    </xf>
    <xf numFmtId="49" fontId="57" fillId="31" borderId="28" xfId="108" applyNumberFormat="1" applyFont="1" applyFill="1" applyBorder="1" applyAlignment="1">
      <alignment horizontal="center"/>
    </xf>
    <xf numFmtId="49" fontId="57" fillId="31" borderId="29" xfId="108" applyNumberFormat="1" applyFont="1" applyFill="1" applyBorder="1" applyAlignment="1">
      <alignment horizontal="center"/>
    </xf>
    <xf numFmtId="49" fontId="57" fillId="31" borderId="30" xfId="108" applyNumberFormat="1" applyFont="1" applyFill="1" applyBorder="1" applyAlignment="1">
      <alignment horizontal="center"/>
    </xf>
    <xf numFmtId="0" fontId="58" fillId="31" borderId="31" xfId="111" applyFont="1" applyFill="1" applyBorder="1" applyAlignment="1">
      <alignment horizontal="center"/>
    </xf>
    <xf numFmtId="0" fontId="58" fillId="31" borderId="32" xfId="111" applyFont="1" applyFill="1" applyBorder="1" applyAlignment="1">
      <alignment horizontal="center"/>
    </xf>
    <xf numFmtId="0" fontId="52" fillId="31" borderId="17" xfId="111" applyFont="1" applyFill="1" applyBorder="1" applyAlignment="1">
      <alignment horizontal="center"/>
    </xf>
    <xf numFmtId="0" fontId="52" fillId="31" borderId="33" xfId="111" applyFont="1" applyFill="1" applyBorder="1" applyAlignment="1">
      <alignment horizontal="center"/>
    </xf>
    <xf numFmtId="0" fontId="53" fillId="0" borderId="0" xfId="0" applyFont="1" applyBorder="1"/>
    <xf numFmtId="0" fontId="26" fillId="0" borderId="0" xfId="0" applyNumberFormat="1" applyFont="1" applyAlignment="1">
      <alignment horizontal="right"/>
    </xf>
  </cellXfs>
  <cellStyles count="145">
    <cellStyle name="20 % - Accent1 2" xfId="12"/>
    <cellStyle name="20 % - Accent1 3" xfId="13"/>
    <cellStyle name="20 % - Accent2 2" xfId="14"/>
    <cellStyle name="20 % - Accent2 3" xfId="15"/>
    <cellStyle name="20 % - Accent3 2" xfId="16"/>
    <cellStyle name="20 % - Accent3 3" xfId="17"/>
    <cellStyle name="20 % - Accent4 2" xfId="18"/>
    <cellStyle name="20 % - Accent4 3" xfId="19"/>
    <cellStyle name="20 % - Accent5 2" xfId="20"/>
    <cellStyle name="20 % - Accent5 3" xfId="21"/>
    <cellStyle name="20 % - Accent6 2" xfId="22"/>
    <cellStyle name="20 % - Accent6 3" xfId="23"/>
    <cellStyle name="20% - Akzent1" xfId="24"/>
    <cellStyle name="20% - Akzent2" xfId="25"/>
    <cellStyle name="20% - Akzent3" xfId="26"/>
    <cellStyle name="20% - Akzent4" xfId="27"/>
    <cellStyle name="20% - Akzent5" xfId="28"/>
    <cellStyle name="20% - Akzent6" xfId="29"/>
    <cellStyle name="40 % - Accent1 2" xfId="30"/>
    <cellStyle name="40 % - Accent1 3" xfId="31"/>
    <cellStyle name="40 % - Accent2 2" xfId="32"/>
    <cellStyle name="40 % - Accent2 3" xfId="33"/>
    <cellStyle name="40 % - Accent3 2" xfId="34"/>
    <cellStyle name="40 % - Accent3 3" xfId="35"/>
    <cellStyle name="40 % - Accent4 2" xfId="36"/>
    <cellStyle name="40 % - Accent4 3" xfId="37"/>
    <cellStyle name="40 % - Accent5 2" xfId="38"/>
    <cellStyle name="40 % - Accent5 3" xfId="39"/>
    <cellStyle name="40 % - Accent6 2" xfId="40"/>
    <cellStyle name="40 % - Accent6 3" xfId="41"/>
    <cellStyle name="40% - Akzent1" xfId="42"/>
    <cellStyle name="40% - Akzent2" xfId="43"/>
    <cellStyle name="40% - Akzent3" xfId="44"/>
    <cellStyle name="40% - Akzent4" xfId="45"/>
    <cellStyle name="40% - Akzent5" xfId="46"/>
    <cellStyle name="40% - Akzent6" xfId="47"/>
    <cellStyle name="60 % - Accent1 2" xfId="48"/>
    <cellStyle name="60 % - Accent1 3" xfId="49"/>
    <cellStyle name="60 % - Accent2 2" xfId="50"/>
    <cellStyle name="60 % - Accent2 3" xfId="51"/>
    <cellStyle name="60 % - Accent3 2" xfId="52"/>
    <cellStyle name="60 % - Accent3 3" xfId="53"/>
    <cellStyle name="60 % - Accent4 2" xfId="54"/>
    <cellStyle name="60 % - Accent4 3" xfId="55"/>
    <cellStyle name="60 % - Accent5 2" xfId="56"/>
    <cellStyle name="60 % - Accent5 3" xfId="57"/>
    <cellStyle name="60 % - Accent6 2" xfId="58"/>
    <cellStyle name="60 % - Accent6 3" xfId="59"/>
    <cellStyle name="60% - Akzent1" xfId="60"/>
    <cellStyle name="60% - Akzent2" xfId="61"/>
    <cellStyle name="60% - Akzent3" xfId="62"/>
    <cellStyle name="60% - Akzent4" xfId="63"/>
    <cellStyle name="60% - Akzent5" xfId="64"/>
    <cellStyle name="60% - Akzent6" xfId="65"/>
    <cellStyle name="Accent1 2" xfId="66"/>
    <cellStyle name="Accent1 3" xfId="67"/>
    <cellStyle name="Accent2 2" xfId="68"/>
    <cellStyle name="Accent2 3" xfId="69"/>
    <cellStyle name="Accent3 2" xfId="70"/>
    <cellStyle name="Accent3 3" xfId="71"/>
    <cellStyle name="Accent4 2" xfId="72"/>
    <cellStyle name="Accent4 3" xfId="73"/>
    <cellStyle name="Accent5 2" xfId="74"/>
    <cellStyle name="Accent5 3" xfId="75"/>
    <cellStyle name="Accent6 2" xfId="76"/>
    <cellStyle name="Accent6 3" xfId="77"/>
    <cellStyle name="Akzent1" xfId="78"/>
    <cellStyle name="Akzent2" xfId="79"/>
    <cellStyle name="Akzent3" xfId="80"/>
    <cellStyle name="Akzent4" xfId="81"/>
    <cellStyle name="Akzent5" xfId="82"/>
    <cellStyle name="Akzent6" xfId="83"/>
    <cellStyle name="Ausgabe" xfId="84"/>
    <cellStyle name="Avertissement 2" xfId="85"/>
    <cellStyle name="Avertissement 3" xfId="86"/>
    <cellStyle name="Berechnung" xfId="87"/>
    <cellStyle name="Calcul 2" xfId="88"/>
    <cellStyle name="Calcul 3" xfId="89"/>
    <cellStyle name="Cellule liée 2" xfId="90"/>
    <cellStyle name="Cellule liée 3" xfId="91"/>
    <cellStyle name="Commentaire 2" xfId="92"/>
    <cellStyle name="Commentaire 3" xfId="93"/>
    <cellStyle name="Eingabe" xfId="94"/>
    <cellStyle name="Entrée 2" xfId="95"/>
    <cellStyle name="Entrée 3" xfId="96"/>
    <cellStyle name="Ergebnis" xfId="97"/>
    <cellStyle name="Erklärender Text" xfId="98"/>
    <cellStyle name="Gut" xfId="99"/>
    <cellStyle name="Insatisfaisant 2" xfId="100"/>
    <cellStyle name="Insatisfaisant 3" xfId="101"/>
    <cellStyle name="Lien hypertexte" xfId="1" builtinId="8"/>
    <cellStyle name="Lien hypertexte 2" xfId="2"/>
    <cellStyle name="Lien hypertexte 3" xfId="3"/>
    <cellStyle name="Lien hypertexte 4" xfId="4"/>
    <cellStyle name="Milliers" xfId="143" builtinId="3"/>
    <cellStyle name="N1" xfId="102"/>
    <cellStyle name="Neutral" xfId="103"/>
    <cellStyle name="Neutre 2" xfId="104"/>
    <cellStyle name="Neutre 3" xfId="105"/>
    <cellStyle name="Normal" xfId="0" builtinId="0"/>
    <cellStyle name="Normal 10" xfId="5"/>
    <cellStyle name="Normal 2" xfId="6"/>
    <cellStyle name="Normal 2 2" xfId="108"/>
    <cellStyle name="Normal 2_Data" xfId="107"/>
    <cellStyle name="Normal 3" xfId="7"/>
    <cellStyle name="Normal 3 2" xfId="8"/>
    <cellStyle name="Normal 3_Data" xfId="109"/>
    <cellStyle name="Normal 4" xfId="9"/>
    <cellStyle name="Normal 5" xfId="10"/>
    <cellStyle name="Normal 5 2" xfId="110"/>
    <cellStyle name="Normal 6" xfId="111"/>
    <cellStyle name="Normal 7" xfId="144"/>
    <cellStyle name="Normal_Data" xfId="106"/>
    <cellStyle name="Normalny 2" xfId="11"/>
    <cellStyle name="Notiz" xfId="112"/>
    <cellStyle name="Pourcentage 2" xfId="113"/>
    <cellStyle name="Satisfaisant 2" xfId="114"/>
    <cellStyle name="Satisfaisant 3" xfId="115"/>
    <cellStyle name="Schlecht" xfId="116"/>
    <cellStyle name="Sortie 2" xfId="117"/>
    <cellStyle name="Sortie 3" xfId="118"/>
    <cellStyle name="Texte explicatif 2" xfId="119"/>
    <cellStyle name="Texte explicatif 3" xfId="120"/>
    <cellStyle name="Titre 2" xfId="121"/>
    <cellStyle name="Titre 3" xfId="122"/>
    <cellStyle name="Titre 1 2" xfId="123"/>
    <cellStyle name="Titre 1 3" xfId="124"/>
    <cellStyle name="Titre 2 2" xfId="125"/>
    <cellStyle name="Titre 2 3" xfId="126"/>
    <cellStyle name="Titre 3 2" xfId="127"/>
    <cellStyle name="Titre 3 3" xfId="128"/>
    <cellStyle name="Titre 4 2" xfId="129"/>
    <cellStyle name="Titre 4 3" xfId="130"/>
    <cellStyle name="Total 2" xfId="131"/>
    <cellStyle name="Total 3" xfId="132"/>
    <cellStyle name="Überschrift" xfId="133"/>
    <cellStyle name="Überschrift 1" xfId="134"/>
    <cellStyle name="Überschrift 2" xfId="135"/>
    <cellStyle name="Überschrift 3" xfId="136"/>
    <cellStyle name="Überschrift 4" xfId="137"/>
    <cellStyle name="Vérification 2" xfId="138"/>
    <cellStyle name="Vérification 3" xfId="139"/>
    <cellStyle name="Verknüpfte Zelle" xfId="140"/>
    <cellStyle name="Warnender Text" xfId="141"/>
    <cellStyle name="Zelle überprüfen" xfId="142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14</xdr:row>
      <xdr:rowOff>28575</xdr:rowOff>
    </xdr:from>
    <xdr:to>
      <xdr:col>3</xdr:col>
      <xdr:colOff>219075</xdr:colOff>
      <xdr:row>26</xdr:row>
      <xdr:rowOff>95250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228850"/>
          <a:ext cx="2847975" cy="189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johanna.younous@euralis.com" TargetMode="External"/><Relationship Id="rId1" Type="http://schemas.openxmlformats.org/officeDocument/2006/relationships/hyperlink" Target="mailto:nathalie.nesi@rennes.inra.f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95"/>
  <sheetViews>
    <sheetView topLeftCell="A43" zoomScale="95" zoomScaleNormal="95" workbookViewId="0">
      <selection activeCell="A23" sqref="A23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355" t="s">
        <v>5</v>
      </c>
      <c r="B5" s="355"/>
      <c r="C5" s="355"/>
      <c r="D5" s="355"/>
      <c r="E5" s="355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356" t="s">
        <v>6</v>
      </c>
      <c r="B7" s="357" t="s">
        <v>7</v>
      </c>
      <c r="C7" s="357"/>
      <c r="D7" s="357"/>
      <c r="E7" s="357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356"/>
      <c r="B8" s="358" t="s">
        <v>8</v>
      </c>
      <c r="C8" s="358"/>
      <c r="D8" s="358"/>
      <c r="E8" s="358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356"/>
      <c r="B9" s="359" t="s">
        <v>9</v>
      </c>
      <c r="C9" s="359"/>
      <c r="D9" s="359"/>
      <c r="E9" s="359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360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360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361" t="s">
        <v>29</v>
      </c>
      <c r="B69" s="362" t="s">
        <v>196</v>
      </c>
      <c r="C69" s="87" t="s">
        <v>197</v>
      </c>
      <c r="D69" s="87" t="s">
        <v>198</v>
      </c>
      <c r="E69" s="354" t="s">
        <v>199</v>
      </c>
      <c r="F69" s="354" t="s">
        <v>200</v>
      </c>
      <c r="G69" s="354" t="s">
        <v>201</v>
      </c>
      <c r="H69" s="354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361"/>
      <c r="B70" s="362"/>
      <c r="C70" s="90" t="s">
        <v>204</v>
      </c>
      <c r="D70" s="90" t="s">
        <v>205</v>
      </c>
      <c r="E70" s="354"/>
      <c r="F70" s="354"/>
      <c r="G70" s="354"/>
      <c r="H70" s="354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P2"/>
  <sheetViews>
    <sheetView zoomScale="95" zoomScaleNormal="95" workbookViewId="0">
      <selection activeCell="D2" sqref="D2"/>
    </sheetView>
  </sheetViews>
  <sheetFormatPr baseColWidth="10" defaultColWidth="12.85546875" defaultRowHeight="12.75"/>
  <cols>
    <col min="1" max="1" width="18" style="111" bestFit="1" customWidth="1"/>
    <col min="2" max="2" width="10.5703125" style="111" customWidth="1"/>
    <col min="3" max="3" width="15.85546875" style="112" customWidth="1"/>
    <col min="4" max="4" width="13.85546875" style="112" customWidth="1"/>
    <col min="5" max="5" width="12.42578125" style="112" customWidth="1"/>
    <col min="6" max="6" width="15.85546875" style="112" customWidth="1"/>
    <col min="7" max="7" width="22.28515625" style="112" customWidth="1"/>
    <col min="8" max="8" width="6.28515625" style="112" customWidth="1"/>
    <col min="9" max="10" width="2.42578125" style="113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16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115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16">
      <c r="A2" s="111" t="s">
        <v>7866</v>
      </c>
      <c r="B2" s="111" t="s">
        <v>7867</v>
      </c>
      <c r="C2" s="170">
        <v>41520</v>
      </c>
      <c r="D2" s="170">
        <v>41822</v>
      </c>
      <c r="G2" s="112" t="s">
        <v>7451</v>
      </c>
      <c r="N2" s="112" t="s">
        <v>243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L2"/>
  <sheetViews>
    <sheetView workbookViewId="0">
      <selection activeCell="C2" sqref="C2"/>
    </sheetView>
  </sheetViews>
  <sheetFormatPr baseColWidth="10" defaultColWidth="10.7109375" defaultRowHeight="12.75"/>
  <cols>
    <col min="1" max="1" width="11.85546875" style="117" customWidth="1"/>
    <col min="2" max="2" width="9.140625" style="118" customWidth="1"/>
    <col min="3" max="3" width="11" style="118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1" width="19.28515625" style="112" customWidth="1"/>
    <col min="12" max="12" width="22.42578125" style="112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>
      <c r="A2" s="117" t="s">
        <v>7858</v>
      </c>
      <c r="B2" s="118" t="s">
        <v>8124</v>
      </c>
      <c r="C2" s="118" t="s">
        <v>8125</v>
      </c>
      <c r="G2" s="117" t="s">
        <v>7859</v>
      </c>
      <c r="J2" s="118" t="s">
        <v>7868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H3"/>
  <sheetViews>
    <sheetView zoomScale="95" zoomScaleNormal="95" workbookViewId="0">
      <selection activeCell="G10" sqref="G10"/>
    </sheetView>
  </sheetViews>
  <sheetFormatPr baseColWidth="10" defaultColWidth="10.7109375" defaultRowHeight="12.75"/>
  <cols>
    <col min="1" max="1" width="8.7109375" style="123" customWidth="1"/>
    <col min="2" max="2" width="10.85546875" style="123" customWidth="1"/>
    <col min="3" max="3" width="11.140625" style="123" customWidth="1"/>
    <col min="4" max="4" width="7.42578125" style="112" customWidth="1"/>
    <col min="5" max="5" width="4.5703125" style="118" customWidth="1"/>
    <col min="6" max="6" width="26" style="123" customWidth="1"/>
    <col min="7" max="7" width="23.7109375" style="123" customWidth="1"/>
    <col min="8" max="8" width="12" style="112" customWidth="1"/>
  </cols>
  <sheetData>
    <row r="1" spans="1:8">
      <c r="A1" s="114" t="s">
        <v>97</v>
      </c>
      <c r="B1" s="114" t="s">
        <v>98</v>
      </c>
      <c r="C1" s="114" t="s">
        <v>99</v>
      </c>
      <c r="D1" s="115" t="s">
        <v>100</v>
      </c>
      <c r="E1" s="124" t="s">
        <v>101</v>
      </c>
      <c r="F1" s="114" t="s">
        <v>102</v>
      </c>
      <c r="G1" s="114" t="s">
        <v>103</v>
      </c>
      <c r="H1" s="115" t="s">
        <v>104</v>
      </c>
    </row>
    <row r="2" spans="1:8">
      <c r="A2" s="125" t="s">
        <v>113</v>
      </c>
      <c r="B2" s="125" t="s">
        <v>244</v>
      </c>
      <c r="C2" s="125" t="s">
        <v>245</v>
      </c>
      <c r="F2" s="126" t="s">
        <v>246</v>
      </c>
      <c r="G2" s="125" t="s">
        <v>119</v>
      </c>
      <c r="H2" s="127" t="s">
        <v>247</v>
      </c>
    </row>
    <row r="3" spans="1:8">
      <c r="B3" s="123" t="s">
        <v>8126</v>
      </c>
      <c r="C3" s="123" t="s">
        <v>8127</v>
      </c>
      <c r="D3" s="173" t="s">
        <v>8131</v>
      </c>
      <c r="F3" s="151" t="s">
        <v>8128</v>
      </c>
      <c r="G3" s="123" t="s">
        <v>8129</v>
      </c>
    </row>
  </sheetData>
  <sheetProtection selectLockedCells="1" selectUnlockedCells="1"/>
  <dataValidations count="1">
    <dataValidation type="list" allowBlank="1" showErrorMessage="1" sqref="G2">
      <formula1>InstitutionName</formula1>
      <formula2>0</formula2>
    </dataValidation>
  </dataValidations>
  <hyperlinks>
    <hyperlink ref="F2" r:id="rId1"/>
    <hyperlink ref="F3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H44"/>
  <sheetViews>
    <sheetView zoomScale="80" zoomScaleNormal="80" workbookViewId="0">
      <selection activeCell="B4" sqref="B4"/>
    </sheetView>
  </sheetViews>
  <sheetFormatPr baseColWidth="10" defaultColWidth="12.7109375" defaultRowHeight="21" customHeight="1"/>
  <cols>
    <col min="1" max="1" width="41.42578125" style="123" customWidth="1"/>
    <col min="2" max="2" width="17.7109375" style="123" bestFit="1" customWidth="1"/>
    <col min="3" max="3" width="30.5703125" style="112" bestFit="1" customWidth="1"/>
    <col min="4" max="4" width="120.85546875" style="112" customWidth="1"/>
    <col min="5" max="5" width="68" style="112" customWidth="1"/>
    <col min="6" max="6" width="15.42578125" style="112" customWidth="1"/>
    <col min="7" max="7" width="10.42578125" style="112" customWidth="1"/>
    <col min="8" max="16384" width="12.7109375" style="128"/>
  </cols>
  <sheetData>
    <row r="1" spans="1:8" s="129" customFormat="1" ht="21" customHeight="1" thickBot="1">
      <c r="A1" s="153" t="s">
        <v>126</v>
      </c>
      <c r="B1" s="153" t="s">
        <v>127</v>
      </c>
      <c r="C1" s="154" t="s">
        <v>128</v>
      </c>
      <c r="D1" s="155" t="s">
        <v>29</v>
      </c>
      <c r="E1" s="155" t="s">
        <v>129</v>
      </c>
      <c r="F1" s="155" t="s">
        <v>130</v>
      </c>
      <c r="G1" s="156" t="s">
        <v>131</v>
      </c>
      <c r="H1" s="156" t="s">
        <v>74</v>
      </c>
    </row>
    <row r="2" spans="1:8" ht="21" customHeight="1">
      <c r="A2" s="157" t="s">
        <v>248</v>
      </c>
      <c r="B2" s="157" t="s">
        <v>7901</v>
      </c>
      <c r="C2" s="158" t="s">
        <v>7902</v>
      </c>
      <c r="D2" s="159" t="s">
        <v>7903</v>
      </c>
      <c r="E2" s="159" t="s">
        <v>7904</v>
      </c>
      <c r="F2" s="160" t="s">
        <v>8053</v>
      </c>
      <c r="G2" s="161"/>
      <c r="H2" s="161"/>
    </row>
    <row r="3" spans="1:8" ht="21" customHeight="1">
      <c r="A3" s="157" t="s">
        <v>248</v>
      </c>
      <c r="B3" s="157" t="s">
        <v>7905</v>
      </c>
      <c r="C3" s="158" t="s">
        <v>7906</v>
      </c>
      <c r="D3" s="159" t="s">
        <v>7907</v>
      </c>
      <c r="E3" s="159" t="s">
        <v>7908</v>
      </c>
      <c r="F3" s="160" t="s">
        <v>7909</v>
      </c>
      <c r="G3" s="161"/>
      <c r="H3" s="161"/>
    </row>
    <row r="4" spans="1:8" ht="21" customHeight="1">
      <c r="A4" s="157" t="s">
        <v>248</v>
      </c>
      <c r="B4" s="157" t="s">
        <v>7910</v>
      </c>
      <c r="C4" s="158" t="s">
        <v>7911</v>
      </c>
      <c r="D4" s="159" t="s">
        <v>7912</v>
      </c>
      <c r="E4" s="159" t="s">
        <v>250</v>
      </c>
      <c r="F4" s="160" t="s">
        <v>7913</v>
      </c>
      <c r="G4" s="161"/>
      <c r="H4" s="161"/>
    </row>
    <row r="5" spans="1:8" ht="21" customHeight="1">
      <c r="A5" s="157" t="s">
        <v>248</v>
      </c>
      <c r="B5" s="157" t="s">
        <v>7914</v>
      </c>
      <c r="C5" s="158" t="s">
        <v>7915</v>
      </c>
      <c r="D5" s="159" t="s">
        <v>7916</v>
      </c>
      <c r="E5" s="159" t="s">
        <v>251</v>
      </c>
      <c r="F5" s="160" t="s">
        <v>7917</v>
      </c>
      <c r="G5" s="161"/>
      <c r="H5" s="161"/>
    </row>
    <row r="6" spans="1:8" ht="21" customHeight="1">
      <c r="A6" s="157" t="s">
        <v>248</v>
      </c>
      <c r="B6" s="157" t="s">
        <v>7918</v>
      </c>
      <c r="C6" s="158" t="s">
        <v>7919</v>
      </c>
      <c r="D6" s="159" t="s">
        <v>7920</v>
      </c>
      <c r="E6" s="159" t="s">
        <v>251</v>
      </c>
      <c r="F6" s="160" t="s">
        <v>7921</v>
      </c>
      <c r="G6" s="161"/>
      <c r="H6" s="161"/>
    </row>
    <row r="7" spans="1:8" ht="21" customHeight="1">
      <c r="A7" s="157" t="s">
        <v>248</v>
      </c>
      <c r="B7" s="157" t="s">
        <v>258</v>
      </c>
      <c r="C7" s="158" t="s">
        <v>7861</v>
      </c>
      <c r="D7" s="159" t="s">
        <v>7922</v>
      </c>
      <c r="E7" s="159" t="s">
        <v>7923</v>
      </c>
      <c r="F7" s="160" t="s">
        <v>7924</v>
      </c>
      <c r="G7" s="161"/>
      <c r="H7" s="161"/>
    </row>
    <row r="8" spans="1:8" ht="21" customHeight="1">
      <c r="A8" s="157" t="s">
        <v>248</v>
      </c>
      <c r="B8" s="157" t="s">
        <v>7925</v>
      </c>
      <c r="C8" s="158" t="s">
        <v>7926</v>
      </c>
      <c r="D8" s="159" t="s">
        <v>7927</v>
      </c>
      <c r="E8" s="159" t="s">
        <v>249</v>
      </c>
      <c r="F8" s="160" t="s">
        <v>7928</v>
      </c>
      <c r="G8" s="161"/>
      <c r="H8" s="161"/>
    </row>
    <row r="9" spans="1:8" ht="21" customHeight="1">
      <c r="A9" s="157" t="s">
        <v>248</v>
      </c>
      <c r="B9" s="157" t="s">
        <v>7929</v>
      </c>
      <c r="C9" s="158" t="s">
        <v>7930</v>
      </c>
      <c r="D9" s="159" t="s">
        <v>7931</v>
      </c>
      <c r="E9" s="159" t="s">
        <v>7908</v>
      </c>
      <c r="F9" s="160" t="s">
        <v>7932</v>
      </c>
      <c r="G9" s="161"/>
      <c r="H9" s="161"/>
    </row>
    <row r="10" spans="1:8" ht="21" customHeight="1">
      <c r="A10" s="157" t="s">
        <v>248</v>
      </c>
      <c r="B10" s="157" t="s">
        <v>257</v>
      </c>
      <c r="C10" s="158" t="s">
        <v>7860</v>
      </c>
      <c r="D10" s="159" t="s">
        <v>7933</v>
      </c>
      <c r="E10" s="159" t="s">
        <v>7923</v>
      </c>
      <c r="F10" s="160" t="s">
        <v>7934</v>
      </c>
      <c r="G10" s="161"/>
      <c r="H10" s="161"/>
    </row>
    <row r="11" spans="1:8" ht="21" customHeight="1">
      <c r="A11" s="157" t="s">
        <v>248</v>
      </c>
      <c r="B11" s="157" t="s">
        <v>255</v>
      </c>
      <c r="C11" s="158" t="s">
        <v>7935</v>
      </c>
      <c r="D11" s="159" t="s">
        <v>7936</v>
      </c>
      <c r="E11" s="159" t="s">
        <v>7937</v>
      </c>
      <c r="F11" s="160" t="s">
        <v>7938</v>
      </c>
      <c r="G11" s="161"/>
      <c r="H11" s="161"/>
    </row>
    <row r="12" spans="1:8" ht="21" customHeight="1">
      <c r="A12" s="157" t="s">
        <v>248</v>
      </c>
      <c r="B12" s="157" t="s">
        <v>252</v>
      </c>
      <c r="C12" s="158" t="s">
        <v>7939</v>
      </c>
      <c r="D12" s="159" t="s">
        <v>7940</v>
      </c>
      <c r="E12" s="159" t="s">
        <v>7923</v>
      </c>
      <c r="F12" s="160" t="s">
        <v>7941</v>
      </c>
      <c r="G12" s="161"/>
      <c r="H12" s="161"/>
    </row>
    <row r="13" spans="1:8" ht="21" customHeight="1">
      <c r="A13" s="157" t="s">
        <v>248</v>
      </c>
      <c r="B13" s="157" t="s">
        <v>7942</v>
      </c>
      <c r="C13" s="158" t="s">
        <v>7943</v>
      </c>
      <c r="D13" s="159" t="s">
        <v>7944</v>
      </c>
      <c r="E13" s="159" t="s">
        <v>7923</v>
      </c>
      <c r="F13" s="160" t="s">
        <v>7945</v>
      </c>
      <c r="G13" s="161"/>
      <c r="H13" s="161"/>
    </row>
    <row r="14" spans="1:8" ht="21" customHeight="1">
      <c r="A14" s="157" t="s">
        <v>248</v>
      </c>
      <c r="B14" s="157" t="s">
        <v>253</v>
      </c>
      <c r="C14" s="158" t="s">
        <v>7946</v>
      </c>
      <c r="D14" s="159" t="s">
        <v>7947</v>
      </c>
      <c r="E14" s="159" t="s">
        <v>254</v>
      </c>
      <c r="F14" s="160" t="s">
        <v>8050</v>
      </c>
      <c r="G14" s="161"/>
      <c r="H14" s="161"/>
    </row>
    <row r="15" spans="1:8" ht="21" customHeight="1">
      <c r="A15" s="157" t="s">
        <v>248</v>
      </c>
      <c r="B15" s="157" t="s">
        <v>8054</v>
      </c>
      <c r="C15" s="158" t="s">
        <v>7948</v>
      </c>
      <c r="D15" s="159" t="s">
        <v>7949</v>
      </c>
      <c r="E15" s="159" t="s">
        <v>143</v>
      </c>
      <c r="F15" s="160" t="s">
        <v>7950</v>
      </c>
      <c r="G15" s="161"/>
      <c r="H15" s="162"/>
    </row>
    <row r="16" spans="1:8" ht="21" customHeight="1">
      <c r="A16" s="157" t="s">
        <v>248</v>
      </c>
      <c r="B16" s="157" t="s">
        <v>7951</v>
      </c>
      <c r="C16" s="158" t="s">
        <v>7952</v>
      </c>
      <c r="D16" s="159" t="s">
        <v>7953</v>
      </c>
      <c r="E16" s="159" t="s">
        <v>7954</v>
      </c>
      <c r="F16" s="160" t="s">
        <v>7955</v>
      </c>
      <c r="G16" s="161"/>
      <c r="H16" s="161"/>
    </row>
    <row r="17" spans="1:8" ht="21" customHeight="1">
      <c r="A17" s="157" t="s">
        <v>248</v>
      </c>
      <c r="B17" s="157" t="s">
        <v>7956</v>
      </c>
      <c r="C17" s="158" t="s">
        <v>7957</v>
      </c>
      <c r="D17" s="159" t="s">
        <v>7958</v>
      </c>
      <c r="E17" s="159" t="s">
        <v>7959</v>
      </c>
      <c r="F17" s="160" t="s">
        <v>7955</v>
      </c>
      <c r="G17" s="161"/>
      <c r="H17" s="161"/>
    </row>
    <row r="18" spans="1:8" ht="21" customHeight="1">
      <c r="A18" s="165" t="s">
        <v>248</v>
      </c>
      <c r="B18" s="165" t="s">
        <v>7960</v>
      </c>
      <c r="C18" s="166" t="s">
        <v>7961</v>
      </c>
      <c r="D18" s="167" t="s">
        <v>7962</v>
      </c>
      <c r="E18" s="167" t="s">
        <v>7959</v>
      </c>
      <c r="F18" s="168" t="s">
        <v>7955</v>
      </c>
      <c r="G18" s="169"/>
      <c r="H18" s="169"/>
    </row>
    <row r="19" spans="1:8" ht="21" customHeight="1">
      <c r="A19" s="157" t="s">
        <v>248</v>
      </c>
      <c r="B19" s="157" t="s">
        <v>7963</v>
      </c>
      <c r="C19" s="158" t="s">
        <v>7964</v>
      </c>
      <c r="D19" s="164" t="s">
        <v>7965</v>
      </c>
      <c r="E19" s="159" t="s">
        <v>7959</v>
      </c>
      <c r="F19" s="160" t="s">
        <v>7966</v>
      </c>
      <c r="G19" s="161"/>
      <c r="H19" s="161"/>
    </row>
    <row r="20" spans="1:8" ht="21" customHeight="1">
      <c r="A20" s="157" t="s">
        <v>248</v>
      </c>
      <c r="B20" s="157" t="s">
        <v>7967</v>
      </c>
      <c r="C20" s="158" t="s">
        <v>7968</v>
      </c>
      <c r="D20" s="159" t="s">
        <v>7969</v>
      </c>
      <c r="E20" s="159" t="s">
        <v>7959</v>
      </c>
      <c r="F20" s="160" t="s">
        <v>7955</v>
      </c>
      <c r="G20" s="161"/>
      <c r="H20" s="161"/>
    </row>
    <row r="21" spans="1:8" ht="21" customHeight="1">
      <c r="A21" s="157" t="s">
        <v>248</v>
      </c>
      <c r="B21" s="157" t="s">
        <v>7970</v>
      </c>
      <c r="C21" s="158" t="s">
        <v>7971</v>
      </c>
      <c r="D21" s="159" t="s">
        <v>7972</v>
      </c>
      <c r="E21" s="159" t="s">
        <v>7959</v>
      </c>
      <c r="F21" s="160" t="s">
        <v>7955</v>
      </c>
      <c r="G21" s="161"/>
      <c r="H21" s="161"/>
    </row>
    <row r="22" spans="1:8" ht="21" customHeight="1">
      <c r="A22" s="157" t="s">
        <v>248</v>
      </c>
      <c r="B22" s="157" t="s">
        <v>7973</v>
      </c>
      <c r="C22" s="158" t="s">
        <v>7974</v>
      </c>
      <c r="D22" s="159" t="s">
        <v>7975</v>
      </c>
      <c r="E22" s="159" t="s">
        <v>7959</v>
      </c>
      <c r="F22" s="160" t="s">
        <v>7955</v>
      </c>
      <c r="G22" s="161"/>
      <c r="H22" s="161"/>
    </row>
    <row r="23" spans="1:8" ht="21" customHeight="1">
      <c r="A23" s="157" t="s">
        <v>248</v>
      </c>
      <c r="B23" s="157" t="s">
        <v>7976</v>
      </c>
      <c r="C23" s="158" t="s">
        <v>7977</v>
      </c>
      <c r="D23" s="159" t="s">
        <v>7978</v>
      </c>
      <c r="E23" s="159" t="s">
        <v>7959</v>
      </c>
      <c r="F23" s="160" t="s">
        <v>7979</v>
      </c>
      <c r="G23" s="161"/>
      <c r="H23" s="162"/>
    </row>
    <row r="24" spans="1:8" ht="21" customHeight="1">
      <c r="A24" s="157" t="s">
        <v>248</v>
      </c>
      <c r="B24" s="157" t="s">
        <v>7980</v>
      </c>
      <c r="C24" s="158" t="s">
        <v>7981</v>
      </c>
      <c r="D24" s="159" t="s">
        <v>7982</v>
      </c>
      <c r="E24" s="159" t="s">
        <v>7959</v>
      </c>
      <c r="F24" s="160" t="s">
        <v>7955</v>
      </c>
      <c r="G24" s="161"/>
      <c r="H24" s="162"/>
    </row>
    <row r="25" spans="1:8" ht="21" customHeight="1">
      <c r="A25" s="157" t="s">
        <v>248</v>
      </c>
      <c r="B25" s="157" t="s">
        <v>7983</v>
      </c>
      <c r="C25" s="158" t="s">
        <v>7984</v>
      </c>
      <c r="D25" s="159" t="s">
        <v>7985</v>
      </c>
      <c r="E25" s="159" t="s">
        <v>7959</v>
      </c>
      <c r="F25" s="160" t="s">
        <v>7986</v>
      </c>
      <c r="G25" s="161"/>
      <c r="H25" s="162"/>
    </row>
    <row r="26" spans="1:8" ht="21" customHeight="1">
      <c r="A26" s="157" t="s">
        <v>248</v>
      </c>
      <c r="B26" s="157" t="s">
        <v>7987</v>
      </c>
      <c r="C26" s="158" t="s">
        <v>7988</v>
      </c>
      <c r="D26" s="159" t="s">
        <v>7989</v>
      </c>
      <c r="E26" s="159" t="s">
        <v>251</v>
      </c>
      <c r="F26" s="160" t="s">
        <v>8052</v>
      </c>
      <c r="G26" s="161"/>
      <c r="H26" s="162"/>
    </row>
    <row r="27" spans="1:8" ht="21" customHeight="1">
      <c r="A27" s="157" t="s">
        <v>248</v>
      </c>
      <c r="B27" s="157" t="s">
        <v>7990</v>
      </c>
      <c r="C27" s="158" t="s">
        <v>7991</v>
      </c>
      <c r="D27" s="159" t="s">
        <v>7992</v>
      </c>
      <c r="E27" s="159" t="s">
        <v>7993</v>
      </c>
      <c r="F27" s="160" t="s">
        <v>7994</v>
      </c>
      <c r="G27" s="161"/>
      <c r="H27" s="162"/>
    </row>
    <row r="28" spans="1:8" ht="21" customHeight="1">
      <c r="A28" s="157" t="s">
        <v>248</v>
      </c>
      <c r="B28" s="157" t="s">
        <v>7995</v>
      </c>
      <c r="C28" s="158" t="s">
        <v>7996</v>
      </c>
      <c r="D28" s="159" t="s">
        <v>7997</v>
      </c>
      <c r="E28" s="159" t="s">
        <v>7993</v>
      </c>
      <c r="F28" s="160" t="s">
        <v>7994</v>
      </c>
      <c r="G28" s="161"/>
      <c r="H28" s="162"/>
    </row>
    <row r="29" spans="1:8" ht="21" customHeight="1">
      <c r="A29" s="157" t="s">
        <v>248</v>
      </c>
      <c r="B29" s="157" t="s">
        <v>7998</v>
      </c>
      <c r="C29" s="158" t="s">
        <v>7999</v>
      </c>
      <c r="D29" s="159" t="s">
        <v>8000</v>
      </c>
      <c r="E29" s="159" t="s">
        <v>7993</v>
      </c>
      <c r="F29" s="160" t="s">
        <v>7994</v>
      </c>
      <c r="G29" s="161"/>
      <c r="H29" s="162"/>
    </row>
    <row r="30" spans="1:8" ht="21" customHeight="1">
      <c r="A30" s="157" t="s">
        <v>248</v>
      </c>
      <c r="B30" s="157" t="s">
        <v>8001</v>
      </c>
      <c r="C30" s="158" t="s">
        <v>8002</v>
      </c>
      <c r="D30" s="159" t="s">
        <v>8003</v>
      </c>
      <c r="E30" s="159" t="s">
        <v>7993</v>
      </c>
      <c r="F30" s="160" t="s">
        <v>7994</v>
      </c>
      <c r="G30" s="161"/>
      <c r="H30" s="162"/>
    </row>
    <row r="31" spans="1:8" ht="21" customHeight="1">
      <c r="A31" s="157" t="s">
        <v>248</v>
      </c>
      <c r="B31" s="157" t="s">
        <v>8004</v>
      </c>
      <c r="C31" s="158" t="s">
        <v>8005</v>
      </c>
      <c r="D31" s="159" t="s">
        <v>8006</v>
      </c>
      <c r="E31" s="159" t="s">
        <v>7993</v>
      </c>
      <c r="F31" s="160" t="s">
        <v>7994</v>
      </c>
      <c r="G31" s="161"/>
      <c r="H31" s="162"/>
    </row>
    <row r="32" spans="1:8" ht="21" customHeight="1">
      <c r="A32" s="157" t="s">
        <v>248</v>
      </c>
      <c r="B32" s="157" t="s">
        <v>8007</v>
      </c>
      <c r="C32" s="158" t="s">
        <v>8008</v>
      </c>
      <c r="D32" s="159" t="s">
        <v>8009</v>
      </c>
      <c r="E32" s="159" t="s">
        <v>7993</v>
      </c>
      <c r="F32" s="160" t="s">
        <v>7994</v>
      </c>
      <c r="G32" s="161"/>
      <c r="H32" s="162"/>
    </row>
    <row r="33" spans="1:8" ht="21" customHeight="1">
      <c r="A33" s="157" t="s">
        <v>248</v>
      </c>
      <c r="B33" s="157" t="s">
        <v>256</v>
      </c>
      <c r="C33" s="158" t="s">
        <v>8010</v>
      </c>
      <c r="D33" s="159" t="s">
        <v>8011</v>
      </c>
      <c r="E33" s="159" t="s">
        <v>8012</v>
      </c>
      <c r="F33" s="160" t="s">
        <v>7994</v>
      </c>
      <c r="G33" s="161"/>
      <c r="H33" s="162"/>
    </row>
    <row r="34" spans="1:8" ht="21" customHeight="1">
      <c r="A34" s="157" t="s">
        <v>248</v>
      </c>
      <c r="B34" s="157" t="s">
        <v>8013</v>
      </c>
      <c r="C34" s="158" t="s">
        <v>8014</v>
      </c>
      <c r="D34" s="159" t="s">
        <v>8015</v>
      </c>
      <c r="E34" s="159" t="s">
        <v>8012</v>
      </c>
      <c r="F34" s="160" t="s">
        <v>7994</v>
      </c>
      <c r="G34" s="161"/>
      <c r="H34" s="162"/>
    </row>
    <row r="35" spans="1:8" ht="21" customHeight="1">
      <c r="A35" s="157" t="s">
        <v>248</v>
      </c>
      <c r="B35" s="157" t="s">
        <v>8016</v>
      </c>
      <c r="C35" s="158" t="s">
        <v>7865</v>
      </c>
      <c r="D35" s="159" t="s">
        <v>8017</v>
      </c>
      <c r="E35" s="159" t="s">
        <v>8018</v>
      </c>
      <c r="F35" s="160" t="s">
        <v>7994</v>
      </c>
      <c r="G35" s="161"/>
      <c r="H35" s="161"/>
    </row>
    <row r="36" spans="1:8" ht="21" customHeight="1">
      <c r="A36" s="157" t="s">
        <v>248</v>
      </c>
      <c r="B36" s="157" t="s">
        <v>8019</v>
      </c>
      <c r="C36" s="158" t="s">
        <v>8020</v>
      </c>
      <c r="D36" s="159" t="s">
        <v>8021</v>
      </c>
      <c r="E36" s="159" t="s">
        <v>251</v>
      </c>
      <c r="F36" s="160" t="s">
        <v>7994</v>
      </c>
      <c r="G36" s="161"/>
      <c r="H36" s="161"/>
    </row>
    <row r="37" spans="1:8" ht="21" customHeight="1">
      <c r="A37" s="157" t="s">
        <v>248</v>
      </c>
      <c r="B37" s="157" t="s">
        <v>8022</v>
      </c>
      <c r="C37" s="158" t="s">
        <v>8023</v>
      </c>
      <c r="D37" s="159" t="s">
        <v>8024</v>
      </c>
      <c r="E37" s="159" t="s">
        <v>8012</v>
      </c>
      <c r="F37" s="160" t="s">
        <v>7994</v>
      </c>
      <c r="G37" s="161"/>
      <c r="H37" s="161"/>
    </row>
    <row r="38" spans="1:8" ht="21" customHeight="1">
      <c r="A38" s="157" t="s">
        <v>248</v>
      </c>
      <c r="B38" s="157" t="s">
        <v>8025</v>
      </c>
      <c r="C38" s="158" t="s">
        <v>8026</v>
      </c>
      <c r="D38" s="159" t="s">
        <v>8027</v>
      </c>
      <c r="E38" s="159" t="s">
        <v>251</v>
      </c>
      <c r="F38" s="160" t="s">
        <v>8028</v>
      </c>
      <c r="G38" s="161"/>
      <c r="H38" s="161"/>
    </row>
    <row r="39" spans="1:8" ht="21" customHeight="1">
      <c r="A39" s="157" t="s">
        <v>248</v>
      </c>
      <c r="B39" s="157" t="s">
        <v>8029</v>
      </c>
      <c r="C39" s="158" t="s">
        <v>8030</v>
      </c>
      <c r="D39" s="159" t="s">
        <v>8031</v>
      </c>
      <c r="E39" s="159" t="s">
        <v>251</v>
      </c>
      <c r="F39" s="160" t="s">
        <v>8032</v>
      </c>
      <c r="G39" s="161"/>
      <c r="H39" s="161"/>
    </row>
    <row r="40" spans="1:8" ht="21" customHeight="1">
      <c r="A40" s="157" t="s">
        <v>248</v>
      </c>
      <c r="B40" s="157" t="s">
        <v>8033</v>
      </c>
      <c r="C40" s="158" t="s">
        <v>7864</v>
      </c>
      <c r="D40" s="159" t="s">
        <v>8034</v>
      </c>
      <c r="E40" s="159" t="s">
        <v>251</v>
      </c>
      <c r="F40" s="160" t="s">
        <v>8035</v>
      </c>
      <c r="G40" s="161"/>
      <c r="H40" s="161"/>
    </row>
    <row r="41" spans="1:8" ht="21" customHeight="1">
      <c r="A41" s="157" t="s">
        <v>248</v>
      </c>
      <c r="B41" s="157" t="s">
        <v>8036</v>
      </c>
      <c r="C41" s="158" t="s">
        <v>8037</v>
      </c>
      <c r="D41" s="159" t="s">
        <v>8038</v>
      </c>
      <c r="E41" s="159" t="s">
        <v>8039</v>
      </c>
      <c r="F41" s="160" t="s">
        <v>8040</v>
      </c>
      <c r="G41" s="161"/>
      <c r="H41" s="161"/>
    </row>
    <row r="42" spans="1:8" ht="21" customHeight="1">
      <c r="A42" s="157" t="s">
        <v>248</v>
      </c>
      <c r="B42" s="157" t="s">
        <v>7862</v>
      </c>
      <c r="C42" s="158" t="s">
        <v>7863</v>
      </c>
      <c r="D42" s="159" t="s">
        <v>8041</v>
      </c>
      <c r="E42" s="159" t="s">
        <v>8042</v>
      </c>
      <c r="F42" s="160" t="s">
        <v>8040</v>
      </c>
      <c r="G42" s="161"/>
      <c r="H42" s="161"/>
    </row>
    <row r="43" spans="1:8" ht="21" customHeight="1">
      <c r="A43" s="157" t="s">
        <v>248</v>
      </c>
      <c r="B43" s="157" t="s">
        <v>8043</v>
      </c>
      <c r="C43" s="158" t="s">
        <v>8044</v>
      </c>
      <c r="D43" s="159" t="s">
        <v>8045</v>
      </c>
      <c r="E43" s="159" t="s">
        <v>8046</v>
      </c>
      <c r="F43" s="160" t="s">
        <v>8040</v>
      </c>
      <c r="G43" s="161"/>
      <c r="H43" s="161"/>
    </row>
    <row r="44" spans="1:8" ht="21" customHeight="1">
      <c r="A44" s="165" t="s">
        <v>248</v>
      </c>
      <c r="B44" s="165" t="s">
        <v>8047</v>
      </c>
      <c r="C44" s="166" t="s">
        <v>8048</v>
      </c>
      <c r="D44" s="167" t="s">
        <v>8049</v>
      </c>
      <c r="E44" s="167" t="s">
        <v>7908</v>
      </c>
      <c r="F44" s="160" t="s">
        <v>8051</v>
      </c>
      <c r="G44" s="163"/>
      <c r="H44" s="16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E213"/>
  <sheetViews>
    <sheetView zoomScale="95" zoomScaleNormal="95" workbookViewId="0">
      <selection activeCell="G45" sqref="G45"/>
    </sheetView>
  </sheetViews>
  <sheetFormatPr baseColWidth="10" defaultColWidth="12.7109375" defaultRowHeight="12.75"/>
  <cols>
    <col min="1" max="1" width="21.85546875" style="123" customWidth="1"/>
    <col min="2" max="2" width="24.42578125" style="123" customWidth="1"/>
    <col min="3" max="3" width="26" style="123" customWidth="1"/>
    <col min="4" max="4" width="18.5703125" style="130" customWidth="1"/>
    <col min="5" max="5" width="12.140625" style="123" bestFit="1" customWidth="1"/>
    <col min="6" max="16384" width="12.7109375" style="131"/>
  </cols>
  <sheetData>
    <row r="1" spans="1:5" s="133" customFormat="1" ht="13.5" thickBot="1">
      <c r="A1" s="114" t="s">
        <v>146</v>
      </c>
      <c r="B1" s="114" t="s">
        <v>147</v>
      </c>
      <c r="C1" s="114" t="s">
        <v>148</v>
      </c>
      <c r="D1" s="132" t="s">
        <v>149</v>
      </c>
      <c r="E1" s="114" t="s">
        <v>150</v>
      </c>
    </row>
    <row r="2" spans="1:5">
      <c r="A2" s="134" t="s">
        <v>259</v>
      </c>
      <c r="B2" s="125" t="s">
        <v>7869</v>
      </c>
      <c r="C2" s="125" t="s">
        <v>7816</v>
      </c>
      <c r="D2" s="135"/>
      <c r="E2" s="125" t="s">
        <v>7610</v>
      </c>
    </row>
    <row r="3" spans="1:5">
      <c r="A3" s="134" t="s">
        <v>259</v>
      </c>
      <c r="B3" s="123" t="s">
        <v>7452</v>
      </c>
      <c r="C3" s="123" t="s">
        <v>7452</v>
      </c>
      <c r="E3" s="123" t="s">
        <v>7611</v>
      </c>
    </row>
    <row r="4" spans="1:5">
      <c r="A4" s="134" t="s">
        <v>259</v>
      </c>
      <c r="B4" s="123" t="s">
        <v>7870</v>
      </c>
      <c r="C4" s="123" t="s">
        <v>7817</v>
      </c>
      <c r="E4" s="123" t="s">
        <v>7612</v>
      </c>
    </row>
    <row r="5" spans="1:5">
      <c r="A5" s="134" t="s">
        <v>259</v>
      </c>
      <c r="B5" s="123" t="s">
        <v>261</v>
      </c>
      <c r="C5" s="123" t="s">
        <v>261</v>
      </c>
      <c r="E5" s="123" t="s">
        <v>7613</v>
      </c>
    </row>
    <row r="6" spans="1:5">
      <c r="A6" s="134" t="s">
        <v>259</v>
      </c>
      <c r="B6" s="123" t="s">
        <v>7453</v>
      </c>
      <c r="C6" s="123" t="s">
        <v>7453</v>
      </c>
      <c r="E6" s="123" t="s">
        <v>7614</v>
      </c>
    </row>
    <row r="7" spans="1:5">
      <c r="A7" s="134" t="s">
        <v>259</v>
      </c>
      <c r="B7" s="123" t="s">
        <v>7454</v>
      </c>
      <c r="C7" s="123" t="s">
        <v>7454</v>
      </c>
      <c r="E7" s="123" t="s">
        <v>7615</v>
      </c>
    </row>
    <row r="8" spans="1:5">
      <c r="A8" s="134" t="s">
        <v>259</v>
      </c>
      <c r="B8" s="123" t="s">
        <v>7871</v>
      </c>
      <c r="C8" s="123" t="s">
        <v>7818</v>
      </c>
      <c r="E8" s="123" t="s">
        <v>7616</v>
      </c>
    </row>
    <row r="9" spans="1:5">
      <c r="A9" s="134" t="s">
        <v>259</v>
      </c>
      <c r="B9" s="123" t="s">
        <v>7455</v>
      </c>
      <c r="C9" s="123" t="s">
        <v>7455</v>
      </c>
      <c r="E9" s="123" t="s">
        <v>7617</v>
      </c>
    </row>
    <row r="10" spans="1:5">
      <c r="A10" s="134" t="s">
        <v>259</v>
      </c>
      <c r="B10" s="123" t="s">
        <v>7872</v>
      </c>
      <c r="C10" s="123" t="s">
        <v>7819</v>
      </c>
      <c r="E10" s="123" t="s">
        <v>7618</v>
      </c>
    </row>
    <row r="11" spans="1:5">
      <c r="A11" s="134" t="s">
        <v>259</v>
      </c>
      <c r="B11" s="123" t="s">
        <v>7820</v>
      </c>
      <c r="C11" s="123" t="s">
        <v>7820</v>
      </c>
      <c r="E11" s="123" t="s">
        <v>7619</v>
      </c>
    </row>
    <row r="12" spans="1:5">
      <c r="A12" s="134" t="s">
        <v>259</v>
      </c>
      <c r="B12" s="123" t="s">
        <v>7457</v>
      </c>
      <c r="C12" s="123" t="s">
        <v>7457</v>
      </c>
      <c r="E12" s="123" t="s">
        <v>7620</v>
      </c>
    </row>
    <row r="13" spans="1:5">
      <c r="A13" s="134" t="s">
        <v>259</v>
      </c>
      <c r="B13" s="123" t="s">
        <v>7458</v>
      </c>
      <c r="C13" s="123" t="s">
        <v>7458</v>
      </c>
      <c r="E13" s="123" t="s">
        <v>7621</v>
      </c>
    </row>
    <row r="14" spans="1:5">
      <c r="A14" s="134" t="s">
        <v>259</v>
      </c>
      <c r="B14" s="123" t="s">
        <v>7459</v>
      </c>
      <c r="C14" s="123" t="s">
        <v>7459</v>
      </c>
      <c r="E14" s="123" t="s">
        <v>7622</v>
      </c>
    </row>
    <row r="15" spans="1:5">
      <c r="A15" s="134" t="s">
        <v>259</v>
      </c>
      <c r="B15" s="123" t="s">
        <v>7460</v>
      </c>
      <c r="C15" s="123" t="s">
        <v>7460</v>
      </c>
      <c r="E15" s="123" t="s">
        <v>7623</v>
      </c>
    </row>
    <row r="16" spans="1:5">
      <c r="A16" s="134" t="s">
        <v>259</v>
      </c>
      <c r="B16" s="123" t="s">
        <v>7873</v>
      </c>
      <c r="C16" s="123" t="s">
        <v>267</v>
      </c>
      <c r="E16" s="123" t="s">
        <v>7624</v>
      </c>
    </row>
    <row r="17" spans="1:5">
      <c r="A17" s="134" t="s">
        <v>259</v>
      </c>
      <c r="B17" s="123" t="s">
        <v>7461</v>
      </c>
      <c r="C17" s="123" t="s">
        <v>7461</v>
      </c>
      <c r="E17" s="123" t="s">
        <v>7625</v>
      </c>
    </row>
    <row r="18" spans="1:5">
      <c r="A18" s="134" t="s">
        <v>259</v>
      </c>
      <c r="B18" s="123" t="s">
        <v>7874</v>
      </c>
      <c r="C18" s="123" t="s">
        <v>7821</v>
      </c>
      <c r="E18" s="123" t="s">
        <v>7626</v>
      </c>
    </row>
    <row r="19" spans="1:5">
      <c r="A19" s="134" t="s">
        <v>259</v>
      </c>
      <c r="B19" s="123" t="s">
        <v>7462</v>
      </c>
      <c r="C19" s="123" t="s">
        <v>7462</v>
      </c>
      <c r="E19" s="123" t="s">
        <v>7627</v>
      </c>
    </row>
    <row r="20" spans="1:5">
      <c r="A20" s="134" t="s">
        <v>259</v>
      </c>
      <c r="B20" s="123" t="s">
        <v>7463</v>
      </c>
      <c r="C20" s="123" t="s">
        <v>7463</v>
      </c>
      <c r="E20" s="123" t="s">
        <v>7628</v>
      </c>
    </row>
    <row r="21" spans="1:5">
      <c r="A21" s="134" t="s">
        <v>259</v>
      </c>
      <c r="B21" s="123" t="s">
        <v>7464</v>
      </c>
      <c r="C21" s="123" t="s">
        <v>7464</v>
      </c>
      <c r="E21" s="123" t="s">
        <v>7629</v>
      </c>
    </row>
    <row r="22" spans="1:5">
      <c r="A22" s="134" t="s">
        <v>259</v>
      </c>
      <c r="B22" s="123" t="s">
        <v>7465</v>
      </c>
      <c r="C22" s="123" t="s">
        <v>7465</v>
      </c>
      <c r="E22" s="123" t="s">
        <v>7630</v>
      </c>
    </row>
    <row r="23" spans="1:5">
      <c r="A23" s="134" t="s">
        <v>259</v>
      </c>
      <c r="B23" s="123" t="s">
        <v>7875</v>
      </c>
      <c r="C23" s="123" t="s">
        <v>7822</v>
      </c>
      <c r="E23" s="123" t="s">
        <v>7631</v>
      </c>
    </row>
    <row r="24" spans="1:5">
      <c r="A24" s="134" t="s">
        <v>259</v>
      </c>
      <c r="B24" s="123" t="s">
        <v>7466</v>
      </c>
      <c r="C24" s="123" t="s">
        <v>7466</v>
      </c>
      <c r="E24" s="123" t="s">
        <v>7632</v>
      </c>
    </row>
    <row r="25" spans="1:5">
      <c r="A25" s="134" t="s">
        <v>259</v>
      </c>
      <c r="B25" s="123" t="s">
        <v>7467</v>
      </c>
      <c r="C25" s="123" t="s">
        <v>7467</v>
      </c>
      <c r="E25" s="123" t="s">
        <v>7633</v>
      </c>
    </row>
    <row r="26" spans="1:5">
      <c r="A26" s="134" t="s">
        <v>259</v>
      </c>
      <c r="B26" s="123" t="s">
        <v>7468</v>
      </c>
      <c r="C26" s="123" t="s">
        <v>7468</v>
      </c>
      <c r="E26" s="123" t="s">
        <v>7634</v>
      </c>
    </row>
    <row r="27" spans="1:5">
      <c r="A27" s="134" t="s">
        <v>259</v>
      </c>
      <c r="B27" s="123" t="s">
        <v>7469</v>
      </c>
      <c r="C27" s="123" t="s">
        <v>7469</v>
      </c>
      <c r="E27" s="123" t="s">
        <v>7635</v>
      </c>
    </row>
    <row r="28" spans="1:5">
      <c r="A28" s="134" t="s">
        <v>259</v>
      </c>
      <c r="B28" s="123" t="s">
        <v>7470</v>
      </c>
      <c r="C28" s="123" t="s">
        <v>7470</v>
      </c>
      <c r="E28" s="123" t="s">
        <v>7636</v>
      </c>
    </row>
    <row r="29" spans="1:5">
      <c r="A29" s="134" t="s">
        <v>259</v>
      </c>
      <c r="B29" s="123" t="s">
        <v>7471</v>
      </c>
      <c r="C29" s="123" t="s">
        <v>7471</v>
      </c>
      <c r="E29" s="123" t="s">
        <v>7637</v>
      </c>
    </row>
    <row r="30" spans="1:5">
      <c r="A30" s="134" t="s">
        <v>259</v>
      </c>
      <c r="B30" s="123" t="s">
        <v>7472</v>
      </c>
      <c r="C30" s="123" t="s">
        <v>7472</v>
      </c>
      <c r="E30" s="123" t="s">
        <v>7638</v>
      </c>
    </row>
    <row r="31" spans="1:5">
      <c r="A31" s="134" t="s">
        <v>259</v>
      </c>
      <c r="B31" s="123" t="s">
        <v>260</v>
      </c>
      <c r="C31" s="123" t="s">
        <v>260</v>
      </c>
      <c r="E31" s="123" t="s">
        <v>7639</v>
      </c>
    </row>
    <row r="32" spans="1:5">
      <c r="A32" s="134" t="s">
        <v>259</v>
      </c>
      <c r="B32" s="123" t="s">
        <v>7473</v>
      </c>
      <c r="C32" s="123" t="s">
        <v>7473</v>
      </c>
      <c r="E32" s="123" t="s">
        <v>7640</v>
      </c>
    </row>
    <row r="33" spans="1:5">
      <c r="A33" s="134" t="s">
        <v>259</v>
      </c>
      <c r="B33" s="123" t="s">
        <v>7474</v>
      </c>
      <c r="C33" s="123" t="s">
        <v>7474</v>
      </c>
      <c r="E33" s="123" t="s">
        <v>7641</v>
      </c>
    </row>
    <row r="34" spans="1:5">
      <c r="A34" s="134" t="s">
        <v>259</v>
      </c>
      <c r="B34" s="123" t="s">
        <v>7475</v>
      </c>
      <c r="C34" s="123" t="s">
        <v>7475</v>
      </c>
      <c r="E34" s="123" t="s">
        <v>7642</v>
      </c>
    </row>
    <row r="35" spans="1:5">
      <c r="A35" s="134" t="s">
        <v>259</v>
      </c>
      <c r="B35" s="123" t="s">
        <v>7476</v>
      </c>
      <c r="C35" s="123" t="s">
        <v>7476</v>
      </c>
      <c r="E35" s="123" t="s">
        <v>7643</v>
      </c>
    </row>
    <row r="36" spans="1:5">
      <c r="A36" s="134" t="s">
        <v>259</v>
      </c>
      <c r="B36" s="123" t="s">
        <v>7477</v>
      </c>
      <c r="C36" s="123" t="s">
        <v>7477</v>
      </c>
      <c r="E36" s="123" t="s">
        <v>7644</v>
      </c>
    </row>
    <row r="37" spans="1:5">
      <c r="A37" s="134" t="s">
        <v>259</v>
      </c>
      <c r="B37" s="123" t="s">
        <v>7876</v>
      </c>
      <c r="C37" s="123" t="s">
        <v>7823</v>
      </c>
      <c r="E37" s="123" t="s">
        <v>7645</v>
      </c>
    </row>
    <row r="38" spans="1:5">
      <c r="A38" s="134" t="s">
        <v>259</v>
      </c>
      <c r="B38" s="123" t="s">
        <v>7478</v>
      </c>
      <c r="C38" s="123" t="s">
        <v>7478</v>
      </c>
      <c r="E38" s="123" t="s">
        <v>7646</v>
      </c>
    </row>
    <row r="39" spans="1:5">
      <c r="A39" s="134" t="s">
        <v>259</v>
      </c>
      <c r="B39" s="123" t="s">
        <v>7479</v>
      </c>
      <c r="C39" s="123" t="s">
        <v>7479</v>
      </c>
      <c r="E39" s="123" t="s">
        <v>7647</v>
      </c>
    </row>
    <row r="40" spans="1:5">
      <c r="A40" s="134" t="s">
        <v>259</v>
      </c>
      <c r="B40" s="123" t="s">
        <v>7480</v>
      </c>
      <c r="C40" s="123" t="s">
        <v>7480</v>
      </c>
      <c r="E40" s="123" t="s">
        <v>7648</v>
      </c>
    </row>
    <row r="41" spans="1:5">
      <c r="A41" s="134" t="s">
        <v>259</v>
      </c>
      <c r="B41" s="123" t="s">
        <v>7481</v>
      </c>
      <c r="C41" s="123" t="s">
        <v>7481</v>
      </c>
      <c r="E41" s="123" t="s">
        <v>7649</v>
      </c>
    </row>
    <row r="42" spans="1:5">
      <c r="A42" s="134" t="s">
        <v>259</v>
      </c>
      <c r="B42" s="123" t="s">
        <v>7482</v>
      </c>
      <c r="C42" s="123" t="s">
        <v>7482</v>
      </c>
      <c r="E42" s="123" t="s">
        <v>7650</v>
      </c>
    </row>
    <row r="43" spans="1:5">
      <c r="A43" s="134" t="s">
        <v>259</v>
      </c>
      <c r="B43" s="123" t="s">
        <v>7483</v>
      </c>
      <c r="C43" s="123" t="s">
        <v>7483</v>
      </c>
      <c r="E43" s="123" t="s">
        <v>7651</v>
      </c>
    </row>
    <row r="44" spans="1:5">
      <c r="A44" s="134" t="s">
        <v>259</v>
      </c>
      <c r="B44" s="123" t="s">
        <v>7484</v>
      </c>
      <c r="C44" s="123" t="s">
        <v>7484</v>
      </c>
      <c r="E44" s="123" t="s">
        <v>7652</v>
      </c>
    </row>
    <row r="45" spans="1:5">
      <c r="A45" s="134" t="s">
        <v>259</v>
      </c>
      <c r="B45" s="123" t="s">
        <v>7485</v>
      </c>
      <c r="C45" s="123" t="s">
        <v>7485</v>
      </c>
      <c r="E45" s="123" t="s">
        <v>7653</v>
      </c>
    </row>
    <row r="46" spans="1:5">
      <c r="A46" s="134" t="s">
        <v>259</v>
      </c>
      <c r="B46" s="123" t="s">
        <v>7486</v>
      </c>
      <c r="C46" s="123" t="s">
        <v>7486</v>
      </c>
      <c r="E46" s="123" t="s">
        <v>7654</v>
      </c>
    </row>
    <row r="47" spans="1:5">
      <c r="A47" s="134" t="s">
        <v>259</v>
      </c>
      <c r="B47" s="123" t="s">
        <v>7487</v>
      </c>
      <c r="C47" s="123" t="s">
        <v>7487</v>
      </c>
      <c r="E47" s="123" t="s">
        <v>7655</v>
      </c>
    </row>
    <row r="48" spans="1:5">
      <c r="A48" s="134" t="s">
        <v>259</v>
      </c>
      <c r="B48" s="123" t="s">
        <v>264</v>
      </c>
      <c r="C48" s="123" t="s">
        <v>264</v>
      </c>
      <c r="E48" s="123" t="s">
        <v>7656</v>
      </c>
    </row>
    <row r="49" spans="1:5">
      <c r="A49" s="134" t="s">
        <v>259</v>
      </c>
      <c r="B49" s="123" t="s">
        <v>7488</v>
      </c>
      <c r="C49" s="123" t="s">
        <v>7488</v>
      </c>
      <c r="E49" s="123" t="s">
        <v>7657</v>
      </c>
    </row>
    <row r="50" spans="1:5">
      <c r="A50" s="134" t="s">
        <v>259</v>
      </c>
      <c r="B50" s="123" t="s">
        <v>7489</v>
      </c>
      <c r="C50" s="123" t="s">
        <v>7489</v>
      </c>
      <c r="E50" s="123" t="s">
        <v>7658</v>
      </c>
    </row>
    <row r="51" spans="1:5">
      <c r="A51" s="134" t="s">
        <v>259</v>
      </c>
      <c r="B51" s="123" t="s">
        <v>7490</v>
      </c>
      <c r="C51" s="123" t="s">
        <v>7490</v>
      </c>
      <c r="E51" s="123" t="s">
        <v>7659</v>
      </c>
    </row>
    <row r="52" spans="1:5">
      <c r="A52" s="134" t="s">
        <v>259</v>
      </c>
      <c r="B52" s="123" t="s">
        <v>7491</v>
      </c>
      <c r="C52" s="123" t="s">
        <v>7491</v>
      </c>
      <c r="E52" s="123" t="s">
        <v>7660</v>
      </c>
    </row>
    <row r="53" spans="1:5">
      <c r="A53" s="134" t="s">
        <v>259</v>
      </c>
      <c r="B53" s="123" t="s">
        <v>7824</v>
      </c>
      <c r="C53" s="123" t="s">
        <v>7824</v>
      </c>
      <c r="E53" s="123" t="s">
        <v>7661</v>
      </c>
    </row>
    <row r="54" spans="1:5">
      <c r="A54" s="134" t="s">
        <v>259</v>
      </c>
      <c r="B54" s="123" t="s">
        <v>7492</v>
      </c>
      <c r="C54" s="123" t="s">
        <v>7492</v>
      </c>
      <c r="E54" s="123" t="s">
        <v>7662</v>
      </c>
    </row>
    <row r="55" spans="1:5">
      <c r="A55" s="134" t="s">
        <v>259</v>
      </c>
      <c r="B55" s="123" t="s">
        <v>7493</v>
      </c>
      <c r="C55" s="123" t="s">
        <v>7493</v>
      </c>
      <c r="E55" s="123" t="s">
        <v>7663</v>
      </c>
    </row>
    <row r="56" spans="1:5">
      <c r="A56" s="134" t="s">
        <v>259</v>
      </c>
      <c r="B56" s="123" t="s">
        <v>7494</v>
      </c>
      <c r="C56" s="123" t="s">
        <v>7494</v>
      </c>
      <c r="E56" s="123" t="s">
        <v>7664</v>
      </c>
    </row>
    <row r="57" spans="1:5">
      <c r="A57" s="134" t="s">
        <v>259</v>
      </c>
      <c r="B57" s="123" t="s">
        <v>7495</v>
      </c>
      <c r="C57" s="123" t="s">
        <v>7495</v>
      </c>
      <c r="E57" s="123" t="s">
        <v>7665</v>
      </c>
    </row>
    <row r="58" spans="1:5">
      <c r="A58" s="134" t="s">
        <v>259</v>
      </c>
      <c r="B58" s="123" t="s">
        <v>7496</v>
      </c>
      <c r="C58" s="123" t="s">
        <v>7496</v>
      </c>
      <c r="E58" s="123" t="s">
        <v>7666</v>
      </c>
    </row>
    <row r="59" spans="1:5">
      <c r="A59" s="134" t="s">
        <v>259</v>
      </c>
      <c r="B59" s="123" t="s">
        <v>7497</v>
      </c>
      <c r="C59" s="123" t="s">
        <v>7497</v>
      </c>
      <c r="E59" s="123" t="s">
        <v>7667</v>
      </c>
    </row>
    <row r="60" spans="1:5">
      <c r="A60" s="134" t="s">
        <v>259</v>
      </c>
      <c r="B60" s="123" t="s">
        <v>7498</v>
      </c>
      <c r="C60" s="123" t="s">
        <v>7498</v>
      </c>
      <c r="E60" s="123" t="s">
        <v>7668</v>
      </c>
    </row>
    <row r="61" spans="1:5">
      <c r="A61" s="134" t="s">
        <v>259</v>
      </c>
      <c r="B61" s="123" t="s">
        <v>7499</v>
      </c>
      <c r="C61" s="123" t="s">
        <v>7499</v>
      </c>
      <c r="E61" s="123" t="s">
        <v>7669</v>
      </c>
    </row>
    <row r="62" spans="1:5">
      <c r="A62" s="134" t="s">
        <v>259</v>
      </c>
      <c r="B62" s="123" t="s">
        <v>7500</v>
      </c>
      <c r="C62" s="123" t="s">
        <v>7500</v>
      </c>
      <c r="E62" s="123" t="s">
        <v>7670</v>
      </c>
    </row>
    <row r="63" spans="1:5">
      <c r="A63" s="134" t="s">
        <v>259</v>
      </c>
      <c r="B63" s="123" t="s">
        <v>7877</v>
      </c>
      <c r="C63" s="123" t="s">
        <v>7825</v>
      </c>
      <c r="E63" s="123" t="s">
        <v>7671</v>
      </c>
    </row>
    <row r="64" spans="1:5">
      <c r="A64" s="134" t="s">
        <v>259</v>
      </c>
      <c r="B64" s="123" t="s">
        <v>7501</v>
      </c>
      <c r="C64" s="123" t="s">
        <v>7501</v>
      </c>
      <c r="E64" s="123" t="s">
        <v>7672</v>
      </c>
    </row>
    <row r="65" spans="1:5">
      <c r="A65" s="134" t="s">
        <v>259</v>
      </c>
      <c r="B65" s="123" t="s">
        <v>7502</v>
      </c>
      <c r="C65" s="123" t="s">
        <v>7502</v>
      </c>
      <c r="E65" s="123" t="s">
        <v>7673</v>
      </c>
    </row>
    <row r="66" spans="1:5">
      <c r="A66" s="134" t="s">
        <v>259</v>
      </c>
      <c r="B66" s="123" t="s">
        <v>7503</v>
      </c>
      <c r="C66" s="123" t="s">
        <v>7503</v>
      </c>
      <c r="E66" s="123" t="s">
        <v>7674</v>
      </c>
    </row>
    <row r="67" spans="1:5">
      <c r="A67" s="134" t="s">
        <v>259</v>
      </c>
      <c r="B67" s="123" t="s">
        <v>7504</v>
      </c>
      <c r="C67" s="123" t="s">
        <v>7504</v>
      </c>
      <c r="E67" s="123" t="s">
        <v>7675</v>
      </c>
    </row>
    <row r="68" spans="1:5">
      <c r="A68" s="134" t="s">
        <v>259</v>
      </c>
      <c r="B68" s="123" t="s">
        <v>7505</v>
      </c>
      <c r="C68" s="123" t="s">
        <v>7505</v>
      </c>
      <c r="E68" s="123" t="s">
        <v>7676</v>
      </c>
    </row>
    <row r="69" spans="1:5">
      <c r="A69" s="134" t="s">
        <v>259</v>
      </c>
      <c r="B69" s="123" t="s">
        <v>7506</v>
      </c>
      <c r="C69" s="123" t="s">
        <v>7506</v>
      </c>
      <c r="E69" s="123" t="s">
        <v>7677</v>
      </c>
    </row>
    <row r="70" spans="1:5">
      <c r="A70" s="134" t="s">
        <v>259</v>
      </c>
      <c r="B70" s="123" t="s">
        <v>7507</v>
      </c>
      <c r="C70" s="123" t="s">
        <v>7507</v>
      </c>
      <c r="E70" s="123" t="s">
        <v>7678</v>
      </c>
    </row>
    <row r="71" spans="1:5">
      <c r="A71" s="134" t="s">
        <v>259</v>
      </c>
      <c r="B71" s="123" t="s">
        <v>7508</v>
      </c>
      <c r="C71" s="123" t="s">
        <v>7508</v>
      </c>
      <c r="E71" s="123" t="s">
        <v>7679</v>
      </c>
    </row>
    <row r="72" spans="1:5">
      <c r="A72" s="134" t="s">
        <v>259</v>
      </c>
      <c r="B72" s="123" t="s">
        <v>7509</v>
      </c>
      <c r="C72" s="123" t="s">
        <v>7509</v>
      </c>
      <c r="E72" s="123" t="s">
        <v>7680</v>
      </c>
    </row>
    <row r="73" spans="1:5">
      <c r="A73" s="134" t="s">
        <v>259</v>
      </c>
      <c r="B73" s="123" t="s">
        <v>7510</v>
      </c>
      <c r="C73" s="123" t="s">
        <v>7510</v>
      </c>
      <c r="E73" s="123" t="s">
        <v>7681</v>
      </c>
    </row>
    <row r="74" spans="1:5">
      <c r="A74" s="134" t="s">
        <v>259</v>
      </c>
      <c r="B74" s="123" t="s">
        <v>7511</v>
      </c>
      <c r="C74" s="123" t="s">
        <v>7511</v>
      </c>
      <c r="E74" s="123" t="s">
        <v>7682</v>
      </c>
    </row>
    <row r="75" spans="1:5">
      <c r="A75" s="134" t="s">
        <v>259</v>
      </c>
      <c r="B75" s="123" t="s">
        <v>262</v>
      </c>
      <c r="C75" s="123" t="s">
        <v>262</v>
      </c>
      <c r="E75" s="123" t="s">
        <v>7683</v>
      </c>
    </row>
    <row r="76" spans="1:5">
      <c r="A76" s="134" t="s">
        <v>259</v>
      </c>
      <c r="B76" s="123" t="s">
        <v>265</v>
      </c>
      <c r="C76" s="123" t="s">
        <v>265</v>
      </c>
      <c r="E76" s="123" t="s">
        <v>7684</v>
      </c>
    </row>
    <row r="77" spans="1:5">
      <c r="A77" s="134" t="s">
        <v>259</v>
      </c>
      <c r="B77" s="123" t="s">
        <v>7512</v>
      </c>
      <c r="C77" s="123" t="s">
        <v>7512</v>
      </c>
      <c r="E77" s="123" t="s">
        <v>7685</v>
      </c>
    </row>
    <row r="78" spans="1:5">
      <c r="A78" s="134" t="s">
        <v>259</v>
      </c>
      <c r="B78" s="123" t="s">
        <v>7513</v>
      </c>
      <c r="C78" s="123" t="s">
        <v>7513</v>
      </c>
      <c r="E78" s="123" t="s">
        <v>7686</v>
      </c>
    </row>
    <row r="79" spans="1:5">
      <c r="A79" s="134" t="s">
        <v>259</v>
      </c>
      <c r="B79" s="123" t="s">
        <v>7514</v>
      </c>
      <c r="C79" s="123" t="s">
        <v>7514</v>
      </c>
      <c r="E79" s="123" t="s">
        <v>7687</v>
      </c>
    </row>
    <row r="80" spans="1:5">
      <c r="A80" s="134" t="s">
        <v>259</v>
      </c>
      <c r="B80" s="123" t="s">
        <v>7515</v>
      </c>
      <c r="C80" s="123" t="s">
        <v>7515</v>
      </c>
      <c r="E80" s="123" t="s">
        <v>7688</v>
      </c>
    </row>
    <row r="81" spans="1:5">
      <c r="A81" s="134" t="s">
        <v>259</v>
      </c>
      <c r="B81" s="123" t="s">
        <v>7516</v>
      </c>
      <c r="C81" s="123" t="s">
        <v>7516</v>
      </c>
      <c r="E81" s="123" t="s">
        <v>7689</v>
      </c>
    </row>
    <row r="82" spans="1:5">
      <c r="A82" s="134" t="s">
        <v>259</v>
      </c>
      <c r="B82" s="123" t="s">
        <v>7517</v>
      </c>
      <c r="C82" s="123" t="s">
        <v>7517</v>
      </c>
      <c r="E82" s="123" t="s">
        <v>7690</v>
      </c>
    </row>
    <row r="83" spans="1:5">
      <c r="A83" s="134" t="s">
        <v>259</v>
      </c>
      <c r="B83" s="123" t="s">
        <v>7518</v>
      </c>
      <c r="C83" s="123" t="s">
        <v>7518</v>
      </c>
      <c r="E83" s="123" t="s">
        <v>7691</v>
      </c>
    </row>
    <row r="84" spans="1:5">
      <c r="A84" s="134" t="s">
        <v>259</v>
      </c>
      <c r="B84" s="123" t="s">
        <v>266</v>
      </c>
      <c r="C84" s="123" t="s">
        <v>266</v>
      </c>
      <c r="E84" s="123" t="s">
        <v>7692</v>
      </c>
    </row>
    <row r="85" spans="1:5">
      <c r="A85" s="134" t="s">
        <v>259</v>
      </c>
      <c r="B85" s="123" t="s">
        <v>7519</v>
      </c>
      <c r="C85" s="123" t="s">
        <v>7519</v>
      </c>
      <c r="E85" s="123" t="s">
        <v>7693</v>
      </c>
    </row>
    <row r="86" spans="1:5">
      <c r="A86" s="134" t="s">
        <v>259</v>
      </c>
      <c r="B86" s="123" t="s">
        <v>7520</v>
      </c>
      <c r="C86" s="123" t="s">
        <v>7520</v>
      </c>
      <c r="E86" s="123" t="s">
        <v>7694</v>
      </c>
    </row>
    <row r="87" spans="1:5">
      <c r="A87" s="134" t="s">
        <v>259</v>
      </c>
      <c r="B87" s="123" t="s">
        <v>7521</v>
      </c>
      <c r="C87" s="123" t="s">
        <v>7521</v>
      </c>
      <c r="E87" s="123" t="s">
        <v>7695</v>
      </c>
    </row>
    <row r="88" spans="1:5">
      <c r="A88" s="134" t="s">
        <v>259</v>
      </c>
      <c r="B88" s="123" t="s">
        <v>7522</v>
      </c>
      <c r="C88" s="123" t="s">
        <v>7522</v>
      </c>
      <c r="E88" s="123" t="s">
        <v>7696</v>
      </c>
    </row>
    <row r="89" spans="1:5">
      <c r="A89" s="134" t="s">
        <v>259</v>
      </c>
      <c r="B89" s="123" t="s">
        <v>7523</v>
      </c>
      <c r="C89" s="123" t="s">
        <v>7523</v>
      </c>
      <c r="E89" s="123" t="s">
        <v>7697</v>
      </c>
    </row>
    <row r="90" spans="1:5">
      <c r="A90" s="134" t="s">
        <v>259</v>
      </c>
      <c r="B90" s="123" t="s">
        <v>7524</v>
      </c>
      <c r="C90" s="123" t="s">
        <v>7524</v>
      </c>
      <c r="E90" s="123" t="s">
        <v>7698</v>
      </c>
    </row>
    <row r="91" spans="1:5">
      <c r="A91" s="134" t="s">
        <v>259</v>
      </c>
      <c r="B91" s="123" t="s">
        <v>7525</v>
      </c>
      <c r="C91" s="123" t="s">
        <v>7525</v>
      </c>
      <c r="E91" s="123" t="s">
        <v>7699</v>
      </c>
    </row>
    <row r="92" spans="1:5">
      <c r="A92" s="134" t="s">
        <v>259</v>
      </c>
      <c r="B92" s="123" t="s">
        <v>7526</v>
      </c>
      <c r="C92" s="123" t="s">
        <v>7526</v>
      </c>
      <c r="E92" s="123" t="s">
        <v>7700</v>
      </c>
    </row>
    <row r="93" spans="1:5">
      <c r="A93" s="134" t="s">
        <v>259</v>
      </c>
      <c r="B93" s="123" t="s">
        <v>7527</v>
      </c>
      <c r="C93" s="123" t="s">
        <v>7527</v>
      </c>
      <c r="E93" s="123" t="s">
        <v>7701</v>
      </c>
    </row>
    <row r="94" spans="1:5">
      <c r="A94" s="134" t="s">
        <v>259</v>
      </c>
      <c r="B94" s="123" t="s">
        <v>7528</v>
      </c>
      <c r="C94" s="123" t="s">
        <v>7528</v>
      </c>
      <c r="E94" s="123" t="s">
        <v>7702</v>
      </c>
    </row>
    <row r="95" spans="1:5">
      <c r="A95" s="134" t="s">
        <v>259</v>
      </c>
      <c r="B95" s="123" t="s">
        <v>7529</v>
      </c>
      <c r="C95" s="123" t="s">
        <v>7529</v>
      </c>
      <c r="E95" s="123" t="s">
        <v>7703</v>
      </c>
    </row>
    <row r="96" spans="1:5">
      <c r="A96" s="134" t="s">
        <v>259</v>
      </c>
      <c r="B96" s="123" t="s">
        <v>7530</v>
      </c>
      <c r="C96" s="123" t="s">
        <v>7530</v>
      </c>
      <c r="E96" s="123" t="s">
        <v>7704</v>
      </c>
    </row>
    <row r="97" spans="1:5">
      <c r="A97" s="134" t="s">
        <v>259</v>
      </c>
      <c r="B97" s="123" t="s">
        <v>7531</v>
      </c>
      <c r="C97" s="123" t="s">
        <v>7531</v>
      </c>
      <c r="E97" s="123" t="s">
        <v>7705</v>
      </c>
    </row>
    <row r="98" spans="1:5">
      <c r="A98" s="134" t="s">
        <v>259</v>
      </c>
      <c r="B98" s="123" t="s">
        <v>7532</v>
      </c>
      <c r="C98" s="123" t="s">
        <v>7532</v>
      </c>
      <c r="E98" s="123" t="s">
        <v>7706</v>
      </c>
    </row>
    <row r="99" spans="1:5">
      <c r="A99" s="134" t="s">
        <v>259</v>
      </c>
      <c r="B99" s="123" t="s">
        <v>7533</v>
      </c>
      <c r="C99" s="123" t="s">
        <v>7533</v>
      </c>
      <c r="E99" s="123" t="s">
        <v>7707</v>
      </c>
    </row>
    <row r="100" spans="1:5">
      <c r="A100" s="134" t="s">
        <v>259</v>
      </c>
      <c r="B100" s="123" t="s">
        <v>7534</v>
      </c>
      <c r="C100" s="123" t="s">
        <v>7534</v>
      </c>
      <c r="E100" s="123" t="s">
        <v>7708</v>
      </c>
    </row>
    <row r="101" spans="1:5">
      <c r="A101" s="134" t="s">
        <v>259</v>
      </c>
      <c r="B101" s="123" t="s">
        <v>7535</v>
      </c>
      <c r="C101" s="123" t="s">
        <v>7535</v>
      </c>
      <c r="E101" s="123" t="s">
        <v>7709</v>
      </c>
    </row>
    <row r="102" spans="1:5">
      <c r="A102" s="134" t="s">
        <v>259</v>
      </c>
      <c r="B102" s="123" t="s">
        <v>7536</v>
      </c>
      <c r="C102" s="123" t="s">
        <v>7536</v>
      </c>
      <c r="E102" s="123" t="s">
        <v>7710</v>
      </c>
    </row>
    <row r="103" spans="1:5">
      <c r="A103" s="134" t="s">
        <v>259</v>
      </c>
      <c r="B103" s="123" t="s">
        <v>7537</v>
      </c>
      <c r="C103" s="123" t="s">
        <v>7537</v>
      </c>
      <c r="E103" s="123" t="s">
        <v>7711</v>
      </c>
    </row>
    <row r="104" spans="1:5">
      <c r="A104" s="134" t="s">
        <v>259</v>
      </c>
      <c r="B104" s="123" t="s">
        <v>7538</v>
      </c>
      <c r="C104" s="123" t="s">
        <v>7538</v>
      </c>
      <c r="E104" s="123" t="s">
        <v>7712</v>
      </c>
    </row>
    <row r="105" spans="1:5">
      <c r="A105" s="134" t="s">
        <v>259</v>
      </c>
      <c r="B105" s="123" t="s">
        <v>7539</v>
      </c>
      <c r="C105" s="123" t="s">
        <v>7539</v>
      </c>
      <c r="E105" s="123" t="s">
        <v>7713</v>
      </c>
    </row>
    <row r="106" spans="1:5">
      <c r="A106" s="134" t="s">
        <v>259</v>
      </c>
      <c r="B106" s="123" t="s">
        <v>7540</v>
      </c>
      <c r="C106" s="123" t="s">
        <v>7540</v>
      </c>
      <c r="E106" s="123" t="s">
        <v>7714</v>
      </c>
    </row>
    <row r="107" spans="1:5">
      <c r="A107" s="134" t="s">
        <v>259</v>
      </c>
      <c r="B107" s="123" t="s">
        <v>7878</v>
      </c>
      <c r="C107" s="123" t="s">
        <v>7826</v>
      </c>
      <c r="E107" s="123" t="s">
        <v>7715</v>
      </c>
    </row>
    <row r="108" spans="1:5">
      <c r="A108" s="134" t="s">
        <v>259</v>
      </c>
      <c r="B108" s="123" t="s">
        <v>7541</v>
      </c>
      <c r="C108" s="123" t="s">
        <v>7541</v>
      </c>
      <c r="E108" s="123" t="s">
        <v>7716</v>
      </c>
    </row>
    <row r="109" spans="1:5">
      <c r="A109" s="134" t="s">
        <v>259</v>
      </c>
      <c r="B109" s="123" t="s">
        <v>7542</v>
      </c>
      <c r="C109" s="123" t="s">
        <v>7542</v>
      </c>
      <c r="E109" s="123" t="s">
        <v>7717</v>
      </c>
    </row>
    <row r="110" spans="1:5">
      <c r="A110" s="134" t="s">
        <v>259</v>
      </c>
      <c r="B110" s="123" t="s">
        <v>263</v>
      </c>
      <c r="C110" s="123" t="s">
        <v>263</v>
      </c>
      <c r="E110" s="123" t="s">
        <v>7718</v>
      </c>
    </row>
    <row r="111" spans="1:5">
      <c r="A111" s="134" t="s">
        <v>259</v>
      </c>
      <c r="B111" s="123" t="s">
        <v>7543</v>
      </c>
      <c r="C111" s="123" t="s">
        <v>7543</v>
      </c>
      <c r="E111" s="123" t="s">
        <v>7719</v>
      </c>
    </row>
    <row r="112" spans="1:5">
      <c r="A112" s="134" t="s">
        <v>259</v>
      </c>
      <c r="B112" s="123" t="s">
        <v>7544</v>
      </c>
      <c r="C112" s="123" t="s">
        <v>7544</v>
      </c>
      <c r="E112" s="123" t="s">
        <v>7720</v>
      </c>
    </row>
    <row r="113" spans="1:5">
      <c r="A113" s="134" t="s">
        <v>259</v>
      </c>
      <c r="B113" s="123" t="s">
        <v>7545</v>
      </c>
      <c r="C113" s="123" t="s">
        <v>7545</v>
      </c>
      <c r="E113" s="123" t="s">
        <v>7721</v>
      </c>
    </row>
    <row r="114" spans="1:5">
      <c r="A114" s="134" t="s">
        <v>259</v>
      </c>
      <c r="B114" s="123" t="s">
        <v>7546</v>
      </c>
      <c r="C114" s="123" t="s">
        <v>7546</v>
      </c>
      <c r="E114" s="123" t="s">
        <v>7722</v>
      </c>
    </row>
    <row r="115" spans="1:5">
      <c r="A115" s="134" t="s">
        <v>259</v>
      </c>
      <c r="B115" s="123" t="s">
        <v>7547</v>
      </c>
      <c r="C115" s="123" t="s">
        <v>7547</v>
      </c>
      <c r="E115" s="123" t="s">
        <v>7723</v>
      </c>
    </row>
    <row r="116" spans="1:5">
      <c r="A116" s="134" t="s">
        <v>259</v>
      </c>
      <c r="B116" s="123" t="s">
        <v>7548</v>
      </c>
      <c r="C116" s="123" t="s">
        <v>7548</v>
      </c>
      <c r="E116" s="123" t="s">
        <v>7724</v>
      </c>
    </row>
    <row r="117" spans="1:5">
      <c r="A117" s="134" t="s">
        <v>259</v>
      </c>
      <c r="B117" s="123" t="s">
        <v>7549</v>
      </c>
      <c r="C117" s="123" t="s">
        <v>7549</v>
      </c>
      <c r="E117" s="123" t="s">
        <v>7725</v>
      </c>
    </row>
    <row r="118" spans="1:5">
      <c r="A118" s="134" t="s">
        <v>259</v>
      </c>
      <c r="B118" s="123" t="s">
        <v>7550</v>
      </c>
      <c r="C118" s="123" t="s">
        <v>7550</v>
      </c>
      <c r="E118" s="123" t="s">
        <v>7726</v>
      </c>
    </row>
    <row r="119" spans="1:5">
      <c r="A119" s="134" t="s">
        <v>259</v>
      </c>
      <c r="B119" s="123" t="s">
        <v>7551</v>
      </c>
      <c r="C119" s="123" t="s">
        <v>7551</v>
      </c>
      <c r="E119" s="123" t="s">
        <v>7727</v>
      </c>
    </row>
    <row r="120" spans="1:5">
      <c r="A120" s="134" t="s">
        <v>259</v>
      </c>
      <c r="B120" s="123" t="s">
        <v>7552</v>
      </c>
      <c r="C120" s="123" t="s">
        <v>7552</v>
      </c>
      <c r="E120" s="123" t="s">
        <v>7728</v>
      </c>
    </row>
    <row r="121" spans="1:5">
      <c r="A121" s="134" t="s">
        <v>259</v>
      </c>
      <c r="B121" s="123" t="s">
        <v>7553</v>
      </c>
      <c r="C121" s="123" t="s">
        <v>7553</v>
      </c>
      <c r="E121" s="123" t="s">
        <v>7729</v>
      </c>
    </row>
    <row r="122" spans="1:5">
      <c r="A122" s="134" t="s">
        <v>259</v>
      </c>
      <c r="B122" s="123" t="s">
        <v>7879</v>
      </c>
      <c r="C122" s="123" t="s">
        <v>7827</v>
      </c>
      <c r="E122" s="123" t="s">
        <v>7730</v>
      </c>
    </row>
    <row r="123" spans="1:5">
      <c r="A123" s="134" t="s">
        <v>259</v>
      </c>
      <c r="B123" s="123" t="s">
        <v>7554</v>
      </c>
      <c r="C123" s="123" t="s">
        <v>7554</v>
      </c>
      <c r="E123" s="123" t="s">
        <v>7731</v>
      </c>
    </row>
    <row r="124" spans="1:5">
      <c r="A124" s="134" t="s">
        <v>259</v>
      </c>
      <c r="B124" s="123" t="s">
        <v>7555</v>
      </c>
      <c r="C124" s="123" t="s">
        <v>7555</v>
      </c>
      <c r="E124" s="123" t="s">
        <v>7732</v>
      </c>
    </row>
    <row r="125" spans="1:5">
      <c r="A125" s="134" t="s">
        <v>259</v>
      </c>
      <c r="B125" s="123" t="s">
        <v>7556</v>
      </c>
      <c r="C125" s="123" t="s">
        <v>7556</v>
      </c>
      <c r="E125" s="123" t="s">
        <v>7733</v>
      </c>
    </row>
    <row r="126" spans="1:5">
      <c r="A126" s="134" t="s">
        <v>259</v>
      </c>
      <c r="B126" s="123" t="s">
        <v>7557</v>
      </c>
      <c r="C126" s="123" t="s">
        <v>7557</v>
      </c>
      <c r="E126" s="123" t="s">
        <v>7734</v>
      </c>
    </row>
    <row r="127" spans="1:5">
      <c r="A127" s="134" t="s">
        <v>259</v>
      </c>
      <c r="B127" s="123" t="s">
        <v>7558</v>
      </c>
      <c r="C127" s="123" t="s">
        <v>7558</v>
      </c>
      <c r="E127" s="123" t="s">
        <v>7735</v>
      </c>
    </row>
    <row r="128" spans="1:5">
      <c r="A128" s="134" t="s">
        <v>259</v>
      </c>
      <c r="B128" s="123" t="s">
        <v>7559</v>
      </c>
      <c r="C128" s="123" t="s">
        <v>7559</v>
      </c>
      <c r="E128" s="123" t="s">
        <v>7736</v>
      </c>
    </row>
    <row r="129" spans="1:5">
      <c r="A129" s="134" t="s">
        <v>259</v>
      </c>
      <c r="B129" s="123" t="s">
        <v>7560</v>
      </c>
      <c r="C129" s="123" t="s">
        <v>7560</v>
      </c>
      <c r="E129" s="123" t="s">
        <v>7737</v>
      </c>
    </row>
    <row r="130" spans="1:5">
      <c r="A130" s="134" t="s">
        <v>259</v>
      </c>
      <c r="B130" s="123" t="s">
        <v>7561</v>
      </c>
      <c r="C130" s="123" t="s">
        <v>7561</v>
      </c>
      <c r="E130" s="123" t="s">
        <v>7738</v>
      </c>
    </row>
    <row r="131" spans="1:5">
      <c r="A131" s="134" t="s">
        <v>259</v>
      </c>
      <c r="B131" s="123" t="s">
        <v>7562</v>
      </c>
      <c r="C131" s="123" t="s">
        <v>7562</v>
      </c>
      <c r="E131" s="123" t="s">
        <v>7739</v>
      </c>
    </row>
    <row r="132" spans="1:5">
      <c r="A132" s="134" t="s">
        <v>259</v>
      </c>
      <c r="B132" s="123" t="s">
        <v>7563</v>
      </c>
      <c r="C132" s="123" t="s">
        <v>7563</v>
      </c>
      <c r="E132" s="123" t="s">
        <v>7740</v>
      </c>
    </row>
    <row r="133" spans="1:5">
      <c r="A133" s="134" t="s">
        <v>259</v>
      </c>
      <c r="B133" s="123" t="s">
        <v>7564</v>
      </c>
      <c r="C133" s="123" t="s">
        <v>7564</v>
      </c>
      <c r="E133" s="123" t="s">
        <v>7741</v>
      </c>
    </row>
    <row r="134" spans="1:5">
      <c r="A134" s="134" t="s">
        <v>259</v>
      </c>
      <c r="B134" s="123" t="s">
        <v>7896</v>
      </c>
      <c r="C134" s="123" t="s">
        <v>7828</v>
      </c>
      <c r="E134" s="123" t="s">
        <v>7742</v>
      </c>
    </row>
    <row r="135" spans="1:5">
      <c r="A135" s="134" t="s">
        <v>259</v>
      </c>
      <c r="B135" s="123" t="s">
        <v>7895</v>
      </c>
      <c r="C135" s="123" t="s">
        <v>7829</v>
      </c>
      <c r="E135" s="123" t="s">
        <v>7743</v>
      </c>
    </row>
    <row r="136" spans="1:5">
      <c r="A136" s="134" t="s">
        <v>259</v>
      </c>
      <c r="B136" s="123" t="s">
        <v>7894</v>
      </c>
      <c r="C136" s="123" t="s">
        <v>7830</v>
      </c>
      <c r="E136" s="123" t="s">
        <v>7744</v>
      </c>
    </row>
    <row r="137" spans="1:5">
      <c r="A137" s="134" t="s">
        <v>259</v>
      </c>
      <c r="B137" s="123" t="s">
        <v>7893</v>
      </c>
      <c r="C137" s="123" t="s">
        <v>7831</v>
      </c>
      <c r="E137" s="123" t="s">
        <v>7745</v>
      </c>
    </row>
    <row r="138" spans="1:5">
      <c r="A138" s="134" t="s">
        <v>259</v>
      </c>
      <c r="B138" s="123" t="s">
        <v>7892</v>
      </c>
      <c r="C138" s="123" t="s">
        <v>7832</v>
      </c>
      <c r="E138" s="123" t="s">
        <v>7746</v>
      </c>
    </row>
    <row r="139" spans="1:5">
      <c r="A139" s="134" t="s">
        <v>259</v>
      </c>
      <c r="B139" s="123" t="s">
        <v>7891</v>
      </c>
      <c r="C139" s="123" t="s">
        <v>7833</v>
      </c>
      <c r="E139" s="123" t="s">
        <v>7747</v>
      </c>
    </row>
    <row r="140" spans="1:5">
      <c r="A140" s="134" t="s">
        <v>259</v>
      </c>
      <c r="B140" s="123" t="s">
        <v>7890</v>
      </c>
      <c r="C140" s="123" t="s">
        <v>7834</v>
      </c>
      <c r="E140" s="123" t="s">
        <v>7748</v>
      </c>
    </row>
    <row r="141" spans="1:5">
      <c r="A141" s="134" t="s">
        <v>259</v>
      </c>
      <c r="B141" s="123" t="s">
        <v>7889</v>
      </c>
      <c r="C141" s="123" t="s">
        <v>7835</v>
      </c>
      <c r="E141" s="123" t="s">
        <v>7749</v>
      </c>
    </row>
    <row r="142" spans="1:5">
      <c r="A142" s="134" t="s">
        <v>259</v>
      </c>
      <c r="B142" s="123" t="s">
        <v>7888</v>
      </c>
      <c r="C142" s="123" t="s">
        <v>7836</v>
      </c>
      <c r="E142" s="123" t="s">
        <v>7750</v>
      </c>
    </row>
    <row r="143" spans="1:5">
      <c r="A143" s="134" t="s">
        <v>259</v>
      </c>
      <c r="B143" s="123" t="s">
        <v>7887</v>
      </c>
      <c r="C143" s="123" t="s">
        <v>7837</v>
      </c>
      <c r="E143" s="123" t="s">
        <v>7751</v>
      </c>
    </row>
    <row r="144" spans="1:5">
      <c r="A144" s="134" t="s">
        <v>259</v>
      </c>
      <c r="B144" s="123" t="s">
        <v>7899</v>
      </c>
      <c r="C144" s="123" t="s">
        <v>7838</v>
      </c>
      <c r="E144" s="123" t="s">
        <v>7752</v>
      </c>
    </row>
    <row r="145" spans="1:5">
      <c r="A145" s="134" t="s">
        <v>259</v>
      </c>
      <c r="B145" s="123" t="s">
        <v>7886</v>
      </c>
      <c r="C145" s="123" t="s">
        <v>7839</v>
      </c>
      <c r="E145" s="123" t="s">
        <v>7753</v>
      </c>
    </row>
    <row r="146" spans="1:5">
      <c r="A146" s="134" t="s">
        <v>259</v>
      </c>
      <c r="B146" s="123" t="s">
        <v>7885</v>
      </c>
      <c r="C146" s="123" t="s">
        <v>7840</v>
      </c>
      <c r="E146" s="123" t="s">
        <v>7754</v>
      </c>
    </row>
    <row r="147" spans="1:5">
      <c r="A147" s="134" t="s">
        <v>259</v>
      </c>
      <c r="B147" s="123" t="s">
        <v>7900</v>
      </c>
      <c r="C147" s="123" t="s">
        <v>7841</v>
      </c>
      <c r="E147" s="123" t="s">
        <v>7755</v>
      </c>
    </row>
    <row r="148" spans="1:5">
      <c r="A148" s="134" t="s">
        <v>259</v>
      </c>
      <c r="B148" s="123" t="s">
        <v>7884</v>
      </c>
      <c r="C148" s="123" t="s">
        <v>7842</v>
      </c>
      <c r="E148" s="123" t="s">
        <v>7756</v>
      </c>
    </row>
    <row r="149" spans="1:5">
      <c r="A149" s="134" t="s">
        <v>259</v>
      </c>
      <c r="B149" s="123" t="s">
        <v>7565</v>
      </c>
      <c r="C149" s="123" t="s">
        <v>7565</v>
      </c>
      <c r="E149" s="123" t="s">
        <v>7757</v>
      </c>
    </row>
    <row r="150" spans="1:5">
      <c r="A150" s="134" t="s">
        <v>259</v>
      </c>
      <c r="B150" s="123" t="s">
        <v>7566</v>
      </c>
      <c r="C150" s="123" t="s">
        <v>7566</v>
      </c>
      <c r="E150" s="123" t="s">
        <v>7758</v>
      </c>
    </row>
    <row r="151" spans="1:5">
      <c r="A151" s="134" t="s">
        <v>259</v>
      </c>
      <c r="B151" s="123" t="s">
        <v>7567</v>
      </c>
      <c r="C151" s="123" t="s">
        <v>7567</v>
      </c>
      <c r="E151" s="123" t="s">
        <v>7759</v>
      </c>
    </row>
    <row r="152" spans="1:5">
      <c r="A152" s="134" t="s">
        <v>259</v>
      </c>
      <c r="B152" s="123" t="s">
        <v>7568</v>
      </c>
      <c r="C152" s="123" t="s">
        <v>7568</v>
      </c>
      <c r="E152" s="123" t="s">
        <v>7760</v>
      </c>
    </row>
    <row r="153" spans="1:5">
      <c r="A153" s="134" t="s">
        <v>259</v>
      </c>
      <c r="B153" s="123" t="s">
        <v>7569</v>
      </c>
      <c r="C153" s="123" t="s">
        <v>7569</v>
      </c>
      <c r="E153" s="123" t="s">
        <v>7761</v>
      </c>
    </row>
    <row r="154" spans="1:5">
      <c r="A154" s="134" t="s">
        <v>259</v>
      </c>
      <c r="B154" s="123" t="s">
        <v>7570</v>
      </c>
      <c r="C154" s="123" t="s">
        <v>7570</v>
      </c>
      <c r="E154" s="123" t="s">
        <v>7762</v>
      </c>
    </row>
    <row r="155" spans="1:5">
      <c r="A155" s="134" t="s">
        <v>259</v>
      </c>
      <c r="B155" s="123" t="s">
        <v>7456</v>
      </c>
      <c r="C155" s="123" t="s">
        <v>7456</v>
      </c>
      <c r="E155" s="123" t="s">
        <v>7763</v>
      </c>
    </row>
    <row r="156" spans="1:5">
      <c r="A156" s="134" t="s">
        <v>259</v>
      </c>
      <c r="B156" s="123" t="s">
        <v>7571</v>
      </c>
      <c r="C156" s="123" t="s">
        <v>7571</v>
      </c>
      <c r="E156" s="123" t="s">
        <v>7764</v>
      </c>
    </row>
    <row r="157" spans="1:5">
      <c r="A157" s="134" t="s">
        <v>259</v>
      </c>
      <c r="B157" s="123" t="s">
        <v>7572</v>
      </c>
      <c r="C157" s="123" t="s">
        <v>7572</v>
      </c>
      <c r="E157" s="123" t="s">
        <v>7765</v>
      </c>
    </row>
    <row r="158" spans="1:5">
      <c r="A158" s="134" t="s">
        <v>259</v>
      </c>
      <c r="B158" s="123" t="s">
        <v>7843</v>
      </c>
      <c r="C158" s="123" t="s">
        <v>7843</v>
      </c>
      <c r="E158" s="123" t="s">
        <v>7766</v>
      </c>
    </row>
    <row r="159" spans="1:5">
      <c r="A159" s="134" t="s">
        <v>259</v>
      </c>
      <c r="B159" s="123" t="s">
        <v>7844</v>
      </c>
      <c r="C159" s="123" t="s">
        <v>7844</v>
      </c>
      <c r="E159" s="123" t="s">
        <v>7767</v>
      </c>
    </row>
    <row r="160" spans="1:5">
      <c r="A160" s="134" t="s">
        <v>259</v>
      </c>
      <c r="B160" s="123" t="s">
        <v>7845</v>
      </c>
      <c r="C160" s="123" t="s">
        <v>7845</v>
      </c>
      <c r="E160" s="123" t="s">
        <v>7768</v>
      </c>
    </row>
    <row r="161" spans="1:5">
      <c r="A161" s="134" t="s">
        <v>259</v>
      </c>
      <c r="B161" s="123" t="s">
        <v>7846</v>
      </c>
      <c r="C161" s="123" t="s">
        <v>7846</v>
      </c>
      <c r="E161" s="123" t="s">
        <v>7769</v>
      </c>
    </row>
    <row r="162" spans="1:5">
      <c r="A162" s="134" t="s">
        <v>259</v>
      </c>
      <c r="B162" s="123" t="s">
        <v>7847</v>
      </c>
      <c r="C162" s="123" t="s">
        <v>7847</v>
      </c>
      <c r="E162" s="123" t="s">
        <v>7770</v>
      </c>
    </row>
    <row r="163" spans="1:5">
      <c r="A163" s="134" t="s">
        <v>259</v>
      </c>
      <c r="B163" s="123" t="s">
        <v>7573</v>
      </c>
      <c r="C163" s="123" t="s">
        <v>7573</v>
      </c>
      <c r="E163" s="123" t="s">
        <v>7771</v>
      </c>
    </row>
    <row r="164" spans="1:5">
      <c r="A164" s="134" t="s">
        <v>259</v>
      </c>
      <c r="B164" s="123" t="s">
        <v>7848</v>
      </c>
      <c r="C164" s="123" t="s">
        <v>7848</v>
      </c>
      <c r="E164" s="123" t="s">
        <v>7772</v>
      </c>
    </row>
    <row r="165" spans="1:5">
      <c r="A165" s="134" t="s">
        <v>259</v>
      </c>
      <c r="B165" s="123" t="s">
        <v>7849</v>
      </c>
      <c r="C165" s="123" t="s">
        <v>7849</v>
      </c>
      <c r="E165" s="123" t="s">
        <v>7773</v>
      </c>
    </row>
    <row r="166" spans="1:5">
      <c r="A166" s="134" t="s">
        <v>259</v>
      </c>
      <c r="B166" s="123" t="s">
        <v>7850</v>
      </c>
      <c r="C166" s="123" t="s">
        <v>7850</v>
      </c>
      <c r="E166" s="123" t="s">
        <v>7774</v>
      </c>
    </row>
    <row r="167" spans="1:5">
      <c r="A167" s="134" t="s">
        <v>259</v>
      </c>
      <c r="B167" s="123" t="s">
        <v>7851</v>
      </c>
      <c r="C167" s="123" t="s">
        <v>7851</v>
      </c>
      <c r="E167" s="123" t="s">
        <v>7775</v>
      </c>
    </row>
    <row r="168" spans="1:5">
      <c r="A168" s="134" t="s">
        <v>259</v>
      </c>
      <c r="B168" s="123" t="s">
        <v>7574</v>
      </c>
      <c r="C168" s="123" t="s">
        <v>7574</v>
      </c>
      <c r="E168" s="123" t="s">
        <v>7776</v>
      </c>
    </row>
    <row r="169" spans="1:5">
      <c r="A169" s="134" t="s">
        <v>259</v>
      </c>
      <c r="B169" s="123" t="s">
        <v>7575</v>
      </c>
      <c r="C169" s="123" t="s">
        <v>7575</v>
      </c>
      <c r="E169" s="123" t="s">
        <v>7777</v>
      </c>
    </row>
    <row r="170" spans="1:5">
      <c r="A170" s="134" t="s">
        <v>259</v>
      </c>
      <c r="B170" s="123" t="s">
        <v>7576</v>
      </c>
      <c r="C170" s="123" t="s">
        <v>7576</v>
      </c>
      <c r="E170" s="123" t="s">
        <v>7778</v>
      </c>
    </row>
    <row r="171" spans="1:5">
      <c r="A171" s="134" t="s">
        <v>259</v>
      </c>
      <c r="B171" s="123" t="s">
        <v>7577</v>
      </c>
      <c r="C171" s="123" t="s">
        <v>7577</v>
      </c>
      <c r="E171" s="123" t="s">
        <v>7779</v>
      </c>
    </row>
    <row r="172" spans="1:5">
      <c r="A172" s="134" t="s">
        <v>259</v>
      </c>
      <c r="B172" s="123" t="s">
        <v>7578</v>
      </c>
      <c r="C172" s="123" t="s">
        <v>7578</v>
      </c>
      <c r="E172" s="123" t="s">
        <v>7780</v>
      </c>
    </row>
    <row r="173" spans="1:5">
      <c r="A173" s="134" t="s">
        <v>259</v>
      </c>
      <c r="B173" s="123" t="s">
        <v>7579</v>
      </c>
      <c r="C173" s="123" t="s">
        <v>7579</v>
      </c>
      <c r="E173" s="123" t="s">
        <v>7781</v>
      </c>
    </row>
    <row r="174" spans="1:5">
      <c r="A174" s="134" t="s">
        <v>259</v>
      </c>
      <c r="B174" s="123" t="s">
        <v>7580</v>
      </c>
      <c r="C174" s="123" t="s">
        <v>7580</v>
      </c>
      <c r="E174" s="123" t="s">
        <v>7782</v>
      </c>
    </row>
    <row r="175" spans="1:5">
      <c r="A175" s="134" t="s">
        <v>259</v>
      </c>
      <c r="B175" s="123" t="s">
        <v>7581</v>
      </c>
      <c r="C175" s="123" t="s">
        <v>7581</v>
      </c>
      <c r="E175" s="123" t="s">
        <v>7783</v>
      </c>
    </row>
    <row r="176" spans="1:5">
      <c r="A176" s="134" t="s">
        <v>259</v>
      </c>
      <c r="B176" s="123" t="s">
        <v>7582</v>
      </c>
      <c r="C176" s="123" t="s">
        <v>7582</v>
      </c>
      <c r="E176" s="123" t="s">
        <v>7784</v>
      </c>
    </row>
    <row r="177" spans="1:5">
      <c r="A177" s="134" t="s">
        <v>259</v>
      </c>
      <c r="B177" s="123" t="s">
        <v>7583</v>
      </c>
      <c r="C177" s="123" t="s">
        <v>7583</v>
      </c>
      <c r="E177" s="123" t="s">
        <v>7785</v>
      </c>
    </row>
    <row r="178" spans="1:5">
      <c r="A178" s="134" t="s">
        <v>259</v>
      </c>
      <c r="B178" s="123" t="s">
        <v>7584</v>
      </c>
      <c r="C178" s="123" t="s">
        <v>7584</v>
      </c>
      <c r="E178" s="123" t="s">
        <v>7786</v>
      </c>
    </row>
    <row r="179" spans="1:5">
      <c r="A179" s="134" t="s">
        <v>259</v>
      </c>
      <c r="B179" s="123" t="s">
        <v>7585</v>
      </c>
      <c r="C179" s="123" t="s">
        <v>7585</v>
      </c>
      <c r="E179" s="123" t="s">
        <v>7787</v>
      </c>
    </row>
    <row r="180" spans="1:5">
      <c r="A180" s="134" t="s">
        <v>259</v>
      </c>
      <c r="B180" s="123" t="s">
        <v>7586</v>
      </c>
      <c r="C180" s="123" t="s">
        <v>7586</v>
      </c>
      <c r="E180" s="123" t="s">
        <v>7788</v>
      </c>
    </row>
    <row r="181" spans="1:5">
      <c r="A181" s="134" t="s">
        <v>259</v>
      </c>
      <c r="B181" s="123" t="s">
        <v>7587</v>
      </c>
      <c r="C181" s="123" t="s">
        <v>7587</v>
      </c>
      <c r="E181" s="123" t="s">
        <v>7789</v>
      </c>
    </row>
    <row r="182" spans="1:5">
      <c r="A182" s="134" t="s">
        <v>259</v>
      </c>
      <c r="B182" s="123" t="s">
        <v>7588</v>
      </c>
      <c r="C182" s="123" t="s">
        <v>7588</v>
      </c>
      <c r="E182" s="123" t="s">
        <v>7790</v>
      </c>
    </row>
    <row r="183" spans="1:5">
      <c r="A183" s="134" t="s">
        <v>259</v>
      </c>
      <c r="B183" s="123" t="s">
        <v>7589</v>
      </c>
      <c r="C183" s="123" t="s">
        <v>7589</v>
      </c>
      <c r="E183" s="123" t="s">
        <v>7791</v>
      </c>
    </row>
    <row r="184" spans="1:5">
      <c r="A184" s="134" t="s">
        <v>259</v>
      </c>
      <c r="B184" s="123" t="s">
        <v>7590</v>
      </c>
      <c r="C184" s="123" t="s">
        <v>7590</v>
      </c>
      <c r="E184" s="123" t="s">
        <v>7792</v>
      </c>
    </row>
    <row r="185" spans="1:5">
      <c r="A185" s="134" t="s">
        <v>259</v>
      </c>
      <c r="B185" s="123" t="s">
        <v>7591</v>
      </c>
      <c r="C185" s="123" t="s">
        <v>7591</v>
      </c>
      <c r="E185" s="123" t="s">
        <v>7793</v>
      </c>
    </row>
    <row r="186" spans="1:5">
      <c r="A186" s="134" t="s">
        <v>259</v>
      </c>
      <c r="B186" s="123" t="s">
        <v>7592</v>
      </c>
      <c r="C186" s="123" t="s">
        <v>7592</v>
      </c>
      <c r="E186" s="123" t="s">
        <v>7794</v>
      </c>
    </row>
    <row r="187" spans="1:5">
      <c r="A187" s="134" t="s">
        <v>259</v>
      </c>
      <c r="B187" s="123" t="s">
        <v>7593</v>
      </c>
      <c r="C187" s="123" t="s">
        <v>7593</v>
      </c>
      <c r="E187" s="123" t="s">
        <v>7795</v>
      </c>
    </row>
    <row r="188" spans="1:5">
      <c r="A188" s="134" t="s">
        <v>259</v>
      </c>
      <c r="B188" s="123" t="s">
        <v>7594</v>
      </c>
      <c r="C188" s="123" t="s">
        <v>7594</v>
      </c>
      <c r="E188" s="123" t="s">
        <v>7796</v>
      </c>
    </row>
    <row r="189" spans="1:5">
      <c r="A189" s="134" t="s">
        <v>259</v>
      </c>
      <c r="B189" s="123" t="s">
        <v>7595</v>
      </c>
      <c r="C189" s="123" t="s">
        <v>7595</v>
      </c>
      <c r="E189" s="123" t="s">
        <v>7797</v>
      </c>
    </row>
    <row r="190" spans="1:5">
      <c r="A190" s="134" t="s">
        <v>259</v>
      </c>
      <c r="B190" s="123" t="s">
        <v>7596</v>
      </c>
      <c r="C190" s="123" t="s">
        <v>7596</v>
      </c>
      <c r="E190" s="123" t="s">
        <v>7798</v>
      </c>
    </row>
    <row r="191" spans="1:5">
      <c r="A191" s="134" t="s">
        <v>259</v>
      </c>
      <c r="B191" s="123" t="s">
        <v>7597</v>
      </c>
      <c r="C191" s="123" t="s">
        <v>7597</v>
      </c>
      <c r="E191" s="123" t="s">
        <v>7799</v>
      </c>
    </row>
    <row r="192" spans="1:5">
      <c r="A192" s="134" t="s">
        <v>259</v>
      </c>
      <c r="B192" s="123" t="s">
        <v>7598</v>
      </c>
      <c r="C192" s="123" t="s">
        <v>7598</v>
      </c>
      <c r="E192" s="123" t="s">
        <v>7800</v>
      </c>
    </row>
    <row r="193" spans="1:5">
      <c r="A193" s="134" t="s">
        <v>259</v>
      </c>
      <c r="B193" s="123" t="s">
        <v>7599</v>
      </c>
      <c r="C193" s="123" t="s">
        <v>7599</v>
      </c>
      <c r="E193" s="123" t="s">
        <v>7801</v>
      </c>
    </row>
    <row r="194" spans="1:5">
      <c r="A194" s="134" t="s">
        <v>259</v>
      </c>
      <c r="B194" s="123" t="s">
        <v>7600</v>
      </c>
      <c r="C194" s="123" t="s">
        <v>7600</v>
      </c>
      <c r="E194" s="123" t="s">
        <v>7802</v>
      </c>
    </row>
    <row r="195" spans="1:5">
      <c r="A195" s="134" t="s">
        <v>259</v>
      </c>
      <c r="B195" s="123" t="s">
        <v>7601</v>
      </c>
      <c r="C195" s="123" t="s">
        <v>7601</v>
      </c>
      <c r="E195" s="123" t="s">
        <v>7803</v>
      </c>
    </row>
    <row r="196" spans="1:5">
      <c r="A196" s="134" t="s">
        <v>259</v>
      </c>
      <c r="B196" s="123" t="s">
        <v>7602</v>
      </c>
      <c r="C196" s="123" t="s">
        <v>7602</v>
      </c>
      <c r="E196" s="123" t="s">
        <v>7804</v>
      </c>
    </row>
    <row r="197" spans="1:5">
      <c r="A197" s="134" t="s">
        <v>259</v>
      </c>
      <c r="B197" s="123" t="s">
        <v>7603</v>
      </c>
      <c r="C197" s="123" t="s">
        <v>7603</v>
      </c>
      <c r="E197" s="123" t="s">
        <v>7805</v>
      </c>
    </row>
    <row r="198" spans="1:5">
      <c r="A198" s="134" t="s">
        <v>259</v>
      </c>
      <c r="B198" s="123" t="s">
        <v>7604</v>
      </c>
      <c r="C198" s="123" t="s">
        <v>7604</v>
      </c>
      <c r="E198" s="123" t="s">
        <v>7806</v>
      </c>
    </row>
    <row r="199" spans="1:5">
      <c r="A199" s="134" t="s">
        <v>259</v>
      </c>
      <c r="B199" s="123" t="s">
        <v>7880</v>
      </c>
      <c r="C199" s="123" t="s">
        <v>7852</v>
      </c>
      <c r="E199" s="123" t="s">
        <v>7807</v>
      </c>
    </row>
    <row r="200" spans="1:5">
      <c r="A200" s="134" t="s">
        <v>259</v>
      </c>
      <c r="B200" s="123" t="s">
        <v>7881</v>
      </c>
      <c r="C200" s="123" t="s">
        <v>7853</v>
      </c>
      <c r="E200" s="123" t="s">
        <v>7808</v>
      </c>
    </row>
    <row r="201" spans="1:5">
      <c r="A201" s="134" t="s">
        <v>259</v>
      </c>
      <c r="B201" s="123" t="s">
        <v>7882</v>
      </c>
      <c r="C201" s="123" t="s">
        <v>7854</v>
      </c>
      <c r="E201" s="123" t="s">
        <v>7809</v>
      </c>
    </row>
    <row r="202" spans="1:5">
      <c r="A202" s="134" t="s">
        <v>259</v>
      </c>
      <c r="B202" s="123" t="s">
        <v>7883</v>
      </c>
      <c r="C202" s="123" t="s">
        <v>7855</v>
      </c>
      <c r="E202" s="123" t="s">
        <v>7810</v>
      </c>
    </row>
    <row r="203" spans="1:5">
      <c r="A203" s="134" t="s">
        <v>259</v>
      </c>
      <c r="B203" s="123" t="s">
        <v>7605</v>
      </c>
      <c r="C203" s="123" t="s">
        <v>7605</v>
      </c>
      <c r="E203" s="123" t="s">
        <v>7811</v>
      </c>
    </row>
    <row r="204" spans="1:5">
      <c r="A204" s="134" t="s">
        <v>259</v>
      </c>
      <c r="B204" s="123" t="s">
        <v>7606</v>
      </c>
      <c r="C204" s="123" t="s">
        <v>7606</v>
      </c>
      <c r="E204" s="123" t="s">
        <v>7812</v>
      </c>
    </row>
    <row r="205" spans="1:5">
      <c r="A205" s="134" t="s">
        <v>259</v>
      </c>
      <c r="B205" s="123" t="s">
        <v>7607</v>
      </c>
      <c r="C205" s="123" t="s">
        <v>7607</v>
      </c>
      <c r="E205" s="123" t="s">
        <v>7813</v>
      </c>
    </row>
    <row r="206" spans="1:5">
      <c r="A206" s="134" t="s">
        <v>259</v>
      </c>
      <c r="B206" s="123" t="s">
        <v>7608</v>
      </c>
      <c r="C206" s="123" t="s">
        <v>7608</v>
      </c>
      <c r="E206" s="123" t="s">
        <v>7814</v>
      </c>
    </row>
    <row r="207" spans="1:5">
      <c r="A207" s="134" t="s">
        <v>259</v>
      </c>
      <c r="B207" s="123" t="s">
        <v>7609</v>
      </c>
      <c r="C207" s="123" t="s">
        <v>7609</v>
      </c>
      <c r="E207" s="123" t="s">
        <v>7815</v>
      </c>
    </row>
    <row r="208" spans="1:5">
      <c r="A208" s="134" t="s">
        <v>259</v>
      </c>
      <c r="B208" s="123" t="s">
        <v>7856</v>
      </c>
      <c r="C208" s="123" t="s">
        <v>7856</v>
      </c>
      <c r="E208" s="123" t="s">
        <v>7897</v>
      </c>
    </row>
    <row r="209" spans="1:5">
      <c r="A209" s="134" t="s">
        <v>259</v>
      </c>
      <c r="B209" s="123" t="s">
        <v>7857</v>
      </c>
      <c r="C209" s="123" t="s">
        <v>7857</v>
      </c>
      <c r="E209" s="123" t="s">
        <v>7898</v>
      </c>
    </row>
    <row r="210" spans="1:5">
      <c r="E210" s="125"/>
    </row>
    <row r="211" spans="1:5">
      <c r="E211" s="125"/>
    </row>
    <row r="212" spans="1:5">
      <c r="E212" s="125"/>
    </row>
    <row r="213" spans="1:5">
      <c r="E213" s="125"/>
    </row>
  </sheetData>
  <sheetProtection selectLockedCells="1" selectUnlockedCells="1"/>
  <dataValidations count="2">
    <dataValidation type="list" allowBlank="1" showErrorMessage="1" sqref="D2:D17">
      <formula1>HoldingInstitution</formula1>
      <formula2>0</formula2>
    </dataValidation>
    <dataValidation type="list" allowBlank="1" showErrorMessage="1" sqref="A2:A209">
      <formula1>TaxonScientificName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3"/>
  <sheetViews>
    <sheetView zoomScale="89" zoomScaleNormal="89" workbookViewId="0">
      <selection activeCell="E11" sqref="E11"/>
    </sheetView>
  </sheetViews>
  <sheetFormatPr baseColWidth="10" defaultColWidth="10.7109375" defaultRowHeight="12.75"/>
  <cols>
    <col min="1" max="1" width="7.42578125" style="123" customWidth="1"/>
    <col min="2" max="2" width="11.7109375" style="123" customWidth="1"/>
    <col min="3" max="3" width="12.140625" style="123" customWidth="1"/>
    <col min="4" max="4" width="19.42578125" style="112" customWidth="1"/>
  </cols>
  <sheetData>
    <row r="1" spans="1:4">
      <c r="A1" s="114" t="s">
        <v>163</v>
      </c>
      <c r="B1" s="114" t="s">
        <v>164</v>
      </c>
      <c r="C1" s="114" t="s">
        <v>165</v>
      </c>
      <c r="D1" s="115" t="s">
        <v>166</v>
      </c>
    </row>
    <row r="2" spans="1:4">
      <c r="A2" s="125" t="s">
        <v>268</v>
      </c>
      <c r="B2" s="125" t="s">
        <v>269</v>
      </c>
      <c r="C2" s="125" t="s">
        <v>270</v>
      </c>
      <c r="D2" t="s">
        <v>8132</v>
      </c>
    </row>
    <row r="3" spans="1:4">
      <c r="A3" s="123" t="s">
        <v>268</v>
      </c>
      <c r="B3" s="123" t="s">
        <v>271</v>
      </c>
      <c r="C3" s="123" t="s">
        <v>272</v>
      </c>
      <c r="D3" t="s">
        <v>8130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M865"/>
  <sheetViews>
    <sheetView tabSelected="1" zoomScale="70" zoomScaleNormal="70" workbookViewId="0">
      <pane xSplit="4" ySplit="1" topLeftCell="P2" activePane="bottomRight" state="frozen"/>
      <selection pane="topRight" activeCell="E1" sqref="E1"/>
      <selection pane="bottomLeft" activeCell="A3" sqref="A3"/>
      <selection pane="bottomRight" activeCell="AC2" sqref="AC2:AC865"/>
    </sheetView>
  </sheetViews>
  <sheetFormatPr baseColWidth="10" defaultColWidth="11.28515625" defaultRowHeight="12.75"/>
  <cols>
    <col min="1" max="1" width="12.140625" style="191" customWidth="1"/>
    <col min="2" max="2" width="8.140625" style="195" bestFit="1" customWidth="1"/>
    <col min="3" max="3" width="5.42578125" style="195" customWidth="1"/>
    <col min="4" max="4" width="8.85546875" style="195" customWidth="1"/>
    <col min="5" max="5" width="7.140625" style="193" bestFit="1" customWidth="1"/>
    <col min="6" max="6" width="7" style="193" bestFit="1" customWidth="1"/>
    <col min="7" max="7" width="5.5703125" style="193" customWidth="1"/>
    <col min="8" max="8" width="5.42578125" style="193" customWidth="1"/>
    <col min="9" max="10" width="10.85546875" style="195" customWidth="1"/>
    <col min="11" max="11" width="9.28515625" style="176" customWidth="1"/>
    <col min="12" max="12" width="8.7109375" style="196" customWidth="1"/>
    <col min="13" max="13" width="23.28515625" style="196" bestFit="1" customWidth="1"/>
    <col min="14" max="14" width="11.42578125" style="196" customWidth="1"/>
    <col min="15" max="15" width="11.7109375" style="180" customWidth="1"/>
    <col min="16" max="16" width="11.140625" style="199" customWidth="1"/>
    <col min="17" max="17" width="13.7109375" style="180" customWidth="1"/>
    <col min="18" max="18" width="11.28515625" style="199"/>
    <col min="19" max="19" width="9.28515625" style="176" customWidth="1"/>
    <col min="20" max="20" width="11.42578125" style="196" customWidth="1"/>
    <col min="21" max="21" width="15.28515625" style="176" customWidth="1"/>
    <col min="22" max="22" width="8.7109375" style="199" customWidth="1"/>
    <col min="23" max="23" width="14.140625" style="180" customWidth="1"/>
    <col min="24" max="24" width="13.5703125" style="199" customWidth="1"/>
    <col min="25" max="28" width="11.42578125" style="196" customWidth="1"/>
    <col min="29" max="30" width="10.28515625" style="196" bestFit="1" customWidth="1"/>
    <col min="31" max="31" width="9.28515625" style="176" customWidth="1"/>
    <col min="32" max="32" width="16.85546875" style="196" bestFit="1" customWidth="1"/>
    <col min="33" max="33" width="9.28515625" style="176" customWidth="1"/>
    <col min="34" max="34" width="12.5703125" style="196" bestFit="1" customWidth="1"/>
    <col min="35" max="35" width="9.28515625" style="176" customWidth="1"/>
    <col min="36" max="36" width="16.42578125" style="196" bestFit="1" customWidth="1"/>
    <col min="37" max="37" width="18.85546875" style="180" bestFit="1" customWidth="1"/>
    <col min="38" max="38" width="18.140625" style="199" bestFit="1" customWidth="1"/>
    <col min="39" max="39" width="9.28515625" style="176" customWidth="1"/>
    <col min="40" max="40" width="18" style="199" bestFit="1" customWidth="1"/>
    <col min="41" max="41" width="18.5703125" style="180" bestFit="1" customWidth="1"/>
    <col min="42" max="42" width="18" style="180" bestFit="1" customWidth="1"/>
    <col min="43" max="43" width="20.28515625" style="180" bestFit="1" customWidth="1"/>
    <col min="44" max="44" width="19.7109375" style="180" bestFit="1" customWidth="1"/>
    <col min="45" max="45" width="24.5703125" style="180" bestFit="1" customWidth="1"/>
    <col min="46" max="46" width="23.7109375" style="180" bestFit="1" customWidth="1"/>
    <col min="47" max="47" width="19" style="180" bestFit="1" customWidth="1"/>
    <col min="48" max="48" width="18.28515625" style="180" bestFit="1" customWidth="1"/>
    <col min="49" max="49" width="19" style="180" bestFit="1" customWidth="1"/>
    <col min="50" max="50" width="18.28515625" style="180" bestFit="1" customWidth="1"/>
    <col min="51" max="51" width="22.140625" style="180" bestFit="1" customWidth="1"/>
    <col min="52" max="52" width="21.42578125" style="180" bestFit="1" customWidth="1"/>
    <col min="53" max="53" width="17.140625" style="180" bestFit="1" customWidth="1"/>
    <col min="54" max="54" width="16.42578125" style="180" bestFit="1" customWidth="1"/>
    <col min="55" max="55" width="27.140625" style="180" bestFit="1" customWidth="1"/>
    <col min="56" max="56" width="26.42578125" style="180" bestFit="1" customWidth="1"/>
    <col min="57" max="57" width="12.28515625" style="179" bestFit="1" customWidth="1"/>
    <col min="58" max="58" width="11.5703125" style="179" bestFit="1" customWidth="1"/>
    <col min="59" max="59" width="12.85546875" style="178" bestFit="1" customWidth="1"/>
    <col min="60" max="60" width="12.140625" style="178" bestFit="1" customWidth="1"/>
    <col min="61" max="61" width="13.7109375" style="178" bestFit="1" customWidth="1"/>
    <col min="62" max="62" width="12.5703125" style="178" bestFit="1" customWidth="1"/>
    <col min="63" max="63" width="13.42578125" style="178" bestFit="1" customWidth="1"/>
    <col min="64" max="64" width="12.7109375" style="178" bestFit="1" customWidth="1"/>
    <col min="65" max="65" width="11.28515625" style="178"/>
    <col min="66" max="66" width="10.5703125" style="178" bestFit="1" customWidth="1"/>
    <col min="67" max="67" width="14" style="178" bestFit="1" customWidth="1"/>
    <col min="68" max="68" width="13.28515625" style="178" bestFit="1" customWidth="1"/>
    <col min="69" max="69" width="15.28515625" style="178" bestFit="1" customWidth="1"/>
    <col min="70" max="70" width="14.5703125" style="178" bestFit="1" customWidth="1"/>
    <col min="71" max="71" width="7.42578125" style="178" bestFit="1" customWidth="1"/>
    <col min="72" max="72" width="6.7109375" style="178" bestFit="1" customWidth="1"/>
    <col min="73" max="73" width="7.85546875" style="178" bestFit="1" customWidth="1"/>
    <col min="74" max="74" width="7.140625" style="178" bestFit="1" customWidth="1"/>
    <col min="75" max="75" width="9.5703125" style="178" bestFit="1" customWidth="1"/>
    <col min="76" max="76" width="8.85546875" style="178" bestFit="1" customWidth="1"/>
    <col min="77" max="77" width="19.7109375" style="178" bestFit="1" customWidth="1"/>
    <col min="78" max="78" width="19" style="178" bestFit="1" customWidth="1"/>
    <col min="79" max="79" width="13" style="179" bestFit="1" customWidth="1"/>
    <col min="80" max="80" width="12.28515625" style="179" bestFit="1" customWidth="1"/>
    <col min="81" max="81" width="20.140625" style="178" bestFit="1" customWidth="1"/>
    <col min="82" max="82" width="19.42578125" style="178" bestFit="1" customWidth="1"/>
    <col min="83" max="83" width="18.7109375" style="178" bestFit="1" customWidth="1"/>
    <col min="84" max="84" width="18" style="178" bestFit="1" customWidth="1"/>
    <col min="85" max="85" width="16.42578125" style="179" bestFit="1" customWidth="1"/>
    <col min="86" max="86" width="15.5703125" style="179" bestFit="1" customWidth="1"/>
    <col min="87" max="87" width="22" style="174" bestFit="1" customWidth="1"/>
    <col min="88" max="88" width="6" style="178" bestFit="1" customWidth="1"/>
    <col min="89" max="89" width="12.140625" style="178" bestFit="1" customWidth="1"/>
    <col min="90" max="90" width="17.7109375" style="174" bestFit="1" customWidth="1"/>
    <col min="91" max="91" width="8.42578125" style="174" customWidth="1"/>
    <col min="92" max="16384" width="11.28515625" style="178"/>
  </cols>
  <sheetData>
    <row r="1" spans="1:91" s="190" customFormat="1" ht="13.5" thickBot="1">
      <c r="A1" s="186" t="s">
        <v>150</v>
      </c>
      <c r="B1" s="187" t="s">
        <v>171</v>
      </c>
      <c r="C1" s="187" t="s">
        <v>187</v>
      </c>
      <c r="D1" s="187" t="s">
        <v>276</v>
      </c>
      <c r="E1" s="188" t="s">
        <v>21</v>
      </c>
      <c r="F1" s="188" t="s">
        <v>22</v>
      </c>
      <c r="G1" s="188" t="s">
        <v>192</v>
      </c>
      <c r="H1" s="188" t="s">
        <v>193</v>
      </c>
      <c r="I1" s="138" t="s">
        <v>8055</v>
      </c>
      <c r="J1" s="212" t="s">
        <v>8056</v>
      </c>
      <c r="K1" s="138" t="s">
        <v>8057</v>
      </c>
      <c r="L1" s="152" t="s">
        <v>8058</v>
      </c>
      <c r="M1" s="138" t="s">
        <v>8059</v>
      </c>
      <c r="N1" s="152" t="s">
        <v>8060</v>
      </c>
      <c r="O1" s="171" t="s">
        <v>8061</v>
      </c>
      <c r="P1" s="172" t="s">
        <v>8062</v>
      </c>
      <c r="Q1" s="171" t="s">
        <v>8063</v>
      </c>
      <c r="R1" s="172" t="s">
        <v>8064</v>
      </c>
      <c r="S1" s="138" t="s">
        <v>286</v>
      </c>
      <c r="T1" s="152" t="s">
        <v>287</v>
      </c>
      <c r="U1" s="138" t="s">
        <v>8065</v>
      </c>
      <c r="V1" s="172" t="s">
        <v>8066</v>
      </c>
      <c r="W1" s="171" t="s">
        <v>8067</v>
      </c>
      <c r="X1" s="172" t="s">
        <v>8068</v>
      </c>
      <c r="Y1" s="152" t="s">
        <v>284</v>
      </c>
      <c r="Z1" s="152" t="s">
        <v>285</v>
      </c>
      <c r="AA1" s="152" t="s">
        <v>280</v>
      </c>
      <c r="AB1" s="152" t="s">
        <v>281</v>
      </c>
      <c r="AC1" s="152" t="s">
        <v>277</v>
      </c>
      <c r="AD1" s="152" t="s">
        <v>8069</v>
      </c>
      <c r="AE1" s="138" t="s">
        <v>8070</v>
      </c>
      <c r="AF1" s="152" t="s">
        <v>8071</v>
      </c>
      <c r="AG1" s="138" t="s">
        <v>278</v>
      </c>
      <c r="AH1" s="152" t="s">
        <v>279</v>
      </c>
      <c r="AI1" s="138" t="s">
        <v>8072</v>
      </c>
      <c r="AJ1" s="152" t="s">
        <v>8073</v>
      </c>
      <c r="AK1" s="171" t="s">
        <v>8074</v>
      </c>
      <c r="AL1" s="172" t="s">
        <v>8075</v>
      </c>
      <c r="AM1" s="138" t="s">
        <v>8076</v>
      </c>
      <c r="AN1" s="172" t="s">
        <v>8077</v>
      </c>
      <c r="AO1" s="172" t="s">
        <v>8078</v>
      </c>
      <c r="AP1" s="172" t="s">
        <v>8079</v>
      </c>
      <c r="AQ1" s="172" t="s">
        <v>8080</v>
      </c>
      <c r="AR1" s="172" t="s">
        <v>8081</v>
      </c>
      <c r="AS1" s="172" t="s">
        <v>8082</v>
      </c>
      <c r="AT1" s="172" t="s">
        <v>8083</v>
      </c>
      <c r="AU1" s="172" t="s">
        <v>8084</v>
      </c>
      <c r="AV1" s="172" t="s">
        <v>8085</v>
      </c>
      <c r="AW1" s="172" t="s">
        <v>8086</v>
      </c>
      <c r="AX1" s="172" t="s">
        <v>8087</v>
      </c>
      <c r="AY1" s="189" t="s">
        <v>8088</v>
      </c>
      <c r="AZ1" s="189" t="s">
        <v>8089</v>
      </c>
      <c r="BA1" s="189" t="s">
        <v>8090</v>
      </c>
      <c r="BB1" s="189" t="s">
        <v>8091</v>
      </c>
      <c r="BC1" s="189" t="s">
        <v>8092</v>
      </c>
      <c r="BD1" s="180" t="s">
        <v>8093</v>
      </c>
      <c r="BE1" s="179" t="s">
        <v>8094</v>
      </c>
      <c r="BF1" s="179" t="s">
        <v>8095</v>
      </c>
      <c r="BG1" s="190" t="s">
        <v>8096</v>
      </c>
      <c r="BH1" s="190" t="s">
        <v>8097</v>
      </c>
      <c r="BI1" s="190" t="s">
        <v>8098</v>
      </c>
      <c r="BJ1" s="190" t="s">
        <v>8099</v>
      </c>
      <c r="BK1" s="190" t="s">
        <v>8100</v>
      </c>
      <c r="BL1" s="190" t="s">
        <v>8101</v>
      </c>
      <c r="BM1" s="190" t="s">
        <v>8102</v>
      </c>
      <c r="BN1" s="190" t="s">
        <v>8103</v>
      </c>
      <c r="BO1" s="190" t="s">
        <v>8104</v>
      </c>
      <c r="BP1" s="190" t="s">
        <v>8105</v>
      </c>
      <c r="BQ1" s="190" t="s">
        <v>8106</v>
      </c>
      <c r="BR1" s="190" t="s">
        <v>8107</v>
      </c>
      <c r="BS1" s="190" t="s">
        <v>282</v>
      </c>
      <c r="BT1" s="190" t="s">
        <v>283</v>
      </c>
      <c r="BU1" s="190" t="s">
        <v>8108</v>
      </c>
      <c r="BV1" s="190" t="s">
        <v>8109</v>
      </c>
      <c r="BW1" s="190" t="s">
        <v>8110</v>
      </c>
      <c r="BX1" s="190" t="s">
        <v>8111</v>
      </c>
      <c r="BY1" s="190" t="s">
        <v>8112</v>
      </c>
      <c r="BZ1" s="190" t="s">
        <v>8113</v>
      </c>
      <c r="CA1" s="179" t="s">
        <v>8114</v>
      </c>
      <c r="CB1" s="179" t="s">
        <v>8115</v>
      </c>
      <c r="CC1" s="190" t="s">
        <v>8116</v>
      </c>
      <c r="CD1" s="190" t="s">
        <v>8117</v>
      </c>
      <c r="CE1" s="190" t="s">
        <v>8118</v>
      </c>
      <c r="CF1" s="190" t="s">
        <v>8119</v>
      </c>
      <c r="CG1" s="179" t="s">
        <v>8120</v>
      </c>
      <c r="CH1" s="179" t="s">
        <v>8121</v>
      </c>
      <c r="CI1" s="174" t="s">
        <v>8036</v>
      </c>
      <c r="CJ1" s="190" t="s">
        <v>7862</v>
      </c>
      <c r="CK1" s="190" t="s">
        <v>8043</v>
      </c>
      <c r="CL1" s="174" t="s">
        <v>8122</v>
      </c>
      <c r="CM1" s="174" t="s">
        <v>8123</v>
      </c>
    </row>
    <row r="2" spans="1:91">
      <c r="A2" s="191" t="s">
        <v>7669</v>
      </c>
      <c r="B2" s="192" t="s">
        <v>269</v>
      </c>
      <c r="C2" s="192" t="s">
        <v>417</v>
      </c>
      <c r="D2" s="192" t="s">
        <v>8369</v>
      </c>
      <c r="E2" s="193">
        <v>214</v>
      </c>
      <c r="F2" s="193">
        <v>1</v>
      </c>
      <c r="I2" s="194"/>
      <c r="K2" s="176">
        <v>0</v>
      </c>
      <c r="M2" s="197">
        <v>3.95</v>
      </c>
      <c r="N2" s="198">
        <v>41822</v>
      </c>
      <c r="S2" s="176">
        <f>(AE2*BS2)/100</f>
        <v>12.879968796635467</v>
      </c>
      <c r="T2" s="198"/>
      <c r="U2" s="176">
        <v>16.2</v>
      </c>
      <c r="Y2" s="200">
        <f>(AE2*BU2)/100</f>
        <v>4.3272622439289119</v>
      </c>
      <c r="Z2" s="198"/>
      <c r="AA2" s="200"/>
      <c r="AB2" s="198"/>
      <c r="AC2" s="378">
        <f>(M2/16.2)*(100-CC2)</f>
        <v>23.163580246913583</v>
      </c>
      <c r="AE2" s="176">
        <f>(M2/U2)*((100-CC2)/(100-9))*100</f>
        <v>25.454483787817129</v>
      </c>
      <c r="AF2" s="198">
        <v>41822</v>
      </c>
      <c r="AG2" s="176">
        <v>4.2</v>
      </c>
      <c r="AH2" s="196">
        <v>41927</v>
      </c>
      <c r="AI2" s="176">
        <v>120</v>
      </c>
      <c r="AM2" s="176">
        <v>84</v>
      </c>
      <c r="BG2" s="201">
        <v>0</v>
      </c>
      <c r="BI2" s="201">
        <v>4.8</v>
      </c>
      <c r="BK2" s="201">
        <v>1.7</v>
      </c>
      <c r="BM2" s="201">
        <v>62.4</v>
      </c>
      <c r="BO2" s="201">
        <v>19</v>
      </c>
      <c r="BQ2" s="201">
        <v>8.8000000000000007</v>
      </c>
      <c r="BS2" s="201">
        <v>50.6</v>
      </c>
      <c r="BU2" s="201">
        <v>17</v>
      </c>
      <c r="BW2" s="201">
        <v>11.5</v>
      </c>
      <c r="BY2" s="178">
        <v>6.5</v>
      </c>
      <c r="CC2" s="201">
        <v>5</v>
      </c>
      <c r="CD2" s="198">
        <v>41822</v>
      </c>
      <c r="CI2" s="174" t="s">
        <v>9335</v>
      </c>
      <c r="CL2" s="174">
        <v>1</v>
      </c>
    </row>
    <row r="3" spans="1:91">
      <c r="A3" s="191" t="s">
        <v>7623</v>
      </c>
      <c r="B3" s="192" t="s">
        <v>269</v>
      </c>
      <c r="C3" s="192" t="s">
        <v>417</v>
      </c>
      <c r="D3" s="192" t="s">
        <v>8185</v>
      </c>
      <c r="E3" s="193">
        <v>214</v>
      </c>
      <c r="F3" s="193">
        <v>2</v>
      </c>
      <c r="I3" s="326"/>
      <c r="J3" s="194"/>
      <c r="K3" s="176">
        <v>8</v>
      </c>
      <c r="M3" s="197">
        <v>0.35</v>
      </c>
      <c r="N3" s="198">
        <v>41822</v>
      </c>
      <c r="O3" s="179"/>
      <c r="S3" s="176">
        <f>(AE3*BS3)/100</f>
        <v>1.1140170940170939</v>
      </c>
      <c r="T3" s="198"/>
      <c r="U3" s="176">
        <v>16.2</v>
      </c>
      <c r="Y3" s="200">
        <f>(AE3*BU3)/100</f>
        <v>0.40007359924026598</v>
      </c>
      <c r="Z3" s="198"/>
      <c r="AA3" s="200"/>
      <c r="AB3" s="198"/>
      <c r="AC3" s="378">
        <f t="shared" ref="AC3:AC66" si="0">(M3/16.2)*(100-CC3)</f>
        <v>2.0114197530864195</v>
      </c>
      <c r="AE3" s="176">
        <f>(M3/U3)*((100-CC3)/(100-9))*100</f>
        <v>2.2103513770180436</v>
      </c>
      <c r="AF3" s="198">
        <v>41822</v>
      </c>
      <c r="AG3" s="176">
        <v>4.5</v>
      </c>
      <c r="AH3" s="196">
        <v>41927</v>
      </c>
      <c r="AI3" s="176">
        <v>150</v>
      </c>
      <c r="AM3" s="176">
        <v>78</v>
      </c>
      <c r="BG3" s="201">
        <v>12</v>
      </c>
      <c r="BI3" s="201">
        <v>4.5</v>
      </c>
      <c r="BK3" s="201">
        <v>1.5</v>
      </c>
      <c r="BM3" s="201">
        <v>66.599999999999994</v>
      </c>
      <c r="BO3" s="201">
        <v>19.100000000000001</v>
      </c>
      <c r="BQ3" s="201">
        <v>9.4</v>
      </c>
      <c r="BS3" s="201">
        <v>50.4</v>
      </c>
      <c r="BU3" s="201">
        <v>18.100000000000001</v>
      </c>
      <c r="BW3" s="201">
        <v>18.5</v>
      </c>
      <c r="BY3" s="178">
        <v>6.2999999999999972</v>
      </c>
      <c r="CC3" s="201">
        <v>6.9</v>
      </c>
      <c r="CD3" s="198">
        <v>41822</v>
      </c>
      <c r="CI3" s="174" t="s">
        <v>9349</v>
      </c>
      <c r="CL3" s="174">
        <v>9</v>
      </c>
    </row>
    <row r="4" spans="1:91">
      <c r="A4" s="191" t="s">
        <v>7732</v>
      </c>
      <c r="B4" s="192" t="s">
        <v>269</v>
      </c>
      <c r="C4" s="192" t="s">
        <v>417</v>
      </c>
      <c r="D4" s="192" t="s">
        <v>8621</v>
      </c>
      <c r="E4" s="193">
        <v>214</v>
      </c>
      <c r="F4" s="193">
        <v>3</v>
      </c>
      <c r="I4" s="194"/>
      <c r="J4" s="194"/>
      <c r="K4" s="176">
        <v>8</v>
      </c>
      <c r="M4" s="197">
        <v>4.4000000000000004</v>
      </c>
      <c r="N4" s="198">
        <v>41822</v>
      </c>
      <c r="S4" s="176">
        <f>(AE4*BS4)/100</f>
        <v>14.973371320037986</v>
      </c>
      <c r="T4" s="198"/>
      <c r="U4" s="176">
        <v>16.2</v>
      </c>
      <c r="Y4" s="200">
        <f>(AE4*BU4)/100</f>
        <v>4.672142178808846</v>
      </c>
      <c r="Z4" s="198"/>
      <c r="AA4" s="200"/>
      <c r="AB4" s="198"/>
      <c r="AC4" s="378">
        <f t="shared" si="0"/>
        <v>25.61234567901235</v>
      </c>
      <c r="AE4" s="176">
        <f>(M4/U4)*((100-CC4)/(100-9))*100</f>
        <v>28.145434812101477</v>
      </c>
      <c r="AF4" s="198">
        <v>41822</v>
      </c>
      <c r="AG4" s="176">
        <v>4.9000000000000004</v>
      </c>
      <c r="AH4" s="196">
        <v>41927</v>
      </c>
      <c r="AI4" s="176">
        <v>150</v>
      </c>
      <c r="AM4" s="176">
        <v>78</v>
      </c>
      <c r="BG4" s="201">
        <v>1.3</v>
      </c>
      <c r="BI4" s="201">
        <v>4.5999999999999996</v>
      </c>
      <c r="BK4" s="201">
        <v>1.5</v>
      </c>
      <c r="BM4" s="201">
        <v>63.2</v>
      </c>
      <c r="BO4" s="201">
        <v>19</v>
      </c>
      <c r="BQ4" s="201">
        <v>9.3000000000000007</v>
      </c>
      <c r="BS4" s="201">
        <v>53.2</v>
      </c>
      <c r="BU4" s="201">
        <v>16.600000000000001</v>
      </c>
      <c r="BW4" s="201">
        <v>18.2</v>
      </c>
      <c r="BY4" s="178">
        <v>6.2999999999999972</v>
      </c>
      <c r="CC4" s="201">
        <v>5.7</v>
      </c>
      <c r="CD4" s="198">
        <v>41822</v>
      </c>
      <c r="CI4" s="174" t="s">
        <v>9347</v>
      </c>
      <c r="CL4" s="174">
        <v>3</v>
      </c>
    </row>
    <row r="5" spans="1:91">
      <c r="A5" s="191" t="s">
        <v>7675</v>
      </c>
      <c r="B5" s="192" t="s">
        <v>269</v>
      </c>
      <c r="C5" s="192" t="s">
        <v>417</v>
      </c>
      <c r="D5" s="192" t="s">
        <v>8393</v>
      </c>
      <c r="E5" s="193">
        <v>214</v>
      </c>
      <c r="F5" s="193">
        <v>4</v>
      </c>
      <c r="I5" s="194"/>
      <c r="K5" s="176">
        <v>8</v>
      </c>
      <c r="M5" s="197">
        <v>4.2</v>
      </c>
      <c r="N5" s="198">
        <v>41822</v>
      </c>
      <c r="S5" s="176">
        <f>(AE5*BS5)/100</f>
        <v>14.005185185185187</v>
      </c>
      <c r="T5" s="198"/>
      <c r="U5" s="176">
        <v>16.2</v>
      </c>
      <c r="Y5" s="200">
        <f>(AE5*BU5)/100</f>
        <v>4.5962962962962974</v>
      </c>
      <c r="Z5" s="198"/>
      <c r="AA5" s="200"/>
      <c r="AB5" s="198"/>
      <c r="AC5" s="378">
        <f t="shared" si="0"/>
        <v>24.603703703703708</v>
      </c>
      <c r="AE5" s="176">
        <f>(M5/U5)*((100-CC5)/(100-9))*100</f>
        <v>27.037037037037042</v>
      </c>
      <c r="AF5" s="198">
        <v>41822</v>
      </c>
      <c r="AG5" s="176">
        <v>4.8</v>
      </c>
      <c r="AH5" s="196">
        <v>41927</v>
      </c>
      <c r="AI5" s="176">
        <v>140</v>
      </c>
      <c r="AM5" s="176">
        <v>78</v>
      </c>
      <c r="BG5" s="201">
        <v>1.8</v>
      </c>
      <c r="BI5" s="201">
        <v>3.9</v>
      </c>
      <c r="BK5" s="201">
        <v>1.5</v>
      </c>
      <c r="BM5" s="201">
        <v>62.6</v>
      </c>
      <c r="BO5" s="201">
        <v>17.7</v>
      </c>
      <c r="BQ5" s="201">
        <v>8.8000000000000007</v>
      </c>
      <c r="BS5" s="201">
        <v>51.8</v>
      </c>
      <c r="BU5" s="201">
        <v>17</v>
      </c>
      <c r="BW5" s="201">
        <v>18.2</v>
      </c>
      <c r="BY5" s="178">
        <v>6.5999999999999943</v>
      </c>
      <c r="CC5" s="201">
        <v>5.0999999999999996</v>
      </c>
      <c r="CD5" s="198">
        <v>41822</v>
      </c>
      <c r="CI5" s="174" t="s">
        <v>9374</v>
      </c>
      <c r="CL5" s="174">
        <v>1</v>
      </c>
    </row>
    <row r="6" spans="1:91">
      <c r="A6" s="191" t="s">
        <v>7663</v>
      </c>
      <c r="B6" s="192" t="s">
        <v>269</v>
      </c>
      <c r="C6" s="192" t="s">
        <v>417</v>
      </c>
      <c r="D6" s="192" t="s">
        <v>8345</v>
      </c>
      <c r="E6" s="193">
        <v>214</v>
      </c>
      <c r="F6" s="193">
        <v>5</v>
      </c>
      <c r="I6" s="194"/>
      <c r="K6" s="176">
        <v>8</v>
      </c>
      <c r="M6" s="197">
        <v>2.9</v>
      </c>
      <c r="N6" s="198">
        <v>41822</v>
      </c>
      <c r="S6" s="176">
        <f>(AE6*BS6)/100</f>
        <v>9.4163641296974614</v>
      </c>
      <c r="T6" s="198"/>
      <c r="U6" s="176">
        <v>16.2</v>
      </c>
      <c r="Y6" s="200">
        <f>(AE6*BU6)/100</f>
        <v>3.033334690001356</v>
      </c>
      <c r="Z6" s="198"/>
      <c r="AA6" s="200"/>
      <c r="AB6" s="198"/>
      <c r="AC6" s="378">
        <f t="shared" si="0"/>
        <v>16.934567901234566</v>
      </c>
      <c r="AE6" s="176">
        <f>(M6/U6)*((100-CC6)/(100-9))*100</f>
        <v>18.60941527608194</v>
      </c>
      <c r="AF6" s="198">
        <v>41822</v>
      </c>
      <c r="AG6" s="176">
        <v>4.4000000000000004</v>
      </c>
      <c r="AH6" s="196">
        <v>41927</v>
      </c>
      <c r="AI6" s="176">
        <v>145</v>
      </c>
      <c r="AM6" s="176">
        <v>80</v>
      </c>
      <c r="BG6" s="201">
        <v>15.8</v>
      </c>
      <c r="BI6" s="201">
        <v>5</v>
      </c>
      <c r="BK6" s="201">
        <v>1.3</v>
      </c>
      <c r="BM6" s="201">
        <v>53.1</v>
      </c>
      <c r="BO6" s="201">
        <v>19.5</v>
      </c>
      <c r="BQ6" s="201">
        <v>9.5</v>
      </c>
      <c r="BS6" s="201">
        <v>50.6</v>
      </c>
      <c r="BU6" s="201">
        <v>16.3</v>
      </c>
      <c r="BW6" s="201">
        <v>27.4</v>
      </c>
      <c r="BY6" s="178">
        <v>6.7000000000000028</v>
      </c>
      <c r="CC6" s="201">
        <v>5.4</v>
      </c>
      <c r="CD6" s="198">
        <v>41822</v>
      </c>
      <c r="CI6" s="174" t="s">
        <v>9382</v>
      </c>
      <c r="CL6" s="174">
        <v>1</v>
      </c>
    </row>
    <row r="7" spans="1:91" ht="12" customHeight="1">
      <c r="A7" s="191" t="s">
        <v>7638</v>
      </c>
      <c r="B7" s="192" t="s">
        <v>269</v>
      </c>
      <c r="C7" s="192" t="s">
        <v>417</v>
      </c>
      <c r="D7" s="192" t="s">
        <v>8245</v>
      </c>
      <c r="E7" s="193">
        <v>214</v>
      </c>
      <c r="F7" s="193">
        <v>6</v>
      </c>
      <c r="I7" s="194"/>
      <c r="K7" s="176">
        <v>8</v>
      </c>
      <c r="M7" s="197">
        <v>2.25</v>
      </c>
      <c r="N7" s="198">
        <v>41822</v>
      </c>
      <c r="S7" s="176">
        <f>(AE7*BS7)/100</f>
        <v>7.144688644688646</v>
      </c>
      <c r="T7" s="198"/>
      <c r="U7" s="176">
        <v>16.2</v>
      </c>
      <c r="Y7" s="200">
        <f>(AE7*BU7)/100</f>
        <v>2.6254578754578763</v>
      </c>
      <c r="Z7" s="198"/>
      <c r="AA7" s="200"/>
      <c r="AB7" s="198"/>
      <c r="AC7" s="378">
        <f t="shared" si="0"/>
        <v>13.055555555555555</v>
      </c>
      <c r="AE7" s="176">
        <f>(M7/U7)*((100-CC7)/(100-9))*100</f>
        <v>14.346764346764349</v>
      </c>
      <c r="AF7" s="198">
        <v>41822</v>
      </c>
      <c r="AG7" s="176">
        <v>4.5999999999999996</v>
      </c>
      <c r="AH7" s="196">
        <v>41927</v>
      </c>
      <c r="AI7" s="176">
        <v>130</v>
      </c>
      <c r="AM7" s="176">
        <v>85</v>
      </c>
      <c r="BG7" s="201">
        <v>51.8</v>
      </c>
      <c r="BI7" s="201">
        <v>4.5999999999999996</v>
      </c>
      <c r="BK7" s="201">
        <v>0.7</v>
      </c>
      <c r="BM7" s="201">
        <v>28.6</v>
      </c>
      <c r="BO7" s="201">
        <v>16</v>
      </c>
      <c r="BQ7" s="201">
        <v>9.6999999999999993</v>
      </c>
      <c r="BS7" s="201">
        <v>49.8</v>
      </c>
      <c r="BU7" s="201">
        <v>18.3</v>
      </c>
      <c r="BW7" s="201">
        <v>82.1</v>
      </c>
      <c r="BY7" s="178">
        <v>6.2000000000000028</v>
      </c>
      <c r="CC7" s="201">
        <v>6</v>
      </c>
      <c r="CD7" s="198">
        <v>41822</v>
      </c>
      <c r="CI7" s="174" t="s">
        <v>9373</v>
      </c>
      <c r="CL7" s="174">
        <v>9</v>
      </c>
    </row>
    <row r="8" spans="1:91">
      <c r="A8" s="191" t="s">
        <v>7815</v>
      </c>
      <c r="B8" s="192" t="s">
        <v>271</v>
      </c>
      <c r="C8" s="192" t="s">
        <v>8998</v>
      </c>
      <c r="D8" s="192" t="s">
        <v>8955</v>
      </c>
      <c r="E8" s="193">
        <v>214</v>
      </c>
      <c r="F8" s="193">
        <v>7</v>
      </c>
      <c r="I8" s="194"/>
      <c r="K8" s="176">
        <v>7</v>
      </c>
      <c r="M8" s="197">
        <v>5.8</v>
      </c>
      <c r="N8" s="198">
        <v>41822</v>
      </c>
      <c r="S8" s="176">
        <f>(AE8*BS8)/100</f>
        <v>18.53497761497761</v>
      </c>
      <c r="T8" s="198"/>
      <c r="U8" s="176">
        <v>16.2</v>
      </c>
      <c r="Y8" s="200">
        <f>(AE8*BU8)/100</f>
        <v>6.0666693800027121</v>
      </c>
      <c r="Z8" s="198"/>
      <c r="AA8" s="200"/>
      <c r="AB8" s="198"/>
      <c r="AC8" s="378">
        <f t="shared" si="0"/>
        <v>33.869135802469131</v>
      </c>
      <c r="AE8" s="176">
        <f>(M8/U8)*((100-CC8)/(100-9))*100</f>
        <v>37.21883055216388</v>
      </c>
      <c r="AF8" s="198">
        <v>41822</v>
      </c>
      <c r="AG8" s="176">
        <v>4.5999999999999996</v>
      </c>
      <c r="AH8" s="196">
        <v>41927</v>
      </c>
      <c r="AI8" s="176">
        <v>145</v>
      </c>
      <c r="AM8" s="176">
        <v>86</v>
      </c>
      <c r="BG8" s="201">
        <v>0</v>
      </c>
      <c r="BI8" s="201">
        <v>5</v>
      </c>
      <c r="BK8" s="201">
        <v>1.7</v>
      </c>
      <c r="BM8" s="201">
        <v>64.8</v>
      </c>
      <c r="BO8" s="201">
        <v>21.1</v>
      </c>
      <c r="BQ8" s="201">
        <v>6.7</v>
      </c>
      <c r="BS8" s="201">
        <v>49.8</v>
      </c>
      <c r="BU8" s="201">
        <v>16.3</v>
      </c>
      <c r="BW8" s="201">
        <v>11.2</v>
      </c>
      <c r="BY8" s="178">
        <v>6.4000000000000057</v>
      </c>
      <c r="CC8" s="201">
        <v>5.4</v>
      </c>
      <c r="CD8" s="198">
        <v>41822</v>
      </c>
      <c r="CI8" s="174" t="s">
        <v>9355</v>
      </c>
      <c r="CL8" s="174">
        <v>1</v>
      </c>
    </row>
    <row r="9" spans="1:91">
      <c r="A9" s="191" t="s">
        <v>7793</v>
      </c>
      <c r="B9" s="192" t="s">
        <v>271</v>
      </c>
      <c r="C9" s="192" t="s">
        <v>8998</v>
      </c>
      <c r="D9" s="192" t="s">
        <v>8867</v>
      </c>
      <c r="E9" s="193">
        <v>214</v>
      </c>
      <c r="F9" s="193">
        <v>8</v>
      </c>
      <c r="I9" s="194"/>
      <c r="K9" s="176">
        <v>8</v>
      </c>
      <c r="M9" s="197">
        <v>6.65</v>
      </c>
      <c r="N9" s="198">
        <v>41822</v>
      </c>
      <c r="S9" s="176">
        <f>(AE9*BS9)/100</f>
        <v>21.535227920227918</v>
      </c>
      <c r="T9" s="198"/>
      <c r="U9" s="176">
        <v>16.2</v>
      </c>
      <c r="Y9" s="200">
        <f>(AE9*BU9)/100</f>
        <v>7.2928062678062666</v>
      </c>
      <c r="Z9" s="198"/>
      <c r="AA9" s="200"/>
      <c r="AB9" s="198"/>
      <c r="AC9" s="378">
        <f t="shared" si="0"/>
        <v>39.037962962962965</v>
      </c>
      <c r="AE9" s="176">
        <f>(M9/U9)*((100-CC9)/(100-9))*100</f>
        <v>42.898860398860393</v>
      </c>
      <c r="AF9" s="198">
        <v>41822</v>
      </c>
      <c r="AG9" s="176">
        <v>4.9000000000000004</v>
      </c>
      <c r="AH9" s="196">
        <v>41927</v>
      </c>
      <c r="AI9" s="176">
        <v>160</v>
      </c>
      <c r="AM9" s="176">
        <v>82</v>
      </c>
      <c r="BG9" s="201">
        <v>0</v>
      </c>
      <c r="BI9" s="201">
        <v>4.5999999999999996</v>
      </c>
      <c r="BK9" s="201">
        <v>1.6</v>
      </c>
      <c r="BM9" s="201">
        <v>63.9</v>
      </c>
      <c r="BO9" s="201">
        <v>21</v>
      </c>
      <c r="BQ9" s="201">
        <v>8</v>
      </c>
      <c r="BS9" s="201">
        <v>50.2</v>
      </c>
      <c r="BU9" s="201">
        <v>17</v>
      </c>
      <c r="BW9" s="201">
        <v>13.9</v>
      </c>
      <c r="BY9" s="178">
        <v>6.0999999999999943</v>
      </c>
      <c r="CC9" s="201">
        <v>4.9000000000000004</v>
      </c>
      <c r="CD9" s="198">
        <v>41822</v>
      </c>
      <c r="CI9" s="174" t="s">
        <v>9347</v>
      </c>
      <c r="CL9" s="174">
        <v>1</v>
      </c>
    </row>
    <row r="10" spans="1:91">
      <c r="A10" s="191" t="s">
        <v>7685</v>
      </c>
      <c r="B10" s="192" t="s">
        <v>271</v>
      </c>
      <c r="C10" s="192" t="s">
        <v>8998</v>
      </c>
      <c r="D10" s="192" t="s">
        <v>8435</v>
      </c>
      <c r="E10" s="193">
        <v>214</v>
      </c>
      <c r="F10" s="193">
        <v>9</v>
      </c>
      <c r="I10" s="194"/>
      <c r="K10" s="176">
        <v>8</v>
      </c>
      <c r="M10" s="197">
        <v>5.25</v>
      </c>
      <c r="N10" s="198">
        <v>41822</v>
      </c>
      <c r="S10" s="176">
        <f>(AE10*BS10)/100</f>
        <v>16.782051282051285</v>
      </c>
      <c r="T10" s="198"/>
      <c r="U10" s="176">
        <v>16.2</v>
      </c>
      <c r="Y10" s="200">
        <f>(AE10*BU10)/100</f>
        <v>5.8313390313390308</v>
      </c>
      <c r="Z10" s="198"/>
      <c r="AA10" s="200"/>
      <c r="AB10" s="198"/>
      <c r="AC10" s="378">
        <f t="shared" si="0"/>
        <v>30.851851851851851</v>
      </c>
      <c r="AE10" s="176">
        <f>(M10/U10)*((100-CC10)/(100-9))*100</f>
        <v>33.903133903133906</v>
      </c>
      <c r="AF10" s="198">
        <v>41822</v>
      </c>
      <c r="AG10" s="176">
        <v>3.9</v>
      </c>
      <c r="AH10" s="196">
        <v>41927</v>
      </c>
      <c r="AI10" s="176">
        <v>145</v>
      </c>
      <c r="AM10" s="176">
        <v>86</v>
      </c>
      <c r="BG10" s="201">
        <v>0</v>
      </c>
      <c r="BI10" s="201">
        <v>4.8</v>
      </c>
      <c r="BK10" s="201">
        <v>1.6</v>
      </c>
      <c r="BM10" s="201">
        <v>65.2</v>
      </c>
      <c r="BO10" s="201">
        <v>21.9</v>
      </c>
      <c r="BQ10" s="201">
        <v>7.6</v>
      </c>
      <c r="BS10" s="201">
        <v>49.5</v>
      </c>
      <c r="BU10" s="201">
        <v>17.2</v>
      </c>
      <c r="BW10" s="201">
        <v>12.2</v>
      </c>
      <c r="BY10" s="178">
        <v>6.2000000000000028</v>
      </c>
      <c r="CC10" s="201">
        <v>4.8</v>
      </c>
      <c r="CD10" s="198">
        <v>41822</v>
      </c>
      <c r="CI10" s="174" t="s">
        <v>9351</v>
      </c>
      <c r="CL10" s="174">
        <v>1</v>
      </c>
    </row>
    <row r="11" spans="1:91">
      <c r="A11" s="191" t="s">
        <v>7732</v>
      </c>
      <c r="B11" s="192" t="s">
        <v>271</v>
      </c>
      <c r="C11" s="192" t="s">
        <v>8998</v>
      </c>
      <c r="D11" s="192" t="s">
        <v>8623</v>
      </c>
      <c r="E11" s="193">
        <v>214</v>
      </c>
      <c r="F11" s="193">
        <v>10</v>
      </c>
      <c r="I11" s="194"/>
      <c r="K11" s="176">
        <v>8</v>
      </c>
      <c r="M11" s="197">
        <v>7.8</v>
      </c>
      <c r="N11" s="198">
        <v>41822</v>
      </c>
      <c r="S11" s="176">
        <f>(AE11*BS11)/100</f>
        <v>26.494814814814816</v>
      </c>
      <c r="T11" s="198"/>
      <c r="U11" s="176">
        <v>16.2</v>
      </c>
      <c r="Y11" s="200">
        <f>(AE11*BU11)/100</f>
        <v>8.4622222222222234</v>
      </c>
      <c r="Z11" s="198"/>
      <c r="AA11" s="200"/>
      <c r="AB11" s="198"/>
      <c r="AC11" s="378">
        <f t="shared" si="0"/>
        <v>45.837037037037042</v>
      </c>
      <c r="AE11" s="176">
        <f>(M11/U11)*((100-CC11)/(100-9))*100</f>
        <v>50.370370370370374</v>
      </c>
      <c r="AF11" s="198">
        <v>41822</v>
      </c>
      <c r="AG11" s="176">
        <v>4.5999999999999996</v>
      </c>
      <c r="AH11" s="196">
        <v>41927</v>
      </c>
      <c r="AI11" s="176">
        <v>155</v>
      </c>
      <c r="AM11" s="176">
        <v>78</v>
      </c>
      <c r="BG11" s="201">
        <v>0</v>
      </c>
      <c r="BI11" s="201">
        <v>4.4000000000000004</v>
      </c>
      <c r="BK11" s="201">
        <v>1.6</v>
      </c>
      <c r="BM11" s="201">
        <v>66.400000000000006</v>
      </c>
      <c r="BO11" s="201">
        <v>20.3</v>
      </c>
      <c r="BQ11" s="201">
        <v>9.1999999999999993</v>
      </c>
      <c r="BS11" s="201">
        <v>52.6</v>
      </c>
      <c r="BU11" s="201">
        <v>16.8</v>
      </c>
      <c r="BW11" s="201">
        <v>16</v>
      </c>
      <c r="BY11" s="178">
        <v>5.7999999999999972</v>
      </c>
      <c r="CC11" s="201">
        <v>4.8</v>
      </c>
      <c r="CD11" s="198">
        <v>41822</v>
      </c>
      <c r="CI11" s="174" t="s">
        <v>9347</v>
      </c>
      <c r="CL11" s="174">
        <v>1</v>
      </c>
    </row>
    <row r="12" spans="1:91">
      <c r="A12" s="191" t="s">
        <v>7683</v>
      </c>
      <c r="B12" s="192" t="s">
        <v>271</v>
      </c>
      <c r="C12" s="192" t="s">
        <v>8998</v>
      </c>
      <c r="D12" s="192" t="s">
        <v>8427</v>
      </c>
      <c r="E12" s="193">
        <v>214</v>
      </c>
      <c r="F12" s="193">
        <v>11</v>
      </c>
      <c r="I12" s="194"/>
      <c r="K12" s="176">
        <v>8</v>
      </c>
      <c r="M12" s="197">
        <v>6.3</v>
      </c>
      <c r="N12" s="198">
        <v>41822</v>
      </c>
      <c r="S12" s="176">
        <f>(AE12*BS12)/100</f>
        <v>19.882393162393164</v>
      </c>
      <c r="T12" s="198"/>
      <c r="U12" s="176">
        <v>16.2</v>
      </c>
      <c r="Y12" s="200">
        <f>(AE12*BU12)/100</f>
        <v>7.2554700854700851</v>
      </c>
      <c r="Z12" s="198"/>
      <c r="AA12" s="200"/>
      <c r="AB12" s="198"/>
      <c r="AC12" s="378">
        <f t="shared" si="0"/>
        <v>36.477777777777774</v>
      </c>
      <c r="AE12" s="176">
        <f>(M12/U12)*((100-CC12)/(100-9))*100</f>
        <v>40.085470085470085</v>
      </c>
      <c r="AF12" s="198">
        <v>41822</v>
      </c>
      <c r="AG12" s="176">
        <v>5.5</v>
      </c>
      <c r="AH12" s="196">
        <v>41927</v>
      </c>
      <c r="AI12" s="176">
        <v>160</v>
      </c>
      <c r="AM12" s="176">
        <v>84</v>
      </c>
      <c r="BG12" s="201">
        <v>2.6</v>
      </c>
      <c r="BI12" s="201">
        <v>5.0999999999999996</v>
      </c>
      <c r="BK12" s="201">
        <v>1.6</v>
      </c>
      <c r="BM12" s="201">
        <v>65.099999999999994</v>
      </c>
      <c r="BO12" s="201">
        <v>21.8</v>
      </c>
      <c r="BQ12" s="201">
        <v>8.1999999999999993</v>
      </c>
      <c r="BS12" s="201">
        <v>49.6</v>
      </c>
      <c r="BU12" s="201">
        <v>18.100000000000001</v>
      </c>
      <c r="BW12" s="201">
        <v>13.9</v>
      </c>
      <c r="BY12" s="178">
        <v>6.4000000000000057</v>
      </c>
      <c r="CC12" s="201">
        <v>6.2</v>
      </c>
      <c r="CD12" s="198">
        <v>41822</v>
      </c>
      <c r="CI12" s="174" t="s">
        <v>9356</v>
      </c>
      <c r="CL12" s="174">
        <v>1</v>
      </c>
    </row>
    <row r="13" spans="1:91">
      <c r="A13" s="191" t="s">
        <v>7638</v>
      </c>
      <c r="B13" s="192" t="s">
        <v>271</v>
      </c>
      <c r="C13" s="192" t="s">
        <v>8998</v>
      </c>
      <c r="D13" s="192" t="s">
        <v>8247</v>
      </c>
      <c r="E13" s="193">
        <v>214</v>
      </c>
      <c r="F13" s="193">
        <v>12</v>
      </c>
      <c r="I13" s="194"/>
      <c r="K13" s="176">
        <v>7</v>
      </c>
      <c r="M13" s="197">
        <v>2.8</v>
      </c>
      <c r="N13" s="198">
        <v>41822</v>
      </c>
      <c r="S13" s="176">
        <f>(AE13*BS13)/100</f>
        <v>8.6338271604938264</v>
      </c>
      <c r="T13" s="198"/>
      <c r="U13" s="176">
        <v>16.2</v>
      </c>
      <c r="Y13" s="200">
        <f>(AE13*BU13)/100</f>
        <v>3.7130864197530866</v>
      </c>
      <c r="Z13" s="198"/>
      <c r="AA13" s="200"/>
      <c r="AB13" s="198"/>
      <c r="AC13" s="378">
        <f t="shared" si="0"/>
        <v>16.40246913580247</v>
      </c>
      <c r="AE13" s="176">
        <f>(M13/U13)*((100-CC13)/(100-9))*100</f>
        <v>18.02469135802469</v>
      </c>
      <c r="AF13" s="198">
        <v>41822</v>
      </c>
      <c r="AG13" s="176">
        <v>5</v>
      </c>
      <c r="AH13" s="196">
        <v>41927</v>
      </c>
      <c r="AI13" s="176">
        <v>120</v>
      </c>
      <c r="AM13" s="176">
        <v>86</v>
      </c>
      <c r="BG13" s="201">
        <v>57.3</v>
      </c>
      <c r="BI13" s="201">
        <v>4.8</v>
      </c>
      <c r="BK13" s="201">
        <v>0.6</v>
      </c>
      <c r="BM13" s="201">
        <v>21.8</v>
      </c>
      <c r="BO13" s="201">
        <v>17.5</v>
      </c>
      <c r="BQ13" s="201">
        <v>8.6999999999999993</v>
      </c>
      <c r="BS13" s="201">
        <v>47.9</v>
      </c>
      <c r="BU13" s="201">
        <v>20.6</v>
      </c>
      <c r="BW13" s="201">
        <v>82.5</v>
      </c>
      <c r="BY13" s="178">
        <v>6</v>
      </c>
      <c r="CC13" s="201">
        <v>5.0999999999999996</v>
      </c>
      <c r="CD13" s="198">
        <v>41822</v>
      </c>
      <c r="CI13" s="174" t="s">
        <v>9381</v>
      </c>
      <c r="CL13" s="174">
        <v>9</v>
      </c>
    </row>
    <row r="14" spans="1:91">
      <c r="A14" s="191" t="s">
        <v>7690</v>
      </c>
      <c r="B14" s="192" t="s">
        <v>269</v>
      </c>
      <c r="C14" s="192" t="s">
        <v>417</v>
      </c>
      <c r="D14" s="192" t="s">
        <v>8453</v>
      </c>
      <c r="E14" s="193">
        <v>215</v>
      </c>
      <c r="F14" s="193">
        <v>1</v>
      </c>
      <c r="I14" s="194"/>
      <c r="K14" s="176">
        <v>7</v>
      </c>
      <c r="M14" s="197">
        <v>6</v>
      </c>
      <c r="N14" s="198">
        <v>41822</v>
      </c>
      <c r="S14" s="176">
        <f>(AE14*BS14)/100</f>
        <v>19.389417989417996</v>
      </c>
      <c r="T14" s="198"/>
      <c r="U14" s="176">
        <v>16.2</v>
      </c>
      <c r="Y14" s="200">
        <f>(AE14*BU14)/100</f>
        <v>6.7978835978836001</v>
      </c>
      <c r="Z14" s="198"/>
      <c r="AA14" s="200"/>
      <c r="AB14" s="198"/>
      <c r="AC14" s="378">
        <f t="shared" si="0"/>
        <v>35.148148148148152</v>
      </c>
      <c r="AE14" s="176">
        <f>(M14/U14)*((100-CC14)/(100-9))*100</f>
        <v>38.624338624338634</v>
      </c>
      <c r="AF14" s="198">
        <v>41822</v>
      </c>
      <c r="AG14" s="176">
        <v>5.4</v>
      </c>
      <c r="AH14" s="196">
        <v>41927</v>
      </c>
      <c r="AI14" s="176">
        <v>140</v>
      </c>
      <c r="AM14" s="176">
        <v>84</v>
      </c>
      <c r="BG14" s="201">
        <v>0</v>
      </c>
      <c r="BI14" s="201">
        <v>4.5999999999999996</v>
      </c>
      <c r="BK14" s="201">
        <v>1.6</v>
      </c>
      <c r="BM14" s="201">
        <v>63.2</v>
      </c>
      <c r="BO14" s="201">
        <v>18.899999999999999</v>
      </c>
      <c r="BQ14" s="201">
        <v>9.1</v>
      </c>
      <c r="BS14" s="201">
        <v>50.2</v>
      </c>
      <c r="BU14" s="201">
        <v>17.600000000000001</v>
      </c>
      <c r="BW14" s="201">
        <v>15</v>
      </c>
      <c r="BY14" s="178">
        <v>6.4000000000000057</v>
      </c>
      <c r="CC14" s="201">
        <v>5.0999999999999996</v>
      </c>
      <c r="CD14" s="198">
        <v>41822</v>
      </c>
      <c r="CI14" s="174" t="s">
        <v>9336</v>
      </c>
      <c r="CL14" s="174">
        <v>1</v>
      </c>
    </row>
    <row r="15" spans="1:91">
      <c r="A15" s="191" t="s">
        <v>7898</v>
      </c>
      <c r="B15" s="192" t="s">
        <v>269</v>
      </c>
      <c r="C15" s="192" t="s">
        <v>417</v>
      </c>
      <c r="D15" s="192" t="s">
        <v>8993</v>
      </c>
      <c r="E15" s="193">
        <v>215</v>
      </c>
      <c r="F15" s="193">
        <v>2</v>
      </c>
      <c r="I15" s="194"/>
      <c r="K15" s="176">
        <v>7</v>
      </c>
      <c r="M15" s="197">
        <v>5</v>
      </c>
      <c r="N15" s="198">
        <v>41822</v>
      </c>
      <c r="S15" s="176">
        <f>(AE15*BS15)/100</f>
        <v>17.029100529100532</v>
      </c>
      <c r="T15" s="198"/>
      <c r="U15" s="176">
        <v>16.2</v>
      </c>
      <c r="Y15" s="200">
        <f>(AE15*BU15)/100</f>
        <v>4.9841269841269851</v>
      </c>
      <c r="Z15" s="198"/>
      <c r="AA15" s="200"/>
      <c r="AB15" s="198"/>
      <c r="AC15" s="378">
        <f t="shared" si="0"/>
        <v>29.07407407407408</v>
      </c>
      <c r="AE15" s="176">
        <f>(M15/U15)*((100-CC15)/(100-9))*100</f>
        <v>31.949531949531956</v>
      </c>
      <c r="AF15" s="198">
        <v>41822</v>
      </c>
      <c r="AG15" s="176">
        <v>4.5</v>
      </c>
      <c r="AH15" s="196">
        <v>41927</v>
      </c>
      <c r="AI15" s="176">
        <v>50</v>
      </c>
      <c r="AM15" s="176">
        <v>80</v>
      </c>
      <c r="BG15" s="201">
        <v>0</v>
      </c>
      <c r="BI15" s="201">
        <v>4.9000000000000004</v>
      </c>
      <c r="BK15" s="201">
        <v>1.6</v>
      </c>
      <c r="BM15" s="201">
        <v>64.2</v>
      </c>
      <c r="BO15" s="201">
        <v>21.4</v>
      </c>
      <c r="BQ15" s="201">
        <v>8</v>
      </c>
      <c r="BS15" s="201">
        <v>53.3</v>
      </c>
      <c r="BU15" s="201">
        <v>15.6</v>
      </c>
      <c r="BW15" s="201">
        <v>8.8000000000000007</v>
      </c>
      <c r="BY15" s="178">
        <v>6.5999999999999943</v>
      </c>
      <c r="CC15" s="201">
        <v>5.8</v>
      </c>
      <c r="CD15" s="198">
        <v>41822</v>
      </c>
      <c r="CI15" s="174" t="s">
        <v>9346</v>
      </c>
      <c r="CL15" s="174" t="s">
        <v>9001</v>
      </c>
    </row>
    <row r="16" spans="1:91">
      <c r="A16" s="191" t="s">
        <v>7715</v>
      </c>
      <c r="B16" s="192" t="s">
        <v>269</v>
      </c>
      <c r="C16" s="192" t="s">
        <v>417</v>
      </c>
      <c r="D16" s="192" t="s">
        <v>8553</v>
      </c>
      <c r="E16" s="193">
        <v>215</v>
      </c>
      <c r="F16" s="193">
        <v>3</v>
      </c>
      <c r="I16" s="194"/>
      <c r="K16" s="176">
        <v>6</v>
      </c>
      <c r="M16" s="197">
        <v>3.8</v>
      </c>
      <c r="N16" s="198">
        <v>41822</v>
      </c>
      <c r="S16" s="176">
        <f>(AE16*BS16)/100</f>
        <v>11.851607651607651</v>
      </c>
      <c r="T16" s="198"/>
      <c r="U16" s="176">
        <v>16.2</v>
      </c>
      <c r="Y16" s="200">
        <f>(AE16*BU16)/100</f>
        <v>4.1786080586080594</v>
      </c>
      <c r="Z16" s="198"/>
      <c r="AA16" s="200"/>
      <c r="AB16" s="198"/>
      <c r="AC16" s="378">
        <f t="shared" si="0"/>
        <v>22.237037037037034</v>
      </c>
      <c r="AE16" s="176">
        <f>(M16/U16)*((100-CC16)/(100-9))*100</f>
        <v>24.436304436304436</v>
      </c>
      <c r="AF16" s="198">
        <v>41822</v>
      </c>
      <c r="AG16" s="176">
        <v>4.7</v>
      </c>
      <c r="AH16" s="196">
        <v>41927</v>
      </c>
      <c r="AI16" s="176">
        <v>140</v>
      </c>
      <c r="AM16" s="176">
        <v>84</v>
      </c>
      <c r="BG16" s="201">
        <v>0</v>
      </c>
      <c r="BI16" s="201">
        <v>5</v>
      </c>
      <c r="BK16" s="201">
        <v>1.6</v>
      </c>
      <c r="BM16" s="201">
        <v>59.5</v>
      </c>
      <c r="BO16" s="201">
        <v>20.9</v>
      </c>
      <c r="BQ16" s="201">
        <v>9.6999999999999993</v>
      </c>
      <c r="BS16" s="201">
        <v>48.5</v>
      </c>
      <c r="BU16" s="201">
        <v>17.100000000000001</v>
      </c>
      <c r="BW16" s="201">
        <v>17.399999999999999</v>
      </c>
      <c r="BY16" s="178">
        <v>6.5999999999999943</v>
      </c>
      <c r="CC16" s="201">
        <v>5.2</v>
      </c>
      <c r="CD16" s="198">
        <v>41822</v>
      </c>
      <c r="CI16" s="174" t="s">
        <v>9347</v>
      </c>
      <c r="CL16" s="174">
        <v>3</v>
      </c>
    </row>
    <row r="17" spans="1:91">
      <c r="A17" s="191" t="s">
        <v>7714</v>
      </c>
      <c r="B17" s="192" t="s">
        <v>269</v>
      </c>
      <c r="C17" s="192" t="s">
        <v>417</v>
      </c>
      <c r="D17" s="192" t="s">
        <v>8549</v>
      </c>
      <c r="E17" s="193">
        <v>215</v>
      </c>
      <c r="F17" s="193">
        <v>4</v>
      </c>
      <c r="I17" s="194"/>
      <c r="K17" s="176">
        <v>7</v>
      </c>
      <c r="M17" s="197">
        <v>4.3</v>
      </c>
      <c r="N17" s="198">
        <v>41822</v>
      </c>
      <c r="S17" s="176">
        <f>(AE17*BS17)/100</f>
        <v>14.182941256274589</v>
      </c>
      <c r="T17" s="198"/>
      <c r="U17" s="176">
        <v>16.2</v>
      </c>
      <c r="Y17" s="200">
        <f>(AE17*BU17)/100</f>
        <v>4.3321435354768685</v>
      </c>
      <c r="Z17" s="198"/>
      <c r="AA17" s="200"/>
      <c r="AB17" s="198"/>
      <c r="AC17" s="378">
        <f t="shared" si="0"/>
        <v>25.109876543209875</v>
      </c>
      <c r="AE17" s="176">
        <f>(M17/U17)*((100-CC17)/(100-9))*100</f>
        <v>27.593270926604259</v>
      </c>
      <c r="AF17" s="198">
        <v>41822</v>
      </c>
      <c r="AG17" s="176">
        <v>4.7</v>
      </c>
      <c r="AH17" s="196">
        <v>41927</v>
      </c>
      <c r="AI17" s="176">
        <v>135</v>
      </c>
      <c r="AM17" s="176">
        <v>84</v>
      </c>
      <c r="BG17" s="201">
        <v>0</v>
      </c>
      <c r="BI17" s="201">
        <v>4.9000000000000004</v>
      </c>
      <c r="BK17" s="201">
        <v>1.5</v>
      </c>
      <c r="BM17" s="201">
        <v>60.3</v>
      </c>
      <c r="BO17" s="201">
        <v>22.1</v>
      </c>
      <c r="BQ17" s="201">
        <v>9.4</v>
      </c>
      <c r="BS17" s="201">
        <v>51.4</v>
      </c>
      <c r="BU17" s="201">
        <v>15.7</v>
      </c>
      <c r="BW17" s="201">
        <v>5.3</v>
      </c>
      <c r="BY17" s="178">
        <v>6.5999999999999943</v>
      </c>
      <c r="CC17" s="201">
        <v>5.4</v>
      </c>
      <c r="CD17" s="198">
        <v>41822</v>
      </c>
      <c r="CI17" s="174" t="s">
        <v>9381</v>
      </c>
      <c r="CL17" s="174">
        <v>3</v>
      </c>
    </row>
    <row r="18" spans="1:91">
      <c r="A18" s="191" t="s">
        <v>7707</v>
      </c>
      <c r="B18" s="192" t="s">
        <v>269</v>
      </c>
      <c r="C18" s="192" t="s">
        <v>417</v>
      </c>
      <c r="D18" s="192" t="s">
        <v>8521</v>
      </c>
      <c r="E18" s="193">
        <v>215</v>
      </c>
      <c r="F18" s="193">
        <v>5</v>
      </c>
      <c r="I18" s="194"/>
      <c r="K18" s="176">
        <v>8</v>
      </c>
      <c r="M18" s="197">
        <v>2.65</v>
      </c>
      <c r="N18" s="198">
        <v>41822</v>
      </c>
      <c r="S18" s="176">
        <f>(AE18*BS18)/100</f>
        <v>8.6340170940170946</v>
      </c>
      <c r="T18" s="198"/>
      <c r="U18" s="176">
        <v>16.2</v>
      </c>
      <c r="Y18" s="200">
        <f>(AE18*BU18)/100</f>
        <v>2.843743725410393</v>
      </c>
      <c r="Z18" s="198"/>
      <c r="AA18" s="200"/>
      <c r="AB18" s="198"/>
      <c r="AC18" s="378">
        <f t="shared" si="0"/>
        <v>15.589197530864197</v>
      </c>
      <c r="AE18" s="176">
        <f>(M18/U18)*((100-CC18)/(100-9))*100</f>
        <v>17.130986297652967</v>
      </c>
      <c r="AF18" s="198">
        <v>41822</v>
      </c>
      <c r="AG18" s="176">
        <v>4.5999999999999996</v>
      </c>
      <c r="AH18" s="196">
        <v>41927</v>
      </c>
      <c r="AI18" s="176">
        <v>130</v>
      </c>
      <c r="AM18" s="176">
        <v>86</v>
      </c>
      <c r="BG18" s="201">
        <v>0</v>
      </c>
      <c r="BI18" s="201">
        <v>4.7</v>
      </c>
      <c r="BK18" s="201">
        <v>1.7</v>
      </c>
      <c r="BM18" s="201">
        <v>63.8</v>
      </c>
      <c r="BO18" s="201">
        <v>19.7</v>
      </c>
      <c r="BQ18" s="201">
        <v>8.5</v>
      </c>
      <c r="BS18" s="201">
        <v>50.4</v>
      </c>
      <c r="BU18" s="201">
        <v>16.600000000000001</v>
      </c>
      <c r="BW18" s="201">
        <v>16.600000000000001</v>
      </c>
      <c r="BY18" s="178">
        <v>6.2999999999999972</v>
      </c>
      <c r="CC18" s="201">
        <v>4.7</v>
      </c>
      <c r="CD18" s="198">
        <v>41822</v>
      </c>
      <c r="CI18" s="174" t="s">
        <v>9349</v>
      </c>
      <c r="CL18" s="174">
        <v>1</v>
      </c>
    </row>
    <row r="19" spans="1:91">
      <c r="A19" s="191" t="s">
        <v>7783</v>
      </c>
      <c r="B19" s="192" t="s">
        <v>269</v>
      </c>
      <c r="C19" s="192" t="s">
        <v>417</v>
      </c>
      <c r="D19" s="192" t="s">
        <v>8825</v>
      </c>
      <c r="E19" s="193">
        <v>215</v>
      </c>
      <c r="F19" s="193">
        <v>6</v>
      </c>
      <c r="I19" s="194"/>
      <c r="K19" s="176">
        <v>8</v>
      </c>
      <c r="M19" s="197">
        <v>3.25</v>
      </c>
      <c r="N19" s="198">
        <v>41822</v>
      </c>
      <c r="S19" s="176">
        <f>(AE19*BS19)/100</f>
        <v>11.297619047619047</v>
      </c>
      <c r="T19" s="198"/>
      <c r="U19" s="176">
        <v>16.2</v>
      </c>
      <c r="Y19" s="200">
        <f>(AE19*BU19)/100</f>
        <v>2.9708553791887122</v>
      </c>
      <c r="Z19" s="198"/>
      <c r="AA19" s="200"/>
      <c r="AB19" s="198"/>
      <c r="AC19" s="378">
        <f t="shared" si="0"/>
        <v>19.038580246913583</v>
      </c>
      <c r="AE19" s="176">
        <f>(M19/U19)*((100-CC19)/(100-9))*100</f>
        <v>20.921516754850089</v>
      </c>
      <c r="AF19" s="198">
        <v>41822</v>
      </c>
      <c r="AG19" s="176">
        <v>5.0999999999999996</v>
      </c>
      <c r="AH19" s="196">
        <v>41927</v>
      </c>
      <c r="AI19" s="176">
        <v>145</v>
      </c>
      <c r="AM19" s="176">
        <v>79</v>
      </c>
      <c r="BG19" s="201">
        <v>0</v>
      </c>
      <c r="BI19" s="201">
        <v>5.0999999999999996</v>
      </c>
      <c r="BK19" s="201">
        <v>1.7</v>
      </c>
      <c r="BM19" s="201">
        <v>65.8</v>
      </c>
      <c r="BO19" s="201">
        <v>22.7</v>
      </c>
      <c r="BQ19" s="201">
        <v>6.6</v>
      </c>
      <c r="BS19" s="201">
        <v>54</v>
      </c>
      <c r="BU19" s="201">
        <v>14.2</v>
      </c>
      <c r="BW19" s="201">
        <v>18.399999999999999</v>
      </c>
      <c r="BY19" s="178">
        <v>6</v>
      </c>
      <c r="CC19" s="201">
        <v>5.0999999999999996</v>
      </c>
      <c r="CD19" s="198">
        <v>41822</v>
      </c>
      <c r="CI19" s="174" t="s">
        <v>9346</v>
      </c>
      <c r="CL19" s="174" t="s">
        <v>9001</v>
      </c>
    </row>
    <row r="20" spans="1:91">
      <c r="A20" s="191" t="s">
        <v>7675</v>
      </c>
      <c r="B20" s="192" t="s">
        <v>271</v>
      </c>
      <c r="C20" s="192" t="s">
        <v>8998</v>
      </c>
      <c r="D20" s="192" t="s">
        <v>8395</v>
      </c>
      <c r="E20" s="193">
        <v>215</v>
      </c>
      <c r="F20" s="193">
        <v>7</v>
      </c>
      <c r="I20" s="194"/>
      <c r="K20" s="176">
        <v>6</v>
      </c>
      <c r="M20" s="197">
        <v>5.9</v>
      </c>
      <c r="N20" s="198">
        <v>41822</v>
      </c>
      <c r="S20" s="176">
        <f>(AE20*BS20)/100</f>
        <v>19.023717948717955</v>
      </c>
      <c r="T20" s="198"/>
      <c r="U20" s="176">
        <v>16.2</v>
      </c>
      <c r="Y20" s="200">
        <f>(AE20*BU20)/100</f>
        <v>6.7320512820512839</v>
      </c>
      <c r="Z20" s="198"/>
      <c r="AA20" s="200"/>
      <c r="AB20" s="198"/>
      <c r="AC20" s="378">
        <f t="shared" si="0"/>
        <v>34.416666666666671</v>
      </c>
      <c r="AE20" s="176">
        <f>(M20/U20)*((100-CC20)/(100-9))*100</f>
        <v>37.820512820512832</v>
      </c>
      <c r="AF20" s="198">
        <v>41822</v>
      </c>
      <c r="AG20" s="176">
        <v>4.9000000000000004</v>
      </c>
      <c r="AH20" s="196">
        <v>41927</v>
      </c>
      <c r="AI20" s="176">
        <v>140</v>
      </c>
      <c r="AM20" s="176">
        <v>78</v>
      </c>
      <c r="BG20" s="201">
        <v>0</v>
      </c>
      <c r="BI20" s="201">
        <v>4.0999999999999996</v>
      </c>
      <c r="BK20" s="201">
        <v>1.7</v>
      </c>
      <c r="BM20" s="201">
        <v>66.2</v>
      </c>
      <c r="BO20" s="201">
        <v>20</v>
      </c>
      <c r="BQ20" s="201">
        <v>6.9</v>
      </c>
      <c r="BS20" s="201">
        <v>50.3</v>
      </c>
      <c r="BU20" s="201">
        <v>17.8</v>
      </c>
      <c r="BW20" s="201">
        <v>17.8</v>
      </c>
      <c r="BY20" s="178">
        <v>6.2000000000000028</v>
      </c>
      <c r="CC20" s="201">
        <v>5.5</v>
      </c>
      <c r="CD20" s="198">
        <v>41822</v>
      </c>
      <c r="CI20" s="174" t="s">
        <v>9347</v>
      </c>
      <c r="CL20" s="174">
        <v>2</v>
      </c>
    </row>
    <row r="21" spans="1:91">
      <c r="A21" s="191" t="s">
        <v>7664</v>
      </c>
      <c r="B21" s="192" t="s">
        <v>271</v>
      </c>
      <c r="C21" s="192" t="s">
        <v>8998</v>
      </c>
      <c r="D21" s="192" t="s">
        <v>8351</v>
      </c>
      <c r="E21" s="193">
        <v>215</v>
      </c>
      <c r="F21" s="193">
        <v>8</v>
      </c>
      <c r="I21" s="194"/>
      <c r="K21" s="176">
        <v>8</v>
      </c>
      <c r="M21" s="197">
        <v>6.7</v>
      </c>
      <c r="N21" s="198">
        <v>41822</v>
      </c>
      <c r="S21" s="176">
        <f>(AE21*BS21)/100</f>
        <v>20.438408628408627</v>
      </c>
      <c r="T21" s="198"/>
      <c r="U21" s="176">
        <v>16.2</v>
      </c>
      <c r="Y21" s="200">
        <f>(AE21*BU21)/100</f>
        <v>7.1661640211640192</v>
      </c>
      <c r="Z21" s="198"/>
      <c r="AA21" s="200"/>
      <c r="AB21" s="198"/>
      <c r="AC21" s="378">
        <f t="shared" si="0"/>
        <v>38.587037037037035</v>
      </c>
      <c r="AE21" s="176">
        <f>(M21/U21)*((100-CC21)/(100-9))*100</f>
        <v>42.403337403337396</v>
      </c>
      <c r="AF21" s="198">
        <v>41822</v>
      </c>
      <c r="AG21" s="176">
        <v>4.3</v>
      </c>
      <c r="AH21" s="196">
        <v>41927</v>
      </c>
      <c r="AI21" s="176">
        <v>160</v>
      </c>
      <c r="AM21" s="176">
        <v>88</v>
      </c>
      <c r="BG21" s="201">
        <v>0</v>
      </c>
      <c r="BI21" s="201">
        <v>4.8</v>
      </c>
      <c r="BK21" s="201">
        <v>1.8</v>
      </c>
      <c r="BM21" s="201">
        <v>67.900000000000006</v>
      </c>
      <c r="BO21" s="201">
        <v>21.4</v>
      </c>
      <c r="BQ21" s="201">
        <v>5.2</v>
      </c>
      <c r="BS21" s="201">
        <v>48.2</v>
      </c>
      <c r="BU21" s="201">
        <v>16.899999999999999</v>
      </c>
      <c r="BW21" s="201">
        <v>7.3</v>
      </c>
      <c r="BY21" s="178">
        <v>6.9000000000000057</v>
      </c>
      <c r="CC21" s="201">
        <v>6.7</v>
      </c>
      <c r="CD21" s="198">
        <v>41822</v>
      </c>
      <c r="CI21" s="174" t="s">
        <v>9356</v>
      </c>
      <c r="CL21" s="174">
        <v>1</v>
      </c>
    </row>
    <row r="22" spans="1:91" s="181" customFormat="1">
      <c r="A22" s="191" t="s">
        <v>7797</v>
      </c>
      <c r="B22" s="192" t="s">
        <v>271</v>
      </c>
      <c r="C22" s="192" t="s">
        <v>8998</v>
      </c>
      <c r="D22" s="192" t="s">
        <v>8883</v>
      </c>
      <c r="E22" s="193">
        <v>215</v>
      </c>
      <c r="F22" s="193">
        <v>9</v>
      </c>
      <c r="G22" s="193"/>
      <c r="H22" s="193"/>
      <c r="I22" s="194"/>
      <c r="J22" s="195"/>
      <c r="K22" s="176">
        <v>8</v>
      </c>
      <c r="L22" s="196"/>
      <c r="M22" s="197">
        <v>6.5</v>
      </c>
      <c r="N22" s="198">
        <v>41822</v>
      </c>
      <c r="O22" s="180"/>
      <c r="P22" s="199"/>
      <c r="Q22" s="180"/>
      <c r="R22" s="199"/>
      <c r="S22" s="176">
        <f>(AE22*BS22)/100</f>
        <v>21.458333333333336</v>
      </c>
      <c r="T22" s="198"/>
      <c r="U22" s="176">
        <v>16.2</v>
      </c>
      <c r="V22" s="199"/>
      <c r="W22" s="180"/>
      <c r="X22" s="199"/>
      <c r="Y22" s="200">
        <f>(AE22*BU22)/100</f>
        <v>6.75</v>
      </c>
      <c r="Z22" s="198"/>
      <c r="AA22" s="200"/>
      <c r="AB22" s="198"/>
      <c r="AC22" s="378">
        <f t="shared" si="0"/>
        <v>37.916666666666664</v>
      </c>
      <c r="AD22" s="196"/>
      <c r="AE22" s="176">
        <f>(M22/U22)*((100-CC22)/(100-9))*100</f>
        <v>41.666666666666671</v>
      </c>
      <c r="AF22" s="198">
        <v>41822</v>
      </c>
      <c r="AG22" s="176">
        <v>4.2</v>
      </c>
      <c r="AH22" s="196">
        <v>41927</v>
      </c>
      <c r="AI22" s="176">
        <v>160</v>
      </c>
      <c r="AJ22" s="196"/>
      <c r="AK22" s="180"/>
      <c r="AL22" s="199"/>
      <c r="AM22" s="176">
        <v>86</v>
      </c>
      <c r="AN22" s="199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79"/>
      <c r="BF22" s="179"/>
      <c r="BG22" s="201">
        <v>1.5</v>
      </c>
      <c r="BH22" s="178"/>
      <c r="BI22" s="201">
        <v>4.7</v>
      </c>
      <c r="BJ22" s="178"/>
      <c r="BK22" s="201">
        <v>1.6</v>
      </c>
      <c r="BL22" s="178"/>
      <c r="BM22" s="201">
        <v>67.5</v>
      </c>
      <c r="BN22" s="178"/>
      <c r="BO22" s="201">
        <v>21.3</v>
      </c>
      <c r="BP22" s="178"/>
      <c r="BQ22" s="201">
        <v>7.5</v>
      </c>
      <c r="BR22" s="178"/>
      <c r="BS22" s="201">
        <v>51.5</v>
      </c>
      <c r="BT22" s="178"/>
      <c r="BU22" s="201">
        <v>16.2</v>
      </c>
      <c r="BV22" s="178"/>
      <c r="BW22" s="201">
        <v>16.8</v>
      </c>
      <c r="BX22" s="178"/>
      <c r="BY22" s="178">
        <v>6</v>
      </c>
      <c r="BZ22" s="178"/>
      <c r="CA22" s="179"/>
      <c r="CB22" s="179"/>
      <c r="CC22" s="201">
        <v>5.5</v>
      </c>
      <c r="CD22" s="198">
        <v>41822</v>
      </c>
      <c r="CE22" s="178"/>
      <c r="CF22" s="178"/>
      <c r="CG22" s="179"/>
      <c r="CH22" s="179"/>
      <c r="CI22" s="174" t="s">
        <v>9355</v>
      </c>
      <c r="CJ22" s="178"/>
      <c r="CK22" s="178"/>
      <c r="CL22" s="174">
        <v>1</v>
      </c>
      <c r="CM22" s="174"/>
    </row>
    <row r="23" spans="1:91" s="181" customFormat="1">
      <c r="A23" s="191" t="s">
        <v>7690</v>
      </c>
      <c r="B23" s="192" t="s">
        <v>271</v>
      </c>
      <c r="C23" s="192" t="s">
        <v>8998</v>
      </c>
      <c r="D23" s="192" t="s">
        <v>8455</v>
      </c>
      <c r="E23" s="193">
        <v>215</v>
      </c>
      <c r="F23" s="193">
        <v>10</v>
      </c>
      <c r="G23" s="193"/>
      <c r="H23" s="193"/>
      <c r="I23" s="194"/>
      <c r="J23" s="195"/>
      <c r="K23" s="176">
        <v>7</v>
      </c>
      <c r="L23" s="196"/>
      <c r="M23" s="197">
        <v>6.2</v>
      </c>
      <c r="N23" s="198">
        <v>41822</v>
      </c>
      <c r="O23" s="180"/>
      <c r="P23" s="199"/>
      <c r="Q23" s="180"/>
      <c r="R23" s="199"/>
      <c r="S23" s="176">
        <f>(AE23*BS23)/100</f>
        <v>19.861869488536154</v>
      </c>
      <c r="T23" s="198"/>
      <c r="U23" s="176">
        <v>16.2</v>
      </c>
      <c r="V23" s="199"/>
      <c r="W23" s="180"/>
      <c r="X23" s="199"/>
      <c r="Y23" s="200">
        <f>(AE23*BU23)/100</f>
        <v>6.9556749423416093</v>
      </c>
      <c r="Z23" s="198"/>
      <c r="AA23" s="200"/>
      <c r="AB23" s="198"/>
      <c r="AC23" s="378">
        <f t="shared" si="0"/>
        <v>36.587654320987653</v>
      </c>
      <c r="AD23" s="196"/>
      <c r="AE23" s="176">
        <f>(M23/U23)*((100-CC23)/(100-9))*100</f>
        <v>40.206213539546873</v>
      </c>
      <c r="AF23" s="198">
        <v>41822</v>
      </c>
      <c r="AG23" s="176">
        <v>5</v>
      </c>
      <c r="AH23" s="196">
        <v>41927</v>
      </c>
      <c r="AI23" s="176">
        <v>160</v>
      </c>
      <c r="AJ23" s="196"/>
      <c r="AK23" s="180"/>
      <c r="AL23" s="199"/>
      <c r="AM23" s="176">
        <v>85</v>
      </c>
      <c r="AN23" s="199"/>
      <c r="AO23" s="180"/>
      <c r="AP23" s="180"/>
      <c r="AQ23" s="180"/>
      <c r="AR23" s="180"/>
      <c r="AS23" s="180"/>
      <c r="AT23" s="180"/>
      <c r="AU23" s="180"/>
      <c r="AV23" s="180"/>
      <c r="AW23" s="180"/>
      <c r="AX23" s="180"/>
      <c r="AY23" s="180"/>
      <c r="AZ23" s="180"/>
      <c r="BA23" s="180"/>
      <c r="BB23" s="180"/>
      <c r="BC23" s="180"/>
      <c r="BD23" s="180"/>
      <c r="BE23" s="179"/>
      <c r="BF23" s="179"/>
      <c r="BG23" s="201">
        <v>1.9</v>
      </c>
      <c r="BH23" s="178"/>
      <c r="BI23" s="201">
        <v>4.8</v>
      </c>
      <c r="BJ23" s="178"/>
      <c r="BK23" s="201">
        <v>1.6</v>
      </c>
      <c r="BL23" s="178"/>
      <c r="BM23" s="201">
        <v>65.900000000000006</v>
      </c>
      <c r="BN23" s="178"/>
      <c r="BO23" s="201">
        <v>21.1</v>
      </c>
      <c r="BP23" s="178"/>
      <c r="BQ23" s="201">
        <v>8.3000000000000007</v>
      </c>
      <c r="BR23" s="178"/>
      <c r="BS23" s="201">
        <v>49.4</v>
      </c>
      <c r="BT23" s="178"/>
      <c r="BU23" s="201">
        <v>17.3</v>
      </c>
      <c r="BV23" s="178"/>
      <c r="BW23" s="201">
        <v>19.3</v>
      </c>
      <c r="BX23" s="178"/>
      <c r="BY23" s="178">
        <v>6</v>
      </c>
      <c r="BZ23" s="178"/>
      <c r="CA23" s="179"/>
      <c r="CB23" s="179"/>
      <c r="CC23" s="201">
        <v>4.4000000000000004</v>
      </c>
      <c r="CD23" s="198">
        <v>41822</v>
      </c>
      <c r="CE23" s="178"/>
      <c r="CF23" s="178"/>
      <c r="CG23" s="179"/>
      <c r="CH23" s="179"/>
      <c r="CI23" s="174" t="s">
        <v>9349</v>
      </c>
      <c r="CJ23" s="178"/>
      <c r="CK23" s="178"/>
      <c r="CL23" s="174">
        <v>3</v>
      </c>
      <c r="CM23" s="174"/>
    </row>
    <row r="24" spans="1:91" s="181" customFormat="1">
      <c r="A24" s="191" t="s">
        <v>7619</v>
      </c>
      <c r="B24" s="192" t="s">
        <v>271</v>
      </c>
      <c r="C24" s="192" t="s">
        <v>8998</v>
      </c>
      <c r="D24" s="192" t="s">
        <v>8171</v>
      </c>
      <c r="E24" s="193">
        <v>215</v>
      </c>
      <c r="F24" s="193">
        <v>11</v>
      </c>
      <c r="G24" s="193"/>
      <c r="H24" s="193"/>
      <c r="I24" s="326"/>
      <c r="J24" s="195"/>
      <c r="K24" s="176">
        <v>8</v>
      </c>
      <c r="L24" s="196"/>
      <c r="M24" s="197">
        <v>2.8</v>
      </c>
      <c r="N24" s="198">
        <v>41822</v>
      </c>
      <c r="O24" s="179"/>
      <c r="P24" s="199"/>
      <c r="Q24" s="180"/>
      <c r="R24" s="199"/>
      <c r="S24" s="176">
        <f>(AE24*BS24)/100</f>
        <v>8.5885660018993324</v>
      </c>
      <c r="T24" s="198"/>
      <c r="U24" s="176">
        <v>16.2</v>
      </c>
      <c r="V24" s="199"/>
      <c r="W24" s="180"/>
      <c r="X24" s="199"/>
      <c r="Y24" s="200">
        <f>(AE24*BU24)/100</f>
        <v>3.5396391263057922</v>
      </c>
      <c r="Z24" s="198"/>
      <c r="AA24" s="200"/>
      <c r="AB24" s="198"/>
      <c r="AC24" s="378">
        <f t="shared" si="0"/>
        <v>16.350617283950616</v>
      </c>
      <c r="AD24" s="196"/>
      <c r="AE24" s="176">
        <f>(M24/U24)*((100-CC24)/(100-9))*100</f>
        <v>17.967711301044631</v>
      </c>
      <c r="AF24" s="198">
        <v>41822</v>
      </c>
      <c r="AG24" s="176">
        <v>4.9000000000000004</v>
      </c>
      <c r="AH24" s="196">
        <v>41927</v>
      </c>
      <c r="AI24" s="176">
        <v>160</v>
      </c>
      <c r="AJ24" s="196"/>
      <c r="AK24" s="180"/>
      <c r="AL24" s="199"/>
      <c r="AM24" s="176">
        <v>90</v>
      </c>
      <c r="AN24" s="199"/>
      <c r="AO24" s="180"/>
      <c r="AP24" s="180"/>
      <c r="AQ24" s="180"/>
      <c r="AR24" s="180"/>
      <c r="AS24" s="180"/>
      <c r="AT24" s="180"/>
      <c r="AU24" s="180"/>
      <c r="AV24" s="180"/>
      <c r="AW24" s="180"/>
      <c r="AX24" s="180"/>
      <c r="AY24" s="180"/>
      <c r="AZ24" s="180"/>
      <c r="BA24" s="180"/>
      <c r="BB24" s="180"/>
      <c r="BC24" s="180"/>
      <c r="BD24" s="180"/>
      <c r="BE24" s="179"/>
      <c r="BF24" s="179"/>
      <c r="BG24" s="201">
        <v>56</v>
      </c>
      <c r="BH24" s="178"/>
      <c r="BI24" s="201">
        <v>4.3</v>
      </c>
      <c r="BJ24" s="178"/>
      <c r="BK24" s="201">
        <v>0.9</v>
      </c>
      <c r="BL24" s="178"/>
      <c r="BM24" s="201">
        <v>27</v>
      </c>
      <c r="BN24" s="178"/>
      <c r="BO24" s="201">
        <v>17.899999999999999</v>
      </c>
      <c r="BP24" s="178"/>
      <c r="BQ24" s="201">
        <v>8</v>
      </c>
      <c r="BR24" s="178"/>
      <c r="BS24" s="201">
        <v>47.8</v>
      </c>
      <c r="BT24" s="178"/>
      <c r="BU24" s="201">
        <v>19.7</v>
      </c>
      <c r="BV24" s="178"/>
      <c r="BW24" s="201">
        <v>64.5</v>
      </c>
      <c r="BX24" s="178"/>
      <c r="BY24" s="178">
        <v>6.0999999999999943</v>
      </c>
      <c r="BZ24" s="178"/>
      <c r="CA24" s="179"/>
      <c r="CB24" s="179"/>
      <c r="CC24" s="201">
        <v>5.4</v>
      </c>
      <c r="CD24" s="198">
        <v>41822</v>
      </c>
      <c r="CE24" s="178"/>
      <c r="CF24" s="178"/>
      <c r="CG24" s="179"/>
      <c r="CH24" s="179"/>
      <c r="CI24" s="174" t="s">
        <v>9346</v>
      </c>
      <c r="CJ24" s="178"/>
      <c r="CK24" s="178"/>
      <c r="CL24" s="174" t="s">
        <v>9001</v>
      </c>
      <c r="CM24" s="174"/>
    </row>
    <row r="25" spans="1:91" s="181" customFormat="1">
      <c r="A25" s="202" t="s">
        <v>7661</v>
      </c>
      <c r="B25" s="203" t="s">
        <v>271</v>
      </c>
      <c r="C25" s="203" t="s">
        <v>8998</v>
      </c>
      <c r="D25" s="203" t="s">
        <v>8339</v>
      </c>
      <c r="E25" s="204">
        <v>215</v>
      </c>
      <c r="F25" s="204">
        <v>12</v>
      </c>
      <c r="G25" s="204"/>
      <c r="H25" s="204"/>
      <c r="I25" s="205"/>
      <c r="J25" s="206"/>
      <c r="K25" s="177">
        <v>7</v>
      </c>
      <c r="L25" s="207"/>
      <c r="M25" s="208">
        <v>3.6</v>
      </c>
      <c r="N25" s="209">
        <v>41822</v>
      </c>
      <c r="O25" s="183"/>
      <c r="P25" s="210"/>
      <c r="Q25" s="183"/>
      <c r="R25" s="210"/>
      <c r="S25" s="177">
        <f>(AE25*BS25)/100</f>
        <v>10.938485958485961</v>
      </c>
      <c r="T25" s="209"/>
      <c r="U25" s="177">
        <v>16.2</v>
      </c>
      <c r="V25" s="210"/>
      <c r="W25" s="183"/>
      <c r="X25" s="210"/>
      <c r="Y25" s="213">
        <f>(AE25*BU25)/100</f>
        <v>4.9026617826617835</v>
      </c>
      <c r="Z25" s="209"/>
      <c r="AA25" s="213"/>
      <c r="AB25" s="209"/>
      <c r="AC25" s="378">
        <f t="shared" si="0"/>
        <v>21.044444444444448</v>
      </c>
      <c r="AD25" s="207"/>
      <c r="AE25" s="177">
        <f>(M25/U25)*((100-CC25)/(100-9))*100</f>
        <v>23.125763125763129</v>
      </c>
      <c r="AF25" s="209">
        <v>41822</v>
      </c>
      <c r="AG25" s="177">
        <v>4.5999999999999996</v>
      </c>
      <c r="AH25" s="207">
        <v>41927</v>
      </c>
      <c r="AI25" s="177">
        <v>90</v>
      </c>
      <c r="AJ25" s="207"/>
      <c r="AK25" s="183"/>
      <c r="AL25" s="210"/>
      <c r="AM25" s="177">
        <v>85</v>
      </c>
      <c r="AN25" s="210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  <c r="BA25" s="183"/>
      <c r="BB25" s="183"/>
      <c r="BC25" s="183"/>
      <c r="BD25" s="183"/>
      <c r="BE25" s="182"/>
      <c r="BF25" s="182"/>
      <c r="BG25" s="211">
        <v>8.9</v>
      </c>
      <c r="BI25" s="211">
        <v>4.7</v>
      </c>
      <c r="BK25" s="211">
        <v>1.4</v>
      </c>
      <c r="BM25" s="211">
        <v>57.4</v>
      </c>
      <c r="BO25" s="211">
        <v>19.2</v>
      </c>
      <c r="BQ25" s="211">
        <v>9.8000000000000007</v>
      </c>
      <c r="BS25" s="211">
        <v>47.3</v>
      </c>
      <c r="BU25" s="211">
        <v>21.2</v>
      </c>
      <c r="BW25" s="211">
        <v>84.2</v>
      </c>
      <c r="BY25" s="181">
        <v>6.0999999999999943</v>
      </c>
      <c r="CA25" s="182"/>
      <c r="CB25" s="182"/>
      <c r="CC25" s="211">
        <v>5.3</v>
      </c>
      <c r="CD25" s="209">
        <v>41822</v>
      </c>
      <c r="CG25" s="182"/>
      <c r="CH25" s="182"/>
      <c r="CI25" s="175" t="s">
        <v>9373</v>
      </c>
      <c r="CL25" s="175">
        <v>9</v>
      </c>
      <c r="CM25" s="175"/>
    </row>
    <row r="26" spans="1:91">
      <c r="A26" s="191" t="s">
        <v>7789</v>
      </c>
      <c r="B26" s="192" t="s">
        <v>269</v>
      </c>
      <c r="C26" s="192" t="s">
        <v>417</v>
      </c>
      <c r="D26" s="192" t="s">
        <v>8849</v>
      </c>
      <c r="E26" s="193">
        <v>216</v>
      </c>
      <c r="F26" s="193">
        <v>1</v>
      </c>
      <c r="I26" s="194"/>
      <c r="K26" s="176">
        <v>7</v>
      </c>
      <c r="M26" s="197">
        <v>4.5999999999999996</v>
      </c>
      <c r="N26" s="198">
        <v>41822</v>
      </c>
      <c r="S26" s="176">
        <f>(AE26*BS26)/100</f>
        <v>0</v>
      </c>
      <c r="T26" s="198"/>
      <c r="U26" s="176">
        <v>16.2</v>
      </c>
      <c r="Y26" s="200">
        <f>(AE26*BU26)/100</f>
        <v>0</v>
      </c>
      <c r="Z26" s="198"/>
      <c r="AA26" s="200"/>
      <c r="AB26" s="198"/>
      <c r="AC26" s="378">
        <f t="shared" si="0"/>
        <v>26.435802469135801</v>
      </c>
      <c r="AE26" s="176">
        <f>(M26/U26)*((100-CC26)/(100-9))*100</f>
        <v>29.050332383665712</v>
      </c>
      <c r="AF26" s="198">
        <v>41822</v>
      </c>
      <c r="AH26" s="196">
        <v>41927</v>
      </c>
      <c r="AI26" s="176">
        <v>155</v>
      </c>
      <c r="AM26" s="176">
        <v>87</v>
      </c>
      <c r="BG26" s="201"/>
      <c r="BI26" s="201"/>
      <c r="BK26" s="201"/>
      <c r="BM26" s="201"/>
      <c r="BO26" s="201"/>
      <c r="BQ26" s="201"/>
      <c r="BS26" s="201"/>
      <c r="BU26" s="201"/>
      <c r="BW26" s="201"/>
      <c r="BY26" s="178">
        <v>100</v>
      </c>
      <c r="CC26" s="201">
        <v>6.9</v>
      </c>
      <c r="CD26" s="198">
        <v>41822</v>
      </c>
      <c r="CI26" s="174" t="s">
        <v>9337</v>
      </c>
      <c r="CL26" s="174">
        <v>1</v>
      </c>
    </row>
    <row r="27" spans="1:91">
      <c r="A27" s="191" t="s">
        <v>7744</v>
      </c>
      <c r="B27" s="192" t="s">
        <v>269</v>
      </c>
      <c r="C27" s="192" t="s">
        <v>417</v>
      </c>
      <c r="D27" s="192" t="s">
        <v>8669</v>
      </c>
      <c r="E27" s="193">
        <v>216</v>
      </c>
      <c r="F27" s="193">
        <v>2</v>
      </c>
      <c r="I27" s="194"/>
      <c r="K27" s="176">
        <v>8</v>
      </c>
      <c r="M27" s="197">
        <v>0.8</v>
      </c>
      <c r="N27" s="198">
        <v>41822</v>
      </c>
      <c r="S27" s="176">
        <f>(AE27*BS27)/100</f>
        <v>2.4000542667209332</v>
      </c>
      <c r="T27" s="198"/>
      <c r="U27" s="176">
        <v>16.2</v>
      </c>
      <c r="Y27" s="200">
        <f>(AE27*BU27)/100</f>
        <v>1.0161931895265228</v>
      </c>
      <c r="Z27" s="198"/>
      <c r="AA27" s="200"/>
      <c r="AB27" s="198"/>
      <c r="AC27" s="378">
        <f t="shared" si="0"/>
        <v>4.6469135802469133</v>
      </c>
      <c r="AE27" s="176">
        <f>(M27/U27)*((100-CC27)/(100-9))*100</f>
        <v>5.106498439831773</v>
      </c>
      <c r="AF27" s="198">
        <v>41822</v>
      </c>
      <c r="AG27" s="176">
        <v>4</v>
      </c>
      <c r="AH27" s="196">
        <v>41927</v>
      </c>
      <c r="AI27" s="176">
        <v>165</v>
      </c>
      <c r="AM27" s="176">
        <v>84</v>
      </c>
      <c r="BG27" s="201">
        <v>27</v>
      </c>
      <c r="BI27" s="201">
        <v>4.0999999999999996</v>
      </c>
      <c r="BK27" s="201">
        <v>1.2</v>
      </c>
      <c r="BM27" s="201">
        <v>46.9</v>
      </c>
      <c r="BO27" s="201">
        <v>16.3</v>
      </c>
      <c r="BQ27" s="201">
        <v>10.3</v>
      </c>
      <c r="BS27" s="201">
        <v>47</v>
      </c>
      <c r="BU27" s="201">
        <v>19.899999999999999</v>
      </c>
      <c r="BW27" s="201">
        <v>60.9</v>
      </c>
      <c r="BY27" s="178">
        <v>7</v>
      </c>
      <c r="CC27" s="201">
        <v>5.9</v>
      </c>
      <c r="CD27" s="198">
        <v>41822</v>
      </c>
      <c r="CI27" s="174" t="s">
        <v>9349</v>
      </c>
      <c r="CL27" s="174">
        <v>8</v>
      </c>
    </row>
    <row r="28" spans="1:91">
      <c r="A28" s="191" t="s">
        <v>7897</v>
      </c>
      <c r="B28" s="192" t="s">
        <v>269</v>
      </c>
      <c r="C28" s="192" t="s">
        <v>417</v>
      </c>
      <c r="D28" s="192" t="s">
        <v>8969</v>
      </c>
      <c r="E28" s="193">
        <v>216</v>
      </c>
      <c r="F28" s="193">
        <v>3</v>
      </c>
      <c r="I28" s="194"/>
      <c r="K28" s="176">
        <v>6</v>
      </c>
      <c r="M28" s="197">
        <v>3.45</v>
      </c>
      <c r="N28" s="198">
        <v>41822</v>
      </c>
      <c r="S28" s="176">
        <f>(AE28*BS28)/100</f>
        <v>11.196586284086287</v>
      </c>
      <c r="T28" s="198"/>
      <c r="U28" s="176">
        <v>16.2</v>
      </c>
      <c r="Y28" s="200">
        <f>(AE28*BU28)/100</f>
        <v>3.5220329670329678</v>
      </c>
      <c r="Z28" s="198"/>
      <c r="AA28" s="200"/>
      <c r="AB28" s="198"/>
      <c r="AC28" s="378">
        <f t="shared" si="0"/>
        <v>19.784259259259262</v>
      </c>
      <c r="AE28" s="176">
        <f>(M28/U28)*((100-CC28)/(100-9))*100</f>
        <v>21.740944240944245</v>
      </c>
      <c r="AF28" s="198">
        <v>41822</v>
      </c>
      <c r="AG28" s="176">
        <v>4.9000000000000004</v>
      </c>
      <c r="AH28" s="196">
        <v>41927</v>
      </c>
      <c r="AI28" s="176">
        <v>150</v>
      </c>
      <c r="AM28" s="176">
        <v>78</v>
      </c>
      <c r="BG28" s="201">
        <v>0</v>
      </c>
      <c r="BI28" s="201">
        <v>4.5</v>
      </c>
      <c r="BK28" s="201">
        <v>1.7</v>
      </c>
      <c r="BM28" s="201">
        <v>64.2</v>
      </c>
      <c r="BO28" s="201">
        <v>19.8</v>
      </c>
      <c r="BQ28" s="201">
        <v>8.6</v>
      </c>
      <c r="BS28" s="201">
        <v>51.5</v>
      </c>
      <c r="BU28" s="201">
        <v>16.2</v>
      </c>
      <c r="BW28" s="201">
        <v>15.7</v>
      </c>
      <c r="BY28" s="178">
        <v>7</v>
      </c>
      <c r="CC28" s="201">
        <v>7.1</v>
      </c>
      <c r="CD28" s="198">
        <v>41822</v>
      </c>
      <c r="CI28" s="174" t="s">
        <v>9361</v>
      </c>
      <c r="CL28" s="174">
        <v>1</v>
      </c>
    </row>
    <row r="29" spans="1:91">
      <c r="A29" s="191" t="s">
        <v>7684</v>
      </c>
      <c r="B29" s="192" t="s">
        <v>269</v>
      </c>
      <c r="C29" s="192" t="s">
        <v>417</v>
      </c>
      <c r="D29" s="192" t="s">
        <v>8429</v>
      </c>
      <c r="E29" s="193">
        <v>216</v>
      </c>
      <c r="F29" s="193">
        <v>4</v>
      </c>
      <c r="I29" s="194"/>
      <c r="K29" s="176">
        <v>8</v>
      </c>
      <c r="M29" s="197">
        <v>3.35</v>
      </c>
      <c r="N29" s="198">
        <v>41822</v>
      </c>
      <c r="S29" s="176">
        <f>(AE29*BS29)/100</f>
        <v>10.993031135531135</v>
      </c>
      <c r="T29" s="198"/>
      <c r="U29" s="176">
        <v>16.2</v>
      </c>
      <c r="Y29" s="200">
        <f>(AE29*BU29)/100</f>
        <v>3.7286304436304429</v>
      </c>
      <c r="Z29" s="198"/>
      <c r="AA29" s="200"/>
      <c r="AB29" s="198"/>
      <c r="AC29" s="378">
        <f t="shared" si="0"/>
        <v>19.500308641975309</v>
      </c>
      <c r="AE29" s="176">
        <f>(M29/U29)*((100-CC29)/(100-9))*100</f>
        <v>21.428910595577261</v>
      </c>
      <c r="AF29" s="198">
        <v>41822</v>
      </c>
      <c r="AG29" s="176">
        <v>5.0999999999999996</v>
      </c>
      <c r="AH29" s="196">
        <v>41927</v>
      </c>
      <c r="AI29" s="176">
        <v>145</v>
      </c>
      <c r="AM29" s="176">
        <v>79</v>
      </c>
      <c r="BG29" s="201">
        <v>1.8</v>
      </c>
      <c r="BI29" s="201">
        <v>4.5</v>
      </c>
      <c r="BK29" s="201">
        <v>1.6</v>
      </c>
      <c r="BM29" s="201">
        <v>70.2</v>
      </c>
      <c r="BO29" s="201">
        <v>17.5</v>
      </c>
      <c r="BQ29" s="201">
        <v>7.1</v>
      </c>
      <c r="BS29" s="201">
        <v>51.3</v>
      </c>
      <c r="BU29" s="201">
        <v>17.399999999999999</v>
      </c>
      <c r="BW29" s="201">
        <v>21.2</v>
      </c>
      <c r="BY29" s="178">
        <v>6.7000000000000028</v>
      </c>
      <c r="CC29" s="201">
        <v>5.7</v>
      </c>
      <c r="CD29" s="198">
        <v>41822</v>
      </c>
      <c r="CI29" s="174" t="s">
        <v>9355</v>
      </c>
      <c r="CL29" s="174">
        <v>3</v>
      </c>
    </row>
    <row r="30" spans="1:91">
      <c r="A30" s="191" t="s">
        <v>7673</v>
      </c>
      <c r="B30" s="192" t="s">
        <v>269</v>
      </c>
      <c r="C30" s="192" t="s">
        <v>417</v>
      </c>
      <c r="D30" s="192" t="s">
        <v>8385</v>
      </c>
      <c r="E30" s="193">
        <v>216</v>
      </c>
      <c r="F30" s="193">
        <v>5</v>
      </c>
      <c r="I30" s="194"/>
      <c r="K30" s="176">
        <v>8</v>
      </c>
      <c r="M30" s="197">
        <v>1.4</v>
      </c>
      <c r="N30" s="198">
        <v>41822</v>
      </c>
      <c r="S30" s="176">
        <f>(AE30*BS30)/100</f>
        <v>4.3794871794871799</v>
      </c>
      <c r="T30" s="198"/>
      <c r="U30" s="176">
        <v>16.2</v>
      </c>
      <c r="Y30" s="200">
        <f>(AE30*BU30)/100</f>
        <v>1.6243589743589746</v>
      </c>
      <c r="Z30" s="198"/>
      <c r="AA30" s="200"/>
      <c r="AB30" s="198"/>
      <c r="AC30" s="378">
        <f t="shared" si="0"/>
        <v>8.1666666666666661</v>
      </c>
      <c r="AE30" s="176">
        <f>(M30/U30)*((100-CC30)/(100-9))*100</f>
        <v>8.9743589743589745</v>
      </c>
      <c r="AF30" s="198">
        <v>41822</v>
      </c>
      <c r="AG30" s="176">
        <v>4.7</v>
      </c>
      <c r="AH30" s="196">
        <v>41927</v>
      </c>
      <c r="AI30" s="176">
        <v>120</v>
      </c>
      <c r="AM30" s="176">
        <v>76</v>
      </c>
      <c r="BG30" s="201">
        <v>31.1</v>
      </c>
      <c r="BI30" s="201">
        <v>4.7</v>
      </c>
      <c r="BK30" s="201">
        <v>1.2</v>
      </c>
      <c r="BM30" s="201">
        <v>43.8</v>
      </c>
      <c r="BO30" s="201">
        <v>17.600000000000001</v>
      </c>
      <c r="BQ30" s="201">
        <v>8.3000000000000007</v>
      </c>
      <c r="BS30" s="201">
        <v>48.8</v>
      </c>
      <c r="BU30" s="201">
        <v>18.100000000000001</v>
      </c>
      <c r="BW30" s="201">
        <v>52.6</v>
      </c>
      <c r="BY30" s="178">
        <v>6.2999999999999972</v>
      </c>
      <c r="CC30" s="201">
        <v>5.5</v>
      </c>
      <c r="CD30" s="198">
        <v>41822</v>
      </c>
      <c r="CI30" s="174" t="s">
        <v>9373</v>
      </c>
      <c r="CL30" s="174">
        <v>8</v>
      </c>
    </row>
    <row r="31" spans="1:91">
      <c r="A31" s="191" t="s">
        <v>7630</v>
      </c>
      <c r="B31" s="192" t="s">
        <v>269</v>
      </c>
      <c r="C31" s="192" t="s">
        <v>417</v>
      </c>
      <c r="D31" s="192" t="s">
        <v>8213</v>
      </c>
      <c r="E31" s="193">
        <v>216</v>
      </c>
      <c r="F31" s="193">
        <v>6</v>
      </c>
      <c r="I31" s="326"/>
      <c r="K31" s="176">
        <v>9</v>
      </c>
      <c r="M31" s="197">
        <v>2.4500000000000002</v>
      </c>
      <c r="N31" s="198">
        <v>41822</v>
      </c>
      <c r="O31" s="179"/>
      <c r="S31" s="176">
        <f>(AE31*BS31)/100</f>
        <v>7.7366951566951574</v>
      </c>
      <c r="T31" s="198"/>
      <c r="U31" s="176">
        <v>16.2</v>
      </c>
      <c r="Y31" s="200">
        <f>(AE31*BU31)/100</f>
        <v>2.7529344729344727</v>
      </c>
      <c r="Z31" s="198"/>
      <c r="AA31" s="200"/>
      <c r="AB31" s="198"/>
      <c r="AC31" s="378">
        <f t="shared" si="0"/>
        <v>14.397530864197531</v>
      </c>
      <c r="AE31" s="176">
        <f>(M31/U31)*((100-CC31)/(100-9))*100</f>
        <v>15.821462488129157</v>
      </c>
      <c r="AF31" s="198">
        <v>41822</v>
      </c>
      <c r="AG31" s="176">
        <v>4.9000000000000004</v>
      </c>
      <c r="AH31" s="196">
        <v>41927</v>
      </c>
      <c r="AI31" s="176">
        <v>135</v>
      </c>
      <c r="AM31" s="176">
        <v>78</v>
      </c>
      <c r="BG31" s="201">
        <v>43.2</v>
      </c>
      <c r="BI31" s="201">
        <v>4.5</v>
      </c>
      <c r="BK31" s="201">
        <v>1.1000000000000001</v>
      </c>
      <c r="BM31" s="201">
        <v>34.5</v>
      </c>
      <c r="BO31" s="201">
        <v>16.3</v>
      </c>
      <c r="BQ31" s="201">
        <v>8.5</v>
      </c>
      <c r="BS31" s="201">
        <v>48.9</v>
      </c>
      <c r="BU31" s="201">
        <v>17.399999999999999</v>
      </c>
      <c r="BW31" s="201">
        <v>64.7</v>
      </c>
      <c r="BY31" s="178">
        <v>6.5999999999999943</v>
      </c>
      <c r="CC31" s="201">
        <v>4.8</v>
      </c>
      <c r="CD31" s="198">
        <v>41822</v>
      </c>
      <c r="CI31" s="174" t="s">
        <v>9355</v>
      </c>
      <c r="CL31" s="174">
        <v>7</v>
      </c>
    </row>
    <row r="32" spans="1:91">
      <c r="A32" s="191" t="s">
        <v>7673</v>
      </c>
      <c r="B32" s="192" t="s">
        <v>271</v>
      </c>
      <c r="C32" s="192" t="s">
        <v>8998</v>
      </c>
      <c r="D32" s="192" t="s">
        <v>8387</v>
      </c>
      <c r="E32" s="193">
        <v>216</v>
      </c>
      <c r="F32" s="193">
        <v>7</v>
      </c>
      <c r="I32" s="194"/>
      <c r="K32" s="176">
        <v>8</v>
      </c>
      <c r="M32" s="197">
        <v>3.65</v>
      </c>
      <c r="N32" s="198">
        <v>41822</v>
      </c>
      <c r="S32" s="176">
        <f>(AE32*BS32)/100</f>
        <v>11.172387057387057</v>
      </c>
      <c r="T32" s="198"/>
      <c r="U32" s="176">
        <v>16.2</v>
      </c>
      <c r="Y32" s="200">
        <f>(AE32*BU32)/100</f>
        <v>4.1925729209062537</v>
      </c>
      <c r="Z32" s="198"/>
      <c r="AA32" s="200"/>
      <c r="AB32" s="198"/>
      <c r="AC32" s="378">
        <f t="shared" si="0"/>
        <v>21.314197530864195</v>
      </c>
      <c r="AE32" s="176">
        <f>(M32/U32)*((100-CC32)/(100-9))*100</f>
        <v>23.422195088861752</v>
      </c>
      <c r="AF32" s="198">
        <v>41822</v>
      </c>
      <c r="AG32" s="176">
        <v>4.7</v>
      </c>
      <c r="AH32" s="196">
        <v>41927</v>
      </c>
      <c r="AI32" s="176">
        <v>140</v>
      </c>
      <c r="AM32" s="176">
        <v>78</v>
      </c>
      <c r="BG32" s="201">
        <v>17.600000000000001</v>
      </c>
      <c r="BI32" s="201">
        <v>4.5999999999999996</v>
      </c>
      <c r="BK32" s="201">
        <v>1.5</v>
      </c>
      <c r="BM32" s="201">
        <v>52.9</v>
      </c>
      <c r="BO32" s="201">
        <v>21</v>
      </c>
      <c r="BQ32" s="201">
        <v>6.6</v>
      </c>
      <c r="BS32" s="201">
        <v>47.7</v>
      </c>
      <c r="BU32" s="201">
        <v>17.899999999999999</v>
      </c>
      <c r="BW32" s="201">
        <v>29.8</v>
      </c>
      <c r="BY32" s="178">
        <v>5.9000000000000057</v>
      </c>
      <c r="CC32" s="201">
        <v>5.4</v>
      </c>
      <c r="CD32" s="198">
        <v>41822</v>
      </c>
      <c r="CI32" s="174" t="s">
        <v>9358</v>
      </c>
      <c r="CL32" s="174">
        <v>7</v>
      </c>
    </row>
    <row r="33" spans="1:90">
      <c r="A33" s="191" t="s">
        <v>7686</v>
      </c>
      <c r="B33" s="192" t="s">
        <v>271</v>
      </c>
      <c r="C33" s="192" t="s">
        <v>8998</v>
      </c>
      <c r="D33" s="192" t="s">
        <v>8439</v>
      </c>
      <c r="E33" s="193">
        <v>216</v>
      </c>
      <c r="F33" s="193">
        <v>8</v>
      </c>
      <c r="I33" s="194"/>
      <c r="K33" s="176">
        <v>9</v>
      </c>
      <c r="M33" s="197">
        <v>5.0999999999999996</v>
      </c>
      <c r="N33" s="198">
        <v>41822</v>
      </c>
      <c r="S33" s="176">
        <f>(AE33*BS33)/100</f>
        <v>16.28246438746439</v>
      </c>
      <c r="T33" s="198"/>
      <c r="U33" s="176">
        <v>16.2</v>
      </c>
      <c r="Y33" s="200">
        <f>(AE33*BU33)/100</f>
        <v>5.602216117216118</v>
      </c>
      <c r="Z33" s="198"/>
      <c r="AA33" s="200"/>
      <c r="AB33" s="198"/>
      <c r="AC33" s="378">
        <f t="shared" si="0"/>
        <v>29.812962962962963</v>
      </c>
      <c r="AE33" s="176">
        <f>(M33/U33)*((100-CC33)/(100-9))*100</f>
        <v>32.761497761497765</v>
      </c>
      <c r="AF33" s="198">
        <v>41822</v>
      </c>
      <c r="AG33" s="176">
        <v>5.0999999999999996</v>
      </c>
      <c r="AH33" s="196">
        <v>41927</v>
      </c>
      <c r="AI33" s="176">
        <v>140</v>
      </c>
      <c r="AM33" s="176">
        <v>89</v>
      </c>
      <c r="BG33" s="201">
        <v>1.1000000000000001</v>
      </c>
      <c r="BI33" s="201">
        <v>4.7</v>
      </c>
      <c r="BK33" s="201">
        <v>1.6</v>
      </c>
      <c r="BM33" s="201">
        <v>62.5</v>
      </c>
      <c r="BO33" s="201">
        <v>21.2</v>
      </c>
      <c r="BQ33" s="201">
        <v>8</v>
      </c>
      <c r="BS33" s="201">
        <v>49.7</v>
      </c>
      <c r="BU33" s="201">
        <v>17.100000000000001</v>
      </c>
      <c r="BW33" s="201">
        <v>22.4</v>
      </c>
      <c r="BY33" s="178">
        <v>6.2999999999999972</v>
      </c>
      <c r="CC33" s="201">
        <v>5.3</v>
      </c>
      <c r="CD33" s="198">
        <v>41822</v>
      </c>
      <c r="CI33" s="174" t="s">
        <v>9355</v>
      </c>
      <c r="CL33" s="174">
        <v>1</v>
      </c>
    </row>
    <row r="34" spans="1:90">
      <c r="A34" s="191" t="s">
        <v>7772</v>
      </c>
      <c r="B34" s="192" t="s">
        <v>271</v>
      </c>
      <c r="C34" s="192" t="s">
        <v>8998</v>
      </c>
      <c r="D34" s="192" t="s">
        <v>8783</v>
      </c>
      <c r="E34" s="193">
        <v>216</v>
      </c>
      <c r="F34" s="193">
        <v>9</v>
      </c>
      <c r="I34" s="194"/>
      <c r="K34" s="176">
        <v>8</v>
      </c>
      <c r="M34" s="197">
        <v>4.95</v>
      </c>
      <c r="N34" s="198">
        <v>41822</v>
      </c>
      <c r="S34" s="176">
        <f>(AE34*BS34)/100</f>
        <v>15.738461538461541</v>
      </c>
      <c r="T34" s="198"/>
      <c r="U34" s="176">
        <v>16.2</v>
      </c>
      <c r="Y34" s="200">
        <f>(AE34*BU34)/100</f>
        <v>5.8067307692307706</v>
      </c>
      <c r="Z34" s="198"/>
      <c r="AA34" s="200"/>
      <c r="AB34" s="198"/>
      <c r="AC34" s="378">
        <f t="shared" si="0"/>
        <v>28.875000000000004</v>
      </c>
      <c r="AE34" s="176">
        <f>(M34/U34)*((100-CC34)/(100-9))*100</f>
        <v>31.730769230769234</v>
      </c>
      <c r="AF34" s="198">
        <v>41822</v>
      </c>
      <c r="AG34" s="176">
        <v>4.4000000000000004</v>
      </c>
      <c r="AH34" s="196">
        <v>41927</v>
      </c>
      <c r="AI34" s="176">
        <v>160</v>
      </c>
      <c r="AM34" s="176">
        <v>86</v>
      </c>
      <c r="BG34" s="201">
        <v>0</v>
      </c>
      <c r="BI34" s="201">
        <v>4.4000000000000004</v>
      </c>
      <c r="BK34" s="201">
        <v>1.6</v>
      </c>
      <c r="BM34" s="201">
        <v>62.8</v>
      </c>
      <c r="BO34" s="201">
        <v>20.8</v>
      </c>
      <c r="BQ34" s="201">
        <v>8.8000000000000007</v>
      </c>
      <c r="BS34" s="201">
        <v>49.6</v>
      </c>
      <c r="BU34" s="201">
        <v>18.3</v>
      </c>
      <c r="BW34" s="201">
        <v>14.6</v>
      </c>
      <c r="BY34" s="178">
        <v>6.2000000000000028</v>
      </c>
      <c r="CC34" s="201">
        <v>5.5</v>
      </c>
      <c r="CD34" s="198">
        <v>41822</v>
      </c>
      <c r="CI34" s="174" t="s">
        <v>9376</v>
      </c>
      <c r="CL34" s="174">
        <v>1</v>
      </c>
    </row>
    <row r="35" spans="1:90">
      <c r="A35" s="191" t="s">
        <v>7714</v>
      </c>
      <c r="B35" s="192" t="s">
        <v>271</v>
      </c>
      <c r="C35" s="192" t="s">
        <v>8998</v>
      </c>
      <c r="D35" s="192" t="s">
        <v>8551</v>
      </c>
      <c r="E35" s="193">
        <v>216</v>
      </c>
      <c r="F35" s="193">
        <v>10</v>
      </c>
      <c r="I35" s="194"/>
      <c r="K35" s="176">
        <v>9</v>
      </c>
      <c r="M35" s="197">
        <v>6.4</v>
      </c>
      <c r="N35" s="198">
        <v>41822</v>
      </c>
      <c r="S35" s="176">
        <f>(AE35*BS35)/100</f>
        <v>20.329181929181928</v>
      </c>
      <c r="T35" s="198"/>
      <c r="U35" s="176">
        <v>16.2</v>
      </c>
      <c r="Y35" s="200">
        <f>(AE35*BU35)/100</f>
        <v>6.7763939763939769</v>
      </c>
      <c r="Z35" s="198"/>
      <c r="AA35" s="200"/>
      <c r="AB35" s="198"/>
      <c r="AC35" s="378">
        <f t="shared" si="0"/>
        <v>37.372839506172838</v>
      </c>
      <c r="AE35" s="176">
        <f>(M35/U35)*((100-CC35)/(100-9))*100</f>
        <v>41.069054402387735</v>
      </c>
      <c r="AF35" s="198">
        <v>41822</v>
      </c>
      <c r="AG35" s="176">
        <v>4.3</v>
      </c>
      <c r="AH35" s="196">
        <v>41927</v>
      </c>
      <c r="AI35" s="176">
        <v>150</v>
      </c>
      <c r="AM35" s="176">
        <v>84</v>
      </c>
      <c r="BG35" s="201">
        <v>1.6</v>
      </c>
      <c r="BI35" s="201">
        <v>4.7</v>
      </c>
      <c r="BK35" s="201">
        <v>1.6</v>
      </c>
      <c r="BM35" s="201">
        <v>63.2</v>
      </c>
      <c r="BO35" s="201">
        <v>23.2</v>
      </c>
      <c r="BQ35" s="201">
        <v>8.6999999999999993</v>
      </c>
      <c r="BS35" s="201">
        <v>49.5</v>
      </c>
      <c r="BU35" s="201">
        <v>16.5</v>
      </c>
      <c r="BW35" s="201">
        <v>7.2</v>
      </c>
      <c r="BY35" s="178">
        <v>6.2999999999999972</v>
      </c>
      <c r="CC35" s="201">
        <v>5.4</v>
      </c>
      <c r="CD35" s="198">
        <v>41822</v>
      </c>
      <c r="CI35" s="174" t="s">
        <v>9349</v>
      </c>
      <c r="CL35" s="174">
        <v>3</v>
      </c>
    </row>
    <row r="36" spans="1:90">
      <c r="A36" s="191" t="s">
        <v>7757</v>
      </c>
      <c r="B36" s="192" t="s">
        <v>271</v>
      </c>
      <c r="C36" s="192" t="s">
        <v>8998</v>
      </c>
      <c r="D36" s="192" t="s">
        <v>8723</v>
      </c>
      <c r="E36" s="193">
        <v>216</v>
      </c>
      <c r="F36" s="193">
        <v>11</v>
      </c>
      <c r="I36" s="194"/>
      <c r="K36" s="176">
        <v>9</v>
      </c>
      <c r="M36" s="197">
        <v>5.4</v>
      </c>
      <c r="N36" s="198">
        <v>41822</v>
      </c>
      <c r="S36" s="176">
        <f>(AE36*BS36)/100</f>
        <v>16.963809523809527</v>
      </c>
      <c r="T36" s="198"/>
      <c r="U36" s="176">
        <v>16.2</v>
      </c>
      <c r="Y36" s="200">
        <f>(AE36*BU36)/100</f>
        <v>6.8133333333333352</v>
      </c>
      <c r="Z36" s="198"/>
      <c r="AA36" s="200"/>
      <c r="AB36" s="198"/>
      <c r="AC36" s="378">
        <f t="shared" si="0"/>
        <v>31.63333333333334</v>
      </c>
      <c r="AE36" s="176">
        <f>(M36/U36)*((100-CC36)/(100-9))*100</f>
        <v>34.761904761904766</v>
      </c>
      <c r="AF36" s="198">
        <v>41822</v>
      </c>
      <c r="AG36" s="176">
        <v>4.0999999999999996</v>
      </c>
      <c r="AH36" s="196">
        <v>41927</v>
      </c>
      <c r="AI36" s="176">
        <v>145</v>
      </c>
      <c r="AM36" s="176">
        <v>90</v>
      </c>
      <c r="BG36" s="201">
        <v>56</v>
      </c>
      <c r="BI36" s="201">
        <v>4.0999999999999996</v>
      </c>
      <c r="BK36" s="201">
        <v>0.8</v>
      </c>
      <c r="BM36" s="201">
        <v>20</v>
      </c>
      <c r="BO36" s="201">
        <v>16.100000000000001</v>
      </c>
      <c r="BQ36" s="201">
        <v>8.5</v>
      </c>
      <c r="BS36" s="201">
        <v>48.8</v>
      </c>
      <c r="BU36" s="201">
        <v>19.600000000000001</v>
      </c>
      <c r="BW36" s="201">
        <v>53.7</v>
      </c>
      <c r="BY36" s="178">
        <v>5.7999999999999972</v>
      </c>
      <c r="CC36" s="201">
        <v>5.0999999999999996</v>
      </c>
      <c r="CD36" s="198">
        <v>41822</v>
      </c>
      <c r="CI36" s="174" t="s">
        <v>9355</v>
      </c>
      <c r="CL36" s="174">
        <v>4</v>
      </c>
    </row>
    <row r="37" spans="1:90">
      <c r="A37" s="191" t="s">
        <v>7716</v>
      </c>
      <c r="B37" s="192" t="s">
        <v>271</v>
      </c>
      <c r="C37" s="192" t="s">
        <v>8998</v>
      </c>
      <c r="D37" s="192" t="s">
        <v>8559</v>
      </c>
      <c r="E37" s="193">
        <v>216</v>
      </c>
      <c r="F37" s="193">
        <v>12</v>
      </c>
      <c r="I37" s="194"/>
      <c r="K37" s="176">
        <v>8</v>
      </c>
      <c r="M37" s="197">
        <v>5.85</v>
      </c>
      <c r="N37" s="198">
        <v>41822</v>
      </c>
      <c r="S37" s="176">
        <f>(AE37*BS37)/100</f>
        <v>18.619999999999997</v>
      </c>
      <c r="T37" s="198"/>
      <c r="U37" s="176">
        <v>16.2</v>
      </c>
      <c r="Y37" s="200">
        <f>(AE37*BU37)/100</f>
        <v>6.4652777777777768</v>
      </c>
      <c r="Z37" s="198"/>
      <c r="AA37" s="200"/>
      <c r="AB37" s="198"/>
      <c r="AC37" s="378">
        <f t="shared" si="0"/>
        <v>33.61944444444444</v>
      </c>
      <c r="AE37" s="176">
        <f>(M37/U37)*((100-CC37)/(100-9))*100</f>
        <v>36.944444444444443</v>
      </c>
      <c r="AF37" s="198">
        <v>41822</v>
      </c>
      <c r="AG37" s="176">
        <v>4.3</v>
      </c>
      <c r="AH37" s="196">
        <v>41927</v>
      </c>
      <c r="AI37" s="176">
        <v>160</v>
      </c>
      <c r="AM37" s="176">
        <v>84</v>
      </c>
      <c r="BG37" s="201">
        <v>0</v>
      </c>
      <c r="BI37" s="201">
        <v>4.4000000000000004</v>
      </c>
      <c r="BK37" s="201">
        <v>1.8</v>
      </c>
      <c r="BM37" s="201">
        <v>68.2</v>
      </c>
      <c r="BO37" s="201">
        <v>19.899999999999999</v>
      </c>
      <c r="BQ37" s="201">
        <v>7.2</v>
      </c>
      <c r="BS37" s="201">
        <v>50.4</v>
      </c>
      <c r="BU37" s="201">
        <v>17.5</v>
      </c>
      <c r="BW37" s="201">
        <v>14</v>
      </c>
      <c r="BY37" s="178">
        <v>6.5</v>
      </c>
      <c r="CC37" s="201">
        <v>6.9</v>
      </c>
      <c r="CD37" s="198">
        <v>41822</v>
      </c>
      <c r="CI37" s="174" t="s">
        <v>9356</v>
      </c>
      <c r="CL37" s="174">
        <v>4</v>
      </c>
    </row>
    <row r="38" spans="1:90">
      <c r="A38" s="191" t="s">
        <v>7667</v>
      </c>
      <c r="B38" s="192" t="s">
        <v>269</v>
      </c>
      <c r="C38" s="192" t="s">
        <v>417</v>
      </c>
      <c r="D38" s="192" t="s">
        <v>8361</v>
      </c>
      <c r="E38" s="193">
        <v>217</v>
      </c>
      <c r="F38" s="193">
        <v>1</v>
      </c>
      <c r="I38" s="194"/>
      <c r="K38" s="176">
        <v>6</v>
      </c>
      <c r="M38" s="197">
        <v>4.9000000000000004</v>
      </c>
      <c r="N38" s="198">
        <v>41822</v>
      </c>
      <c r="S38" s="176">
        <f>(AE38*BS38)/100</f>
        <v>0</v>
      </c>
      <c r="T38" s="198"/>
      <c r="U38" s="176">
        <v>16.2</v>
      </c>
      <c r="Y38" s="200">
        <f>(AE38*BU38)/100</f>
        <v>0</v>
      </c>
      <c r="Z38" s="198"/>
      <c r="AA38" s="200"/>
      <c r="AB38" s="198"/>
      <c r="AC38" s="378">
        <f t="shared" si="0"/>
        <v>28.159876543209876</v>
      </c>
      <c r="AE38" s="176">
        <f>(M38/U38)*((100-CC38)/(100-9))*100</f>
        <v>30.944919278252609</v>
      </c>
      <c r="AF38" s="198">
        <v>41822</v>
      </c>
      <c r="AH38" s="196">
        <v>41927</v>
      </c>
      <c r="AI38" s="176">
        <v>165</v>
      </c>
      <c r="AM38" s="176">
        <v>94</v>
      </c>
      <c r="BG38" s="201"/>
      <c r="BI38" s="201"/>
      <c r="BK38" s="201"/>
      <c r="BM38" s="201"/>
      <c r="BO38" s="201"/>
      <c r="BQ38" s="201"/>
      <c r="BS38" s="201"/>
      <c r="BU38" s="201"/>
      <c r="BW38" s="201"/>
      <c r="BY38" s="178">
        <v>100</v>
      </c>
      <c r="CC38" s="201">
        <v>6.9</v>
      </c>
      <c r="CD38" s="198">
        <v>41822</v>
      </c>
      <c r="CI38" s="174" t="s">
        <v>9338</v>
      </c>
      <c r="CL38" s="174">
        <v>3</v>
      </c>
    </row>
    <row r="39" spans="1:90">
      <c r="A39" s="191" t="s">
        <v>7721</v>
      </c>
      <c r="B39" s="192" t="s">
        <v>269</v>
      </c>
      <c r="C39" s="192" t="s">
        <v>417</v>
      </c>
      <c r="D39" s="192" t="s">
        <v>8577</v>
      </c>
      <c r="E39" s="193">
        <v>217</v>
      </c>
      <c r="F39" s="193">
        <v>2</v>
      </c>
      <c r="I39" s="194"/>
      <c r="K39" s="176">
        <v>9</v>
      </c>
      <c r="M39" s="197">
        <v>3.65</v>
      </c>
      <c r="N39" s="198">
        <v>41822</v>
      </c>
      <c r="S39" s="176">
        <f>(AE39*BS39)/100</f>
        <v>12.145522317188984</v>
      </c>
      <c r="T39" s="198"/>
      <c r="U39" s="176">
        <v>16.2</v>
      </c>
      <c r="Y39" s="200">
        <f>(AE39*BU39)/100</f>
        <v>3.7046187762854434</v>
      </c>
      <c r="Z39" s="198"/>
      <c r="AA39" s="200"/>
      <c r="AB39" s="198"/>
      <c r="AC39" s="378">
        <f t="shared" si="0"/>
        <v>21.33672839506173</v>
      </c>
      <c r="AE39" s="176">
        <f>(M39/U39)*((100-CC39)/(100-9))*100</f>
        <v>23.446954280287617</v>
      </c>
      <c r="AF39" s="198">
        <v>41822</v>
      </c>
      <c r="AG39" s="176">
        <v>5.4</v>
      </c>
      <c r="AH39" s="196">
        <v>41927</v>
      </c>
      <c r="AI39" s="176">
        <v>125</v>
      </c>
      <c r="AM39" s="176">
        <v>83</v>
      </c>
      <c r="BG39" s="201">
        <v>3.9</v>
      </c>
      <c r="BI39" s="201">
        <v>4.8</v>
      </c>
      <c r="BK39" s="201">
        <v>1.5</v>
      </c>
      <c r="BM39" s="201">
        <v>61.5</v>
      </c>
      <c r="BO39" s="201">
        <v>21.1</v>
      </c>
      <c r="BQ39" s="201">
        <v>9.9</v>
      </c>
      <c r="BS39" s="201">
        <v>51.8</v>
      </c>
      <c r="BU39" s="201">
        <v>15.8</v>
      </c>
      <c r="BW39" s="201">
        <v>8.1</v>
      </c>
      <c r="BY39" s="178">
        <v>6.4000000000000057</v>
      </c>
      <c r="CC39" s="201">
        <v>5.3</v>
      </c>
      <c r="CD39" s="198">
        <v>41822</v>
      </c>
      <c r="CI39" s="174" t="s">
        <v>9350</v>
      </c>
      <c r="CL39" s="174">
        <v>3</v>
      </c>
    </row>
    <row r="40" spans="1:90">
      <c r="A40" s="191" t="s">
        <v>7674</v>
      </c>
      <c r="B40" s="192" t="s">
        <v>269</v>
      </c>
      <c r="C40" s="192" t="s">
        <v>417</v>
      </c>
      <c r="D40" s="192" t="s">
        <v>8389</v>
      </c>
      <c r="E40" s="193">
        <v>217</v>
      </c>
      <c r="F40" s="193">
        <v>3</v>
      </c>
      <c r="I40" s="194"/>
      <c r="K40" s="176">
        <v>7</v>
      </c>
      <c r="M40" s="197">
        <v>4.2</v>
      </c>
      <c r="N40" s="198">
        <v>41822</v>
      </c>
      <c r="S40" s="176">
        <f>(AE40*BS40)/100</f>
        <v>14.205384615384618</v>
      </c>
      <c r="T40" s="198"/>
      <c r="U40" s="176">
        <v>16.2</v>
      </c>
      <c r="Y40" s="200">
        <f>(AE40*BU40)/100</f>
        <v>4.1733333333333338</v>
      </c>
      <c r="Z40" s="198"/>
      <c r="AA40" s="200"/>
      <c r="AB40" s="198"/>
      <c r="AC40" s="378">
        <f t="shared" si="0"/>
        <v>24.344444444444449</v>
      </c>
      <c r="AE40" s="176">
        <f>(M40/U40)*((100-CC40)/(100-9))*100</f>
        <v>26.752136752136757</v>
      </c>
      <c r="AF40" s="198">
        <v>41822</v>
      </c>
      <c r="AG40" s="176">
        <v>5.0999999999999996</v>
      </c>
      <c r="AH40" s="196">
        <v>41927</v>
      </c>
      <c r="AI40" s="176">
        <v>150</v>
      </c>
      <c r="AM40" s="176">
        <v>85</v>
      </c>
      <c r="BG40" s="201">
        <v>0</v>
      </c>
      <c r="BI40" s="201">
        <v>5</v>
      </c>
      <c r="BK40" s="201">
        <v>1.5</v>
      </c>
      <c r="BM40" s="201">
        <v>63.5</v>
      </c>
      <c r="BO40" s="201">
        <v>21</v>
      </c>
      <c r="BQ40" s="201">
        <v>7.7</v>
      </c>
      <c r="BS40" s="201">
        <v>53.1</v>
      </c>
      <c r="BU40" s="201">
        <v>15.6</v>
      </c>
      <c r="BW40" s="201">
        <v>14.3</v>
      </c>
      <c r="BY40" s="178">
        <v>6.2999999999999972</v>
      </c>
      <c r="CC40" s="201">
        <v>6.1</v>
      </c>
      <c r="CD40" s="198">
        <v>41822</v>
      </c>
      <c r="CI40" s="174" t="s">
        <v>9344</v>
      </c>
      <c r="CL40" s="174">
        <v>3</v>
      </c>
    </row>
    <row r="41" spans="1:90">
      <c r="A41" s="191" t="s">
        <v>7657</v>
      </c>
      <c r="B41" s="192" t="s">
        <v>269</v>
      </c>
      <c r="C41" s="192" t="s">
        <v>417</v>
      </c>
      <c r="D41" s="192" t="s">
        <v>8321</v>
      </c>
      <c r="E41" s="193">
        <v>217</v>
      </c>
      <c r="F41" s="193">
        <v>4</v>
      </c>
      <c r="I41" s="194"/>
      <c r="K41" s="176">
        <v>9</v>
      </c>
      <c r="M41" s="197">
        <v>0.95</v>
      </c>
      <c r="N41" s="198">
        <v>41822</v>
      </c>
      <c r="S41" s="176">
        <f>(AE41*BS41)/100</f>
        <v>2.8316212182878848</v>
      </c>
      <c r="T41" s="198"/>
      <c r="U41" s="176">
        <v>16.2</v>
      </c>
      <c r="Y41" s="200">
        <f>(AE41*BU41)/100</f>
        <v>1.2388342830009498</v>
      </c>
      <c r="Z41" s="198"/>
      <c r="AA41" s="200"/>
      <c r="AB41" s="198"/>
      <c r="AC41" s="378">
        <f t="shared" si="0"/>
        <v>5.5533950617283949</v>
      </c>
      <c r="AE41" s="176">
        <f>(M41/U41)*((100-CC41)/(100-9))*100</f>
        <v>6.1026319359652694</v>
      </c>
      <c r="AF41" s="198">
        <v>41822</v>
      </c>
      <c r="AG41" s="176">
        <v>4.5</v>
      </c>
      <c r="AH41" s="196">
        <v>41927</v>
      </c>
      <c r="AI41" s="176">
        <v>70</v>
      </c>
      <c r="AM41" s="176">
        <v>79</v>
      </c>
      <c r="BG41" s="201">
        <v>2.6</v>
      </c>
      <c r="BI41" s="201">
        <v>5.0999999999999996</v>
      </c>
      <c r="BK41" s="201">
        <v>1.3</v>
      </c>
      <c r="BM41" s="201">
        <v>62.1</v>
      </c>
      <c r="BO41" s="201">
        <v>20.399999999999999</v>
      </c>
      <c r="BQ41" s="201">
        <v>11.2</v>
      </c>
      <c r="BS41" s="201">
        <v>46.4</v>
      </c>
      <c r="BU41" s="201">
        <v>20.3</v>
      </c>
      <c r="BW41" s="201">
        <v>79.099999999999994</v>
      </c>
      <c r="BY41" s="178">
        <v>6.7999999999999972</v>
      </c>
      <c r="CC41" s="201">
        <v>5.3</v>
      </c>
      <c r="CD41" s="198">
        <v>41822</v>
      </c>
      <c r="CI41" s="174" t="s">
        <v>9373</v>
      </c>
      <c r="CL41" s="174">
        <v>9</v>
      </c>
    </row>
    <row r="42" spans="1:90">
      <c r="A42" s="191" t="s">
        <v>7647</v>
      </c>
      <c r="B42" s="192" t="s">
        <v>269</v>
      </c>
      <c r="C42" s="192" t="s">
        <v>417</v>
      </c>
      <c r="D42" s="192" t="s">
        <v>8281</v>
      </c>
      <c r="E42" s="193">
        <v>217</v>
      </c>
      <c r="F42" s="193">
        <v>5</v>
      </c>
      <c r="I42" s="194"/>
      <c r="K42" s="176">
        <v>9</v>
      </c>
      <c r="M42" s="197">
        <v>2.1</v>
      </c>
      <c r="N42" s="198">
        <v>41822</v>
      </c>
      <c r="S42" s="176">
        <f>(AE42*BS42)/100</f>
        <v>6.3266666666666671</v>
      </c>
      <c r="T42" s="198"/>
      <c r="U42" s="176">
        <v>16.2</v>
      </c>
      <c r="Y42" s="200">
        <f>(AE42*BU42)/100</f>
        <v>2.7307407407407411</v>
      </c>
      <c r="Z42" s="198"/>
      <c r="AA42" s="200"/>
      <c r="AB42" s="198"/>
      <c r="AC42" s="378">
        <f t="shared" si="0"/>
        <v>12.301851851851854</v>
      </c>
      <c r="AE42" s="176">
        <f>(M42/U42)*((100-CC42)/(100-9))*100</f>
        <v>13.518518518518521</v>
      </c>
      <c r="AF42" s="198">
        <v>41822</v>
      </c>
      <c r="AG42" s="176">
        <v>5.4</v>
      </c>
      <c r="AH42" s="196">
        <v>41927</v>
      </c>
      <c r="AI42" s="176">
        <v>150</v>
      </c>
      <c r="AM42" s="176">
        <v>78</v>
      </c>
      <c r="BG42" s="201">
        <v>1.1000000000000001</v>
      </c>
      <c r="BI42" s="201">
        <v>5.3</v>
      </c>
      <c r="BK42" s="201">
        <v>1.3</v>
      </c>
      <c r="BM42" s="201">
        <v>59.6</v>
      </c>
      <c r="BO42" s="201">
        <v>22.1</v>
      </c>
      <c r="BQ42" s="201">
        <v>11.2</v>
      </c>
      <c r="BS42" s="201">
        <v>46.8</v>
      </c>
      <c r="BU42" s="201">
        <v>20.2</v>
      </c>
      <c r="BW42" s="201">
        <v>84</v>
      </c>
      <c r="BY42" s="178">
        <v>6.5999999999999943</v>
      </c>
      <c r="CC42" s="201">
        <v>5.0999999999999996</v>
      </c>
      <c r="CD42" s="198">
        <v>41822</v>
      </c>
      <c r="CI42" s="174" t="s">
        <v>9349</v>
      </c>
      <c r="CL42" s="174">
        <v>8</v>
      </c>
    </row>
    <row r="43" spans="1:90">
      <c r="A43" s="191" t="s">
        <v>7807</v>
      </c>
      <c r="B43" s="192" t="s">
        <v>269</v>
      </c>
      <c r="C43" s="192" t="s">
        <v>417</v>
      </c>
      <c r="D43" s="192" t="s">
        <v>8921</v>
      </c>
      <c r="E43" s="193">
        <v>217</v>
      </c>
      <c r="F43" s="193">
        <v>6</v>
      </c>
      <c r="I43" s="194"/>
      <c r="K43" s="176">
        <v>7</v>
      </c>
      <c r="M43" s="197">
        <v>4.05</v>
      </c>
      <c r="N43" s="198">
        <v>41822</v>
      </c>
      <c r="S43" s="176">
        <f>(AE43*BS43)/100</f>
        <v>14.021703296703299</v>
      </c>
      <c r="T43" s="198"/>
      <c r="U43" s="176">
        <v>16.2</v>
      </c>
      <c r="Y43" s="200">
        <f>(AE43*BU43)/100</f>
        <v>3.8789010989010997</v>
      </c>
      <c r="Z43" s="198"/>
      <c r="AA43" s="200"/>
      <c r="AB43" s="198"/>
      <c r="AC43" s="378">
        <f t="shared" si="0"/>
        <v>23.85</v>
      </c>
      <c r="AE43" s="176">
        <f>(M43/U43)*((100-CC43)/(100-9))*100</f>
        <v>26.208791208791212</v>
      </c>
      <c r="AF43" s="198">
        <v>41822</v>
      </c>
      <c r="AG43" s="176">
        <v>5.0999999999999996</v>
      </c>
      <c r="AH43" s="196">
        <v>41927</v>
      </c>
      <c r="AI43" s="176">
        <v>145</v>
      </c>
      <c r="AM43" s="176">
        <v>85</v>
      </c>
      <c r="BG43" s="201">
        <v>1.1000000000000001</v>
      </c>
      <c r="BI43" s="201">
        <v>5</v>
      </c>
      <c r="BK43" s="201">
        <v>1.6</v>
      </c>
      <c r="BM43" s="201">
        <v>63.8</v>
      </c>
      <c r="BO43" s="201">
        <v>22.3</v>
      </c>
      <c r="BQ43" s="201">
        <v>8.3000000000000007</v>
      </c>
      <c r="BS43" s="201">
        <v>53.5</v>
      </c>
      <c r="BU43" s="201">
        <v>14.8</v>
      </c>
      <c r="BW43" s="201">
        <v>14.4</v>
      </c>
      <c r="BY43" s="178">
        <v>6.2999999999999972</v>
      </c>
      <c r="CC43" s="201">
        <v>4.5999999999999996</v>
      </c>
      <c r="CD43" s="198">
        <v>41822</v>
      </c>
      <c r="CI43" s="174" t="s">
        <v>9353</v>
      </c>
      <c r="CL43" s="174">
        <v>1</v>
      </c>
    </row>
    <row r="44" spans="1:90">
      <c r="A44" s="191" t="s">
        <v>7755</v>
      </c>
      <c r="B44" s="192" t="s">
        <v>271</v>
      </c>
      <c r="C44" s="192" t="s">
        <v>8998</v>
      </c>
      <c r="D44" s="192" t="s">
        <v>8715</v>
      </c>
      <c r="E44" s="193">
        <v>217</v>
      </c>
      <c r="F44" s="193">
        <v>7</v>
      </c>
      <c r="I44" s="194"/>
      <c r="K44" s="176">
        <v>8</v>
      </c>
      <c r="M44" s="197">
        <v>3.4</v>
      </c>
      <c r="N44" s="198">
        <v>41822</v>
      </c>
      <c r="S44" s="176">
        <f>(AE44*BS44)/100</f>
        <v>10.133162393162392</v>
      </c>
      <c r="T44" s="198"/>
      <c r="U44" s="176">
        <v>16.2</v>
      </c>
      <c r="Y44" s="200">
        <f>(AE44*BU44)/100</f>
        <v>4.5182498982498984</v>
      </c>
      <c r="Z44" s="198"/>
      <c r="AA44" s="200"/>
      <c r="AB44" s="198"/>
      <c r="AC44" s="378">
        <f t="shared" si="0"/>
        <v>19.959259259259259</v>
      </c>
      <c r="AE44" s="176">
        <f>(M44/U44)*((100-CC44)/(100-9))*100</f>
        <v>21.933251933251931</v>
      </c>
      <c r="AF44" s="198">
        <v>41822</v>
      </c>
      <c r="AG44" s="176">
        <v>4.5</v>
      </c>
      <c r="AH44" s="196">
        <v>41927</v>
      </c>
      <c r="AI44" s="176">
        <v>115</v>
      </c>
      <c r="AM44" s="176">
        <v>86</v>
      </c>
      <c r="BG44" s="201">
        <v>40.200000000000003</v>
      </c>
      <c r="BI44" s="201">
        <v>4.4000000000000004</v>
      </c>
      <c r="BK44" s="201">
        <v>1</v>
      </c>
      <c r="BM44" s="201">
        <v>36.200000000000003</v>
      </c>
      <c r="BO44" s="201">
        <v>16.600000000000001</v>
      </c>
      <c r="BQ44" s="201">
        <v>9.4</v>
      </c>
      <c r="BS44" s="201">
        <v>46.2</v>
      </c>
      <c r="BU44" s="201">
        <v>20.6</v>
      </c>
      <c r="BW44" s="201">
        <v>73.7</v>
      </c>
      <c r="BY44" s="178">
        <v>6.2999999999999972</v>
      </c>
      <c r="CC44" s="201">
        <v>4.9000000000000004</v>
      </c>
      <c r="CD44" s="198">
        <v>41822</v>
      </c>
      <c r="CI44" s="174" t="s">
        <v>9373</v>
      </c>
      <c r="CL44" s="174">
        <v>7</v>
      </c>
    </row>
    <row r="45" spans="1:90">
      <c r="A45" s="191" t="s">
        <v>7695</v>
      </c>
      <c r="B45" s="192" t="s">
        <v>271</v>
      </c>
      <c r="C45" s="192" t="s">
        <v>8998</v>
      </c>
      <c r="D45" s="192" t="s">
        <v>8475</v>
      </c>
      <c r="E45" s="193">
        <v>217</v>
      </c>
      <c r="F45" s="193">
        <v>8</v>
      </c>
      <c r="I45" s="194"/>
      <c r="K45" s="176">
        <v>8</v>
      </c>
      <c r="M45" s="197">
        <v>6.6</v>
      </c>
      <c r="N45" s="198">
        <v>41822</v>
      </c>
      <c r="S45" s="176">
        <f>(AE45*BS45)/100</f>
        <v>20.945978835978835</v>
      </c>
      <c r="T45" s="198"/>
      <c r="U45" s="176">
        <v>16.2</v>
      </c>
      <c r="Y45" s="200">
        <f>(AE45*BU45)/100</f>
        <v>7.0528042328042337</v>
      </c>
      <c r="Z45" s="198"/>
      <c r="AA45" s="200"/>
      <c r="AB45" s="198"/>
      <c r="AC45" s="378">
        <f t="shared" si="0"/>
        <v>38.662962962962965</v>
      </c>
      <c r="AE45" s="176">
        <f>(M45/U45)*((100-CC45)/(100-9))*100</f>
        <v>42.486772486772487</v>
      </c>
      <c r="AF45" s="198">
        <v>41822</v>
      </c>
      <c r="AG45" s="176">
        <v>4.5</v>
      </c>
      <c r="AH45" s="196">
        <v>41927</v>
      </c>
      <c r="AI45" s="176">
        <v>145</v>
      </c>
      <c r="AM45" s="176">
        <v>88</v>
      </c>
      <c r="BG45" s="201">
        <v>1.2</v>
      </c>
      <c r="BI45" s="201">
        <v>4.7</v>
      </c>
      <c r="BK45" s="201">
        <v>1.6</v>
      </c>
      <c r="BM45" s="201">
        <v>63</v>
      </c>
      <c r="BO45" s="201">
        <v>22.2</v>
      </c>
      <c r="BQ45" s="201">
        <v>7.9</v>
      </c>
      <c r="BS45" s="201">
        <v>49.3</v>
      </c>
      <c r="BU45" s="201">
        <v>16.600000000000001</v>
      </c>
      <c r="BW45" s="201">
        <v>15.8</v>
      </c>
      <c r="BY45" s="178">
        <v>6.2999999999999972</v>
      </c>
      <c r="CC45" s="201">
        <v>5.0999999999999996</v>
      </c>
      <c r="CD45" s="198">
        <v>41822</v>
      </c>
      <c r="CI45" s="174" t="s">
        <v>9346</v>
      </c>
      <c r="CL45" s="174" t="s">
        <v>9001</v>
      </c>
    </row>
    <row r="46" spans="1:90">
      <c r="A46" s="191" t="s">
        <v>7779</v>
      </c>
      <c r="B46" s="192" t="s">
        <v>271</v>
      </c>
      <c r="C46" s="192" t="s">
        <v>8998</v>
      </c>
      <c r="D46" s="192" t="s">
        <v>8811</v>
      </c>
      <c r="E46" s="193">
        <v>217</v>
      </c>
      <c r="F46" s="193">
        <v>9</v>
      </c>
      <c r="I46" s="194"/>
      <c r="K46" s="176">
        <v>8</v>
      </c>
      <c r="M46" s="197">
        <v>6.35</v>
      </c>
      <c r="N46" s="198">
        <v>41822</v>
      </c>
      <c r="S46" s="176">
        <f>(AE46*BS46)/100</f>
        <v>20.201804368471034</v>
      </c>
      <c r="T46" s="198"/>
      <c r="U46" s="176">
        <v>16.2</v>
      </c>
      <c r="Y46" s="200">
        <f>(AE46*BU46)/100</f>
        <v>7.1110351377018048</v>
      </c>
      <c r="Z46" s="198"/>
      <c r="AA46" s="200"/>
      <c r="AB46" s="198"/>
      <c r="AC46" s="378">
        <f t="shared" si="0"/>
        <v>36.767283950617283</v>
      </c>
      <c r="AE46" s="176">
        <f>(M46/U46)*((100-CC46)/(100-9))*100</f>
        <v>40.403608736942068</v>
      </c>
      <c r="AF46" s="198">
        <v>41822</v>
      </c>
      <c r="AG46" s="176">
        <v>4.7</v>
      </c>
      <c r="AH46" s="196">
        <v>41927</v>
      </c>
      <c r="AI46" s="176">
        <v>155</v>
      </c>
      <c r="AM46" s="176">
        <v>86</v>
      </c>
      <c r="BG46" s="201">
        <v>2.7</v>
      </c>
      <c r="BI46" s="201">
        <v>4.8</v>
      </c>
      <c r="BK46" s="201">
        <v>1.6</v>
      </c>
      <c r="BM46" s="201">
        <v>63.4</v>
      </c>
      <c r="BO46" s="201">
        <v>22.4</v>
      </c>
      <c r="BQ46" s="201">
        <v>8</v>
      </c>
      <c r="BS46" s="201">
        <v>50</v>
      </c>
      <c r="BU46" s="201">
        <v>17.600000000000001</v>
      </c>
      <c r="BW46" s="201">
        <v>12.1</v>
      </c>
      <c r="BY46" s="178">
        <v>6.2000000000000028</v>
      </c>
      <c r="CC46" s="201">
        <v>6.2</v>
      </c>
      <c r="CD46" s="198">
        <v>41822</v>
      </c>
      <c r="CI46" s="174" t="s">
        <v>9347</v>
      </c>
      <c r="CL46" s="174">
        <v>1</v>
      </c>
    </row>
    <row r="47" spans="1:90">
      <c r="A47" s="191" t="s">
        <v>7723</v>
      </c>
      <c r="B47" s="192" t="s">
        <v>271</v>
      </c>
      <c r="C47" s="192" t="s">
        <v>8998</v>
      </c>
      <c r="D47" s="192" t="s">
        <v>8587</v>
      </c>
      <c r="E47" s="193">
        <v>217</v>
      </c>
      <c r="F47" s="193">
        <v>10</v>
      </c>
      <c r="I47" s="194"/>
      <c r="K47" s="176">
        <v>9</v>
      </c>
      <c r="M47" s="197">
        <v>6.6</v>
      </c>
      <c r="N47" s="198">
        <v>41822</v>
      </c>
      <c r="S47" s="176">
        <f>(AE47*BS47)/100</f>
        <v>20.901835571835573</v>
      </c>
      <c r="T47" s="198"/>
      <c r="U47" s="176">
        <v>16.2</v>
      </c>
      <c r="Y47" s="200">
        <f>(AE47*BU47)/100</f>
        <v>7.3347212047212054</v>
      </c>
      <c r="Z47" s="198"/>
      <c r="AA47" s="200"/>
      <c r="AB47" s="198"/>
      <c r="AC47" s="378">
        <f t="shared" si="0"/>
        <v>38.581481481481482</v>
      </c>
      <c r="AE47" s="176">
        <f>(M47/U47)*((100-CC47)/(100-9))*100</f>
        <v>42.397232397232401</v>
      </c>
      <c r="AF47" s="198">
        <v>41822</v>
      </c>
      <c r="AG47" s="176">
        <v>4.7</v>
      </c>
      <c r="AH47" s="196">
        <v>41927</v>
      </c>
      <c r="AI47" s="176">
        <v>155</v>
      </c>
      <c r="AM47" s="176">
        <v>78</v>
      </c>
      <c r="BG47" s="201">
        <v>4.5</v>
      </c>
      <c r="BI47" s="201">
        <v>4.5999999999999996</v>
      </c>
      <c r="BK47" s="201">
        <v>1.7</v>
      </c>
      <c r="BM47" s="201">
        <v>66.2</v>
      </c>
      <c r="BO47" s="201">
        <v>21</v>
      </c>
      <c r="BQ47" s="201">
        <v>7</v>
      </c>
      <c r="BS47" s="201">
        <v>49.3</v>
      </c>
      <c r="BU47" s="201">
        <v>17.3</v>
      </c>
      <c r="BW47" s="201">
        <v>11.2</v>
      </c>
      <c r="BY47" s="178">
        <v>6.2999999999999972</v>
      </c>
      <c r="CC47" s="201">
        <v>5.3</v>
      </c>
      <c r="CD47" s="198">
        <v>41822</v>
      </c>
      <c r="CI47" s="174" t="s">
        <v>9347</v>
      </c>
      <c r="CL47" s="174">
        <v>1</v>
      </c>
    </row>
    <row r="48" spans="1:90">
      <c r="A48" s="191" t="s">
        <v>7764</v>
      </c>
      <c r="B48" s="192" t="s">
        <v>271</v>
      </c>
      <c r="C48" s="192" t="s">
        <v>8998</v>
      </c>
      <c r="D48" s="192" t="s">
        <v>8751</v>
      </c>
      <c r="E48" s="193">
        <v>217</v>
      </c>
      <c r="F48" s="193">
        <v>11</v>
      </c>
      <c r="I48" s="194"/>
      <c r="K48" s="176">
        <v>9</v>
      </c>
      <c r="M48" s="197">
        <v>6.75</v>
      </c>
      <c r="N48" s="198">
        <v>41822</v>
      </c>
      <c r="S48" s="176">
        <f>(AE48*BS48)/100</f>
        <v>20.70494505494506</v>
      </c>
      <c r="T48" s="198"/>
      <c r="U48" s="176">
        <v>16.2</v>
      </c>
      <c r="Y48" s="200">
        <f>(AE48*BU48)/100</f>
        <v>7.856593406593408</v>
      </c>
      <c r="Z48" s="198"/>
      <c r="AA48" s="200"/>
      <c r="AB48" s="198"/>
      <c r="AC48" s="378">
        <f t="shared" si="0"/>
        <v>39.5</v>
      </c>
      <c r="AE48" s="176">
        <f>(M48/U48)*((100-CC48)/(100-9))*100</f>
        <v>43.406593406593416</v>
      </c>
      <c r="AF48" s="198">
        <v>41822</v>
      </c>
      <c r="AG48" s="176">
        <v>4.9000000000000004</v>
      </c>
      <c r="AH48" s="196">
        <v>41927</v>
      </c>
      <c r="AI48" s="176">
        <v>145</v>
      </c>
      <c r="AM48" s="176">
        <v>84</v>
      </c>
      <c r="BG48" s="201">
        <v>2.2999999999999998</v>
      </c>
      <c r="BI48" s="201">
        <v>4.7</v>
      </c>
      <c r="BK48" s="201">
        <v>1.5</v>
      </c>
      <c r="BM48" s="201">
        <v>62.8</v>
      </c>
      <c r="BO48" s="201">
        <v>21.4</v>
      </c>
      <c r="BQ48" s="201">
        <v>9.6</v>
      </c>
      <c r="BS48" s="201">
        <v>47.7</v>
      </c>
      <c r="BU48" s="201">
        <v>18.100000000000001</v>
      </c>
      <c r="BW48" s="201">
        <v>14.9</v>
      </c>
      <c r="BY48" s="178">
        <v>6.4000000000000057</v>
      </c>
      <c r="CC48" s="201">
        <v>5.2</v>
      </c>
      <c r="CD48" s="198">
        <v>41822</v>
      </c>
      <c r="CI48" s="174" t="s">
        <v>9358</v>
      </c>
      <c r="CL48" s="174">
        <v>2</v>
      </c>
    </row>
    <row r="49" spans="1:91">
      <c r="A49" s="202" t="s">
        <v>7762</v>
      </c>
      <c r="B49" s="203" t="s">
        <v>271</v>
      </c>
      <c r="C49" s="203" t="s">
        <v>8998</v>
      </c>
      <c r="D49" s="203" t="s">
        <v>8743</v>
      </c>
      <c r="E49" s="204">
        <v>217</v>
      </c>
      <c r="F49" s="204">
        <v>12</v>
      </c>
      <c r="G49" s="204"/>
      <c r="H49" s="204"/>
      <c r="I49" s="205"/>
      <c r="J49" s="206"/>
      <c r="K49" s="177">
        <v>9</v>
      </c>
      <c r="L49" s="207"/>
      <c r="M49" s="208">
        <v>0.85</v>
      </c>
      <c r="N49" s="209">
        <v>41822</v>
      </c>
      <c r="O49" s="183"/>
      <c r="P49" s="210"/>
      <c r="Q49" s="183"/>
      <c r="R49" s="210"/>
      <c r="S49" s="177">
        <f>(AE49*BS49)/100</f>
        <v>2.3886487586487588</v>
      </c>
      <c r="T49" s="209"/>
      <c r="U49" s="177">
        <v>16.2</v>
      </c>
      <c r="V49" s="210"/>
      <c r="W49" s="183"/>
      <c r="X49" s="210"/>
      <c r="Y49" s="213">
        <f>(AE49*BU49)/100</f>
        <v>1.2025234025234028</v>
      </c>
      <c r="Z49" s="209"/>
      <c r="AA49" s="213"/>
      <c r="AB49" s="209"/>
      <c r="AC49" s="378">
        <f t="shared" si="0"/>
        <v>4.9740740740740739</v>
      </c>
      <c r="AD49" s="207"/>
      <c r="AE49" s="177">
        <f>(M49/U49)*((100-CC49)/(100-9))*100</f>
        <v>5.4660154660154667</v>
      </c>
      <c r="AF49" s="209">
        <v>41822</v>
      </c>
      <c r="AG49" s="177">
        <v>4</v>
      </c>
      <c r="AH49" s="207">
        <v>41927</v>
      </c>
      <c r="AI49" s="177">
        <v>30</v>
      </c>
      <c r="AJ49" s="207"/>
      <c r="AK49" s="183"/>
      <c r="AL49" s="210"/>
      <c r="AM49" s="177">
        <v>88</v>
      </c>
      <c r="AN49" s="210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3"/>
      <c r="BA49" s="183"/>
      <c r="BB49" s="183"/>
      <c r="BC49" s="183"/>
      <c r="BD49" s="183"/>
      <c r="BE49" s="182"/>
      <c r="BF49" s="182"/>
      <c r="BG49" s="211">
        <v>18.2</v>
      </c>
      <c r="BH49" s="181"/>
      <c r="BI49" s="211">
        <v>4.5999999999999996</v>
      </c>
      <c r="BJ49" s="181"/>
      <c r="BK49" s="211">
        <v>1.2</v>
      </c>
      <c r="BL49" s="181"/>
      <c r="BM49" s="211">
        <v>53.1</v>
      </c>
      <c r="BN49" s="181"/>
      <c r="BO49" s="211">
        <v>19.100000000000001</v>
      </c>
      <c r="BP49" s="181"/>
      <c r="BQ49" s="211">
        <v>9.8000000000000007</v>
      </c>
      <c r="BR49" s="181"/>
      <c r="BS49" s="211">
        <v>43.7</v>
      </c>
      <c r="BT49" s="181"/>
      <c r="BU49" s="211">
        <v>22</v>
      </c>
      <c r="BV49" s="181"/>
      <c r="BW49" s="211">
        <v>71.099999999999994</v>
      </c>
      <c r="BX49" s="181"/>
      <c r="BY49" s="181">
        <v>6.5</v>
      </c>
      <c r="BZ49" s="181"/>
      <c r="CA49" s="182"/>
      <c r="CB49" s="182"/>
      <c r="CC49" s="211">
        <v>5.2</v>
      </c>
      <c r="CD49" s="209">
        <v>41822</v>
      </c>
      <c r="CE49" s="181"/>
      <c r="CF49" s="181"/>
      <c r="CG49" s="182"/>
      <c r="CH49" s="182"/>
      <c r="CI49" s="175" t="s">
        <v>9349</v>
      </c>
      <c r="CJ49" s="181"/>
      <c r="CK49" s="181"/>
      <c r="CL49" s="175">
        <v>9</v>
      </c>
      <c r="CM49" s="175"/>
    </row>
    <row r="50" spans="1:91" s="181" customFormat="1">
      <c r="A50" s="191" t="s">
        <v>7700</v>
      </c>
      <c r="B50" s="192" t="s">
        <v>269</v>
      </c>
      <c r="C50" s="192" t="s">
        <v>417</v>
      </c>
      <c r="D50" s="192" t="s">
        <v>8493</v>
      </c>
      <c r="E50" s="193">
        <v>218</v>
      </c>
      <c r="F50" s="193">
        <v>1</v>
      </c>
      <c r="G50" s="193"/>
      <c r="H50" s="193"/>
      <c r="I50" s="194"/>
      <c r="J50" s="195"/>
      <c r="K50" s="176">
        <v>5</v>
      </c>
      <c r="L50" s="196"/>
      <c r="M50" s="197">
        <v>4.6500000000000004</v>
      </c>
      <c r="N50" s="198">
        <v>41822</v>
      </c>
      <c r="O50" s="180"/>
      <c r="P50" s="199"/>
      <c r="Q50" s="180"/>
      <c r="R50" s="199"/>
      <c r="S50" s="176">
        <f>(AE50*BS50)/100</f>
        <v>14.125092592592594</v>
      </c>
      <c r="T50" s="198"/>
      <c r="U50" s="176">
        <v>16.2</v>
      </c>
      <c r="V50" s="199"/>
      <c r="W50" s="180"/>
      <c r="X50" s="199"/>
      <c r="Y50" s="200">
        <f>(AE50*BU50)/100</f>
        <v>5.6970227920227918</v>
      </c>
      <c r="Z50" s="198"/>
      <c r="AA50" s="200"/>
      <c r="AB50" s="198"/>
      <c r="AC50" s="378">
        <f t="shared" si="0"/>
        <v>26.723148148148152</v>
      </c>
      <c r="AD50" s="196"/>
      <c r="AE50" s="176">
        <f>(M50/U50)*((100-CC50)/(100-9))*100</f>
        <v>29.366096866096868</v>
      </c>
      <c r="AF50" s="198">
        <v>41822</v>
      </c>
      <c r="AG50" s="176">
        <v>4.8</v>
      </c>
      <c r="AH50" s="196">
        <v>41927</v>
      </c>
      <c r="AI50" s="176">
        <v>130</v>
      </c>
      <c r="AJ50" s="196"/>
      <c r="AK50" s="180"/>
      <c r="AL50" s="199"/>
      <c r="AM50" s="176">
        <v>86</v>
      </c>
      <c r="AN50" s="199"/>
      <c r="AO50" s="180"/>
      <c r="AP50" s="180"/>
      <c r="AQ50" s="180"/>
      <c r="AR50" s="180"/>
      <c r="AS50" s="180"/>
      <c r="AT50" s="180"/>
      <c r="AU50" s="180"/>
      <c r="AV50" s="180"/>
      <c r="AW50" s="180"/>
      <c r="AX50" s="180"/>
      <c r="AY50" s="180"/>
      <c r="AZ50" s="180"/>
      <c r="BA50" s="180"/>
      <c r="BB50" s="180"/>
      <c r="BC50" s="180"/>
      <c r="BD50" s="180"/>
      <c r="BE50" s="179"/>
      <c r="BF50" s="179"/>
      <c r="BG50" s="201">
        <v>0</v>
      </c>
      <c r="BH50" s="178"/>
      <c r="BI50" s="201">
        <v>4.4000000000000004</v>
      </c>
      <c r="BJ50" s="178"/>
      <c r="BK50" s="201">
        <v>1.7</v>
      </c>
      <c r="BL50" s="178"/>
      <c r="BM50" s="201">
        <v>65.900000000000006</v>
      </c>
      <c r="BN50" s="178"/>
      <c r="BO50" s="201">
        <v>18.2</v>
      </c>
      <c r="BP50" s="178"/>
      <c r="BQ50" s="201">
        <v>7.9</v>
      </c>
      <c r="BR50" s="178"/>
      <c r="BS50" s="201">
        <v>48.1</v>
      </c>
      <c r="BT50" s="178"/>
      <c r="BU50" s="201">
        <v>19.399999999999999</v>
      </c>
      <c r="BV50" s="178"/>
      <c r="BW50" s="201">
        <v>11.4</v>
      </c>
      <c r="BX50" s="178"/>
      <c r="BY50" s="178">
        <v>7.2000000000000028</v>
      </c>
      <c r="BZ50" s="178"/>
      <c r="CA50" s="179"/>
      <c r="CB50" s="179"/>
      <c r="CC50" s="201">
        <v>6.9</v>
      </c>
      <c r="CD50" s="198">
        <v>41822</v>
      </c>
      <c r="CE50" s="178"/>
      <c r="CF50" s="178"/>
      <c r="CG50" s="179"/>
      <c r="CH50" s="179"/>
      <c r="CI50" s="174" t="s">
        <v>9339</v>
      </c>
      <c r="CJ50" s="178"/>
      <c r="CK50" s="178"/>
      <c r="CL50" s="174">
        <v>1</v>
      </c>
      <c r="CM50" s="174"/>
    </row>
    <row r="51" spans="1:91" s="181" customFormat="1">
      <c r="A51" s="191" t="s">
        <v>7755</v>
      </c>
      <c r="B51" s="192" t="s">
        <v>269</v>
      </c>
      <c r="C51" s="192" t="s">
        <v>417</v>
      </c>
      <c r="D51" s="192" t="s">
        <v>8713</v>
      </c>
      <c r="E51" s="193">
        <v>218</v>
      </c>
      <c r="F51" s="193">
        <v>2</v>
      </c>
      <c r="G51" s="193"/>
      <c r="H51" s="193"/>
      <c r="I51" s="194"/>
      <c r="J51" s="195"/>
      <c r="K51" s="176">
        <v>9</v>
      </c>
      <c r="L51" s="196"/>
      <c r="M51" s="197">
        <v>2.2000000000000002</v>
      </c>
      <c r="N51" s="198">
        <v>41822</v>
      </c>
      <c r="O51" s="180"/>
      <c r="P51" s="199"/>
      <c r="Q51" s="180"/>
      <c r="R51" s="199"/>
      <c r="S51" s="176">
        <f>(AE51*BS51)/100</f>
        <v>6.9458038258038268</v>
      </c>
      <c r="T51" s="198"/>
      <c r="U51" s="176">
        <v>16.2</v>
      </c>
      <c r="V51" s="199"/>
      <c r="W51" s="180"/>
      <c r="X51" s="199"/>
      <c r="Y51" s="200">
        <f>(AE51*BU51)/100</f>
        <v>2.6682051282051282</v>
      </c>
      <c r="Z51" s="198"/>
      <c r="AA51" s="200"/>
      <c r="AB51" s="198"/>
      <c r="AC51" s="378">
        <f t="shared" si="0"/>
        <v>12.846913580246914</v>
      </c>
      <c r="AD51" s="196"/>
      <c r="AE51" s="176">
        <f>(M51/U51)*((100-CC51)/(100-9))*100</f>
        <v>14.117487450820784</v>
      </c>
      <c r="AF51" s="198">
        <v>41822</v>
      </c>
      <c r="AG51" s="176">
        <v>4.8</v>
      </c>
      <c r="AH51" s="196">
        <v>41927</v>
      </c>
      <c r="AI51" s="176">
        <v>155</v>
      </c>
      <c r="AJ51" s="196"/>
      <c r="AK51" s="180"/>
      <c r="AL51" s="199"/>
      <c r="AM51" s="176">
        <v>85</v>
      </c>
      <c r="AN51" s="199"/>
      <c r="AO51" s="180"/>
      <c r="AP51" s="180"/>
      <c r="AQ51" s="180"/>
      <c r="AR51" s="180"/>
      <c r="AS51" s="180"/>
      <c r="AT51" s="180"/>
      <c r="AU51" s="180"/>
      <c r="AV51" s="180"/>
      <c r="AW51" s="180"/>
      <c r="AX51" s="180"/>
      <c r="AY51" s="180"/>
      <c r="AZ51" s="180"/>
      <c r="BA51" s="180"/>
      <c r="BB51" s="180"/>
      <c r="BC51" s="180"/>
      <c r="BD51" s="180"/>
      <c r="BE51" s="179"/>
      <c r="BF51" s="179"/>
      <c r="BG51" s="201">
        <v>40.6</v>
      </c>
      <c r="BH51" s="178"/>
      <c r="BI51" s="201">
        <v>4.5999999999999996</v>
      </c>
      <c r="BJ51" s="178"/>
      <c r="BK51" s="201">
        <v>0.9</v>
      </c>
      <c r="BL51" s="178"/>
      <c r="BM51" s="201">
        <v>32.1</v>
      </c>
      <c r="BN51" s="178"/>
      <c r="BO51" s="201">
        <v>15.9</v>
      </c>
      <c r="BP51" s="178"/>
      <c r="BQ51" s="201">
        <v>9.6</v>
      </c>
      <c r="BR51" s="178"/>
      <c r="BS51" s="201">
        <v>49.2</v>
      </c>
      <c r="BT51" s="178"/>
      <c r="BU51" s="201">
        <v>18.899999999999999</v>
      </c>
      <c r="BV51" s="178"/>
      <c r="BW51" s="201">
        <v>78.599999999999994</v>
      </c>
      <c r="BX51" s="178"/>
      <c r="BY51" s="178">
        <v>6.2999999999999972</v>
      </c>
      <c r="BZ51" s="178"/>
      <c r="CA51" s="179"/>
      <c r="CB51" s="179"/>
      <c r="CC51" s="201">
        <v>5.4</v>
      </c>
      <c r="CD51" s="198">
        <v>41822</v>
      </c>
      <c r="CE51" s="178"/>
      <c r="CF51" s="178"/>
      <c r="CG51" s="179"/>
      <c r="CH51" s="179"/>
      <c r="CI51" s="174" t="s">
        <v>9349</v>
      </c>
      <c r="CJ51" s="178"/>
      <c r="CK51" s="178"/>
      <c r="CL51" s="174">
        <v>5</v>
      </c>
      <c r="CM51" s="174"/>
    </row>
    <row r="52" spans="1:91" s="181" customFormat="1">
      <c r="A52" s="191" t="s">
        <v>7790</v>
      </c>
      <c r="B52" s="192" t="s">
        <v>269</v>
      </c>
      <c r="C52" s="192" t="s">
        <v>417</v>
      </c>
      <c r="D52" s="192" t="s">
        <v>8853</v>
      </c>
      <c r="E52" s="193">
        <v>218</v>
      </c>
      <c r="F52" s="193">
        <v>3</v>
      </c>
      <c r="G52" s="193"/>
      <c r="H52" s="193"/>
      <c r="I52" s="194"/>
      <c r="J52" s="195"/>
      <c r="K52" s="176">
        <v>8</v>
      </c>
      <c r="L52" s="196"/>
      <c r="M52" s="197">
        <v>4.95</v>
      </c>
      <c r="N52" s="198">
        <v>41822</v>
      </c>
      <c r="O52" s="180"/>
      <c r="P52" s="199"/>
      <c r="Q52" s="180"/>
      <c r="R52" s="199"/>
      <c r="S52" s="176">
        <f>(AE52*BS52)/100</f>
        <v>16.984087301587302</v>
      </c>
      <c r="T52" s="198"/>
      <c r="U52" s="176">
        <v>16.2</v>
      </c>
      <c r="V52" s="199"/>
      <c r="W52" s="180"/>
      <c r="X52" s="199"/>
      <c r="Y52" s="200">
        <f>(AE52*BU52)/100</f>
        <v>4.7478968253968254</v>
      </c>
      <c r="Z52" s="198"/>
      <c r="AA52" s="200"/>
      <c r="AB52" s="198"/>
      <c r="AC52" s="378">
        <f t="shared" si="0"/>
        <v>28.997222222222227</v>
      </c>
      <c r="AD52" s="196"/>
      <c r="AE52" s="176">
        <f>(M52/U52)*((100-CC52)/(100-9))*100</f>
        <v>31.865079365079367</v>
      </c>
      <c r="AF52" s="198">
        <v>41822</v>
      </c>
      <c r="AG52" s="176">
        <v>4.8</v>
      </c>
      <c r="AH52" s="196">
        <v>41927</v>
      </c>
      <c r="AI52" s="176">
        <v>145</v>
      </c>
      <c r="AJ52" s="196"/>
      <c r="AK52" s="180"/>
      <c r="AL52" s="199"/>
      <c r="AM52" s="176">
        <v>82</v>
      </c>
      <c r="AN52" s="199"/>
      <c r="AO52" s="180"/>
      <c r="AP52" s="180"/>
      <c r="AQ52" s="180"/>
      <c r="AR52" s="180"/>
      <c r="AS52" s="180"/>
      <c r="AT52" s="180"/>
      <c r="AU52" s="180"/>
      <c r="AV52" s="180"/>
      <c r="AW52" s="180"/>
      <c r="AX52" s="180"/>
      <c r="AY52" s="180"/>
      <c r="AZ52" s="180"/>
      <c r="BA52" s="180"/>
      <c r="BB52" s="180"/>
      <c r="BC52" s="180"/>
      <c r="BD52" s="180"/>
      <c r="BE52" s="179"/>
      <c r="BF52" s="179"/>
      <c r="BG52" s="201">
        <v>1.3</v>
      </c>
      <c r="BH52" s="178"/>
      <c r="BI52" s="201">
        <v>4.9000000000000004</v>
      </c>
      <c r="BJ52" s="178"/>
      <c r="BK52" s="201">
        <v>1.6</v>
      </c>
      <c r="BL52" s="178"/>
      <c r="BM52" s="201">
        <v>65.400000000000006</v>
      </c>
      <c r="BN52" s="178"/>
      <c r="BO52" s="201">
        <v>20.2</v>
      </c>
      <c r="BP52" s="178"/>
      <c r="BQ52" s="201">
        <v>6.5</v>
      </c>
      <c r="BR52" s="178"/>
      <c r="BS52" s="201">
        <v>53.3</v>
      </c>
      <c r="BT52" s="178"/>
      <c r="BU52" s="201">
        <v>14.9</v>
      </c>
      <c r="BV52" s="178"/>
      <c r="BW52" s="201">
        <v>12.2</v>
      </c>
      <c r="BX52" s="178"/>
      <c r="BY52" s="178">
        <v>6.7000000000000028</v>
      </c>
      <c r="BZ52" s="178"/>
      <c r="CA52" s="179"/>
      <c r="CB52" s="179"/>
      <c r="CC52" s="201">
        <v>5.0999999999999996</v>
      </c>
      <c r="CD52" s="198">
        <v>41822</v>
      </c>
      <c r="CE52" s="178"/>
      <c r="CF52" s="178"/>
      <c r="CG52" s="179"/>
      <c r="CH52" s="179"/>
      <c r="CI52" s="174" t="s">
        <v>9352</v>
      </c>
      <c r="CJ52" s="178"/>
      <c r="CK52" s="178"/>
      <c r="CL52" s="174">
        <v>1</v>
      </c>
      <c r="CM52" s="174"/>
    </row>
    <row r="53" spans="1:91" s="181" customFormat="1">
      <c r="A53" s="191" t="s">
        <v>7745</v>
      </c>
      <c r="B53" s="192" t="s">
        <v>269</v>
      </c>
      <c r="C53" s="192" t="s">
        <v>417</v>
      </c>
      <c r="D53" s="192" t="s">
        <v>8673</v>
      </c>
      <c r="E53" s="193">
        <v>218</v>
      </c>
      <c r="F53" s="193">
        <v>4</v>
      </c>
      <c r="G53" s="193"/>
      <c r="H53" s="193"/>
      <c r="I53" s="194"/>
      <c r="J53" s="195"/>
      <c r="K53" s="176">
        <v>7</v>
      </c>
      <c r="L53" s="196"/>
      <c r="M53" s="197">
        <v>2.65</v>
      </c>
      <c r="N53" s="198">
        <v>41822</v>
      </c>
      <c r="O53" s="180"/>
      <c r="P53" s="199"/>
      <c r="Q53" s="180"/>
      <c r="R53" s="199"/>
      <c r="S53" s="176">
        <f>(AE53*BS53)/100</f>
        <v>8.3285714285714274</v>
      </c>
      <c r="T53" s="198"/>
      <c r="U53" s="176">
        <v>16.2</v>
      </c>
      <c r="V53" s="199"/>
      <c r="W53" s="180"/>
      <c r="X53" s="199"/>
      <c r="Y53" s="200">
        <f>(AE53*BU53)/100</f>
        <v>3.1799999999999993</v>
      </c>
      <c r="Z53" s="198"/>
      <c r="AA53" s="200"/>
      <c r="AB53" s="198"/>
      <c r="AC53" s="378">
        <f t="shared" si="0"/>
        <v>15.31111111111111</v>
      </c>
      <c r="AD53" s="196"/>
      <c r="AE53" s="176">
        <f>(M53/U53)*((100-CC53)/(100-9))*100</f>
        <v>16.825396825396822</v>
      </c>
      <c r="AF53" s="198">
        <v>41822</v>
      </c>
      <c r="AG53" s="176">
        <v>4.4000000000000004</v>
      </c>
      <c r="AH53" s="196">
        <v>41927</v>
      </c>
      <c r="AI53" s="176">
        <v>150</v>
      </c>
      <c r="AJ53" s="196"/>
      <c r="AK53" s="180"/>
      <c r="AL53" s="199"/>
      <c r="AM53" s="176">
        <v>88</v>
      </c>
      <c r="AN53" s="199"/>
      <c r="AO53" s="180"/>
      <c r="AP53" s="180"/>
      <c r="AQ53" s="180"/>
      <c r="AR53" s="180"/>
      <c r="AS53" s="180"/>
      <c r="AT53" s="180"/>
      <c r="AU53" s="180"/>
      <c r="AV53" s="180"/>
      <c r="AW53" s="180"/>
      <c r="AX53" s="180"/>
      <c r="AY53" s="180"/>
      <c r="AZ53" s="180"/>
      <c r="BA53" s="180"/>
      <c r="BB53" s="180"/>
      <c r="BC53" s="180"/>
      <c r="BD53" s="180"/>
      <c r="BE53" s="179"/>
      <c r="BF53" s="179"/>
      <c r="BG53" s="201">
        <v>54</v>
      </c>
      <c r="BH53" s="178"/>
      <c r="BI53" s="201">
        <v>4.5</v>
      </c>
      <c r="BJ53" s="178"/>
      <c r="BK53" s="201">
        <v>0.8</v>
      </c>
      <c r="BL53" s="178"/>
      <c r="BM53" s="201">
        <v>28</v>
      </c>
      <c r="BN53" s="178"/>
      <c r="BO53" s="201">
        <v>15.5</v>
      </c>
      <c r="BP53" s="178"/>
      <c r="BQ53" s="201">
        <v>8.9</v>
      </c>
      <c r="BR53" s="178"/>
      <c r="BS53" s="201">
        <v>49.5</v>
      </c>
      <c r="BT53" s="178"/>
      <c r="BU53" s="201">
        <v>18.899999999999999</v>
      </c>
      <c r="BV53" s="178"/>
      <c r="BW53" s="201">
        <v>71.2</v>
      </c>
      <c r="BX53" s="178"/>
      <c r="BY53" s="178">
        <v>6.5</v>
      </c>
      <c r="BZ53" s="178"/>
      <c r="CA53" s="179"/>
      <c r="CB53" s="179"/>
      <c r="CC53" s="201">
        <v>6.4</v>
      </c>
      <c r="CD53" s="198">
        <v>41822</v>
      </c>
      <c r="CE53" s="178"/>
      <c r="CF53" s="178"/>
      <c r="CG53" s="179"/>
      <c r="CH53" s="179"/>
      <c r="CI53" s="174" t="s">
        <v>9375</v>
      </c>
      <c r="CJ53" s="178"/>
      <c r="CK53" s="178"/>
      <c r="CL53" s="174">
        <v>5</v>
      </c>
      <c r="CM53" s="174"/>
    </row>
    <row r="54" spans="1:91">
      <c r="A54" s="191" t="s">
        <v>7764</v>
      </c>
      <c r="B54" s="192" t="s">
        <v>269</v>
      </c>
      <c r="C54" s="192" t="s">
        <v>417</v>
      </c>
      <c r="D54" s="192" t="s">
        <v>8749</v>
      </c>
      <c r="E54" s="193">
        <v>218</v>
      </c>
      <c r="F54" s="193">
        <v>5</v>
      </c>
      <c r="I54" s="194"/>
      <c r="K54" s="176">
        <v>7</v>
      </c>
      <c r="M54" s="197">
        <v>3.2</v>
      </c>
      <c r="N54" s="198">
        <v>41822</v>
      </c>
      <c r="S54" s="176">
        <f>(AE54*BS54)/100</f>
        <v>10.455026455026458</v>
      </c>
      <c r="T54" s="198"/>
      <c r="U54" s="176">
        <v>16.2</v>
      </c>
      <c r="Y54" s="200">
        <f>(AE54*BU54)/100</f>
        <v>3.2994166327499665</v>
      </c>
      <c r="Z54" s="198"/>
      <c r="AA54" s="200"/>
      <c r="AB54" s="198"/>
      <c r="AC54" s="378">
        <f t="shared" si="0"/>
        <v>18.765432098765434</v>
      </c>
      <c r="AE54" s="176">
        <f>(M54/U54)*((100-CC54)/(100-9))*100</f>
        <v>20.62135395468729</v>
      </c>
      <c r="AF54" s="198">
        <v>41822</v>
      </c>
      <c r="AG54" s="176">
        <v>5.0999999999999996</v>
      </c>
      <c r="AH54" s="196">
        <v>41927</v>
      </c>
      <c r="AI54" s="176">
        <v>135</v>
      </c>
      <c r="AM54" s="176">
        <v>80</v>
      </c>
      <c r="BG54" s="201">
        <v>4.5</v>
      </c>
      <c r="BI54" s="201">
        <v>4.8</v>
      </c>
      <c r="BK54" s="201">
        <v>1.5</v>
      </c>
      <c r="BM54" s="201">
        <v>62.1</v>
      </c>
      <c r="BO54" s="201">
        <v>20.9</v>
      </c>
      <c r="BQ54" s="201">
        <v>9.5</v>
      </c>
      <c r="BS54" s="201">
        <v>50.7</v>
      </c>
      <c r="BU54" s="201">
        <v>16</v>
      </c>
      <c r="BW54" s="201">
        <v>23.3</v>
      </c>
      <c r="BY54" s="178">
        <v>6.7999999999999972</v>
      </c>
      <c r="CC54" s="201">
        <v>5</v>
      </c>
      <c r="CD54" s="198">
        <v>41822</v>
      </c>
      <c r="CI54" s="174" t="s">
        <v>9355</v>
      </c>
      <c r="CL54" s="174">
        <v>1</v>
      </c>
    </row>
    <row r="55" spans="1:91">
      <c r="A55" s="191" t="s">
        <v>7687</v>
      </c>
      <c r="B55" s="192" t="s">
        <v>269</v>
      </c>
      <c r="C55" s="192" t="s">
        <v>417</v>
      </c>
      <c r="D55" s="192" t="s">
        <v>8441</v>
      </c>
      <c r="E55" s="193">
        <v>218</v>
      </c>
      <c r="F55" s="193">
        <v>6</v>
      </c>
      <c r="I55" s="194"/>
      <c r="K55" s="176">
        <v>8</v>
      </c>
      <c r="M55" s="197">
        <v>3.25</v>
      </c>
      <c r="N55" s="198">
        <v>41822</v>
      </c>
      <c r="S55" s="176">
        <f>(AE55*BS55)/100</f>
        <v>11.200617283950619</v>
      </c>
      <c r="T55" s="198"/>
      <c r="U55" s="176">
        <v>16.2</v>
      </c>
      <c r="Y55" s="200">
        <f>(AE55*BU55)/100</f>
        <v>3.2212301587301591</v>
      </c>
      <c r="Z55" s="198"/>
      <c r="AA55" s="200"/>
      <c r="AB55" s="198"/>
      <c r="AC55" s="378">
        <f t="shared" si="0"/>
        <v>19.158950617283949</v>
      </c>
      <c r="AE55" s="176">
        <f>(M55/U55)*((100-CC55)/(100-9))*100</f>
        <v>21.053791887125222</v>
      </c>
      <c r="AF55" s="198">
        <v>41822</v>
      </c>
      <c r="AG55" s="176">
        <v>4.3</v>
      </c>
      <c r="AH55" s="196">
        <v>41927</v>
      </c>
      <c r="AI55" s="176">
        <v>140</v>
      </c>
      <c r="AM55" s="176">
        <v>80</v>
      </c>
      <c r="BG55" s="201">
        <v>0.8</v>
      </c>
      <c r="BI55" s="201">
        <v>4.7</v>
      </c>
      <c r="BK55" s="201">
        <v>1.5</v>
      </c>
      <c r="BM55" s="201">
        <v>61.7</v>
      </c>
      <c r="BO55" s="201">
        <v>20.8</v>
      </c>
      <c r="BQ55" s="201">
        <v>9.8000000000000007</v>
      </c>
      <c r="BS55" s="201">
        <v>53.2</v>
      </c>
      <c r="BU55" s="201">
        <v>15.3</v>
      </c>
      <c r="BW55" s="201">
        <v>15.3</v>
      </c>
      <c r="BY55" s="178">
        <v>6.2000000000000028</v>
      </c>
      <c r="CC55" s="201">
        <v>4.5</v>
      </c>
      <c r="CD55" s="198">
        <v>41822</v>
      </c>
      <c r="CI55" s="174" t="s">
        <v>9353</v>
      </c>
      <c r="CL55" s="174">
        <v>3</v>
      </c>
    </row>
    <row r="56" spans="1:91">
      <c r="A56" s="191" t="s">
        <v>7744</v>
      </c>
      <c r="B56" s="192" t="s">
        <v>271</v>
      </c>
      <c r="C56" s="192" t="s">
        <v>8998</v>
      </c>
      <c r="D56" s="192" t="s">
        <v>8671</v>
      </c>
      <c r="E56" s="193">
        <v>218</v>
      </c>
      <c r="F56" s="193">
        <v>7</v>
      </c>
      <c r="I56" s="194"/>
      <c r="K56" s="176">
        <v>9</v>
      </c>
      <c r="M56" s="197">
        <v>1.45</v>
      </c>
      <c r="N56" s="198">
        <v>41822</v>
      </c>
      <c r="S56" s="176">
        <f>(AE56*BS56)/100</f>
        <v>4.1729154795821461</v>
      </c>
      <c r="T56" s="198"/>
      <c r="U56" s="176">
        <v>16.2</v>
      </c>
      <c r="Y56" s="200">
        <f>(AE56*BU56)/100</f>
        <v>2.011941391941392</v>
      </c>
      <c r="Z56" s="198"/>
      <c r="AA56" s="200"/>
      <c r="AB56" s="198"/>
      <c r="AC56" s="378">
        <f t="shared" si="0"/>
        <v>8.4762345679012352</v>
      </c>
      <c r="AE56" s="176">
        <f>(M56/U56)*((100-CC56)/(100-9))*100</f>
        <v>9.3145434812101477</v>
      </c>
      <c r="AF56" s="198">
        <v>41822</v>
      </c>
      <c r="AG56" s="176">
        <v>4</v>
      </c>
      <c r="AH56" s="196">
        <v>41927</v>
      </c>
      <c r="AI56" s="176">
        <v>120</v>
      </c>
      <c r="AM56" s="176">
        <v>84</v>
      </c>
      <c r="BG56" s="201">
        <v>42</v>
      </c>
      <c r="BI56" s="201">
        <v>4.2</v>
      </c>
      <c r="BK56" s="201">
        <v>1</v>
      </c>
      <c r="BM56" s="201">
        <v>39.799999999999997</v>
      </c>
      <c r="BO56" s="201">
        <v>17.2</v>
      </c>
      <c r="BQ56" s="201">
        <v>9.6</v>
      </c>
      <c r="BS56" s="201">
        <v>44.8</v>
      </c>
      <c r="BU56" s="201">
        <v>21.6</v>
      </c>
      <c r="BW56" s="201">
        <v>70.400000000000006</v>
      </c>
      <c r="BY56" s="178">
        <v>6.7000000000000028</v>
      </c>
      <c r="CC56" s="201">
        <v>5.3</v>
      </c>
      <c r="CD56" s="198">
        <v>41822</v>
      </c>
      <c r="CI56" s="174" t="s">
        <v>9349</v>
      </c>
      <c r="CL56" s="174">
        <v>9</v>
      </c>
    </row>
    <row r="57" spans="1:91">
      <c r="A57" s="191" t="s">
        <v>7671</v>
      </c>
      <c r="B57" s="192" t="s">
        <v>271</v>
      </c>
      <c r="C57" s="192" t="s">
        <v>8998</v>
      </c>
      <c r="D57" s="192" t="s">
        <v>8379</v>
      </c>
      <c r="E57" s="193">
        <v>218</v>
      </c>
      <c r="F57" s="193">
        <v>8</v>
      </c>
      <c r="I57" s="194"/>
      <c r="K57" s="176">
        <v>7</v>
      </c>
      <c r="M57" s="197">
        <v>3.65</v>
      </c>
      <c r="N57" s="198">
        <v>41822</v>
      </c>
      <c r="S57" s="176">
        <f>(AE57*BS57)/100</f>
        <v>11.113831569664903</v>
      </c>
      <c r="T57" s="198"/>
      <c r="U57" s="176">
        <v>16.2</v>
      </c>
      <c r="Y57" s="200">
        <f>(AE57*BU57)/100</f>
        <v>4.3938403880070549</v>
      </c>
      <c r="Z57" s="198"/>
      <c r="AA57" s="200"/>
      <c r="AB57" s="198"/>
      <c r="AC57" s="378">
        <f t="shared" si="0"/>
        <v>21.381790123456792</v>
      </c>
      <c r="AE57" s="176">
        <f>(M57/U57)*((100-CC57)/(100-9))*100</f>
        <v>23.496472663139333</v>
      </c>
      <c r="AF57" s="198">
        <v>41822</v>
      </c>
      <c r="AG57" s="176">
        <v>4.5</v>
      </c>
      <c r="AH57" s="196">
        <v>41927</v>
      </c>
      <c r="AI57" s="176">
        <v>135</v>
      </c>
      <c r="AM57" s="176">
        <v>87</v>
      </c>
      <c r="BG57" s="201">
        <v>8.9</v>
      </c>
      <c r="BI57" s="201">
        <v>4.7</v>
      </c>
      <c r="BK57" s="201">
        <v>1.6</v>
      </c>
      <c r="BM57" s="201">
        <v>64.900000000000006</v>
      </c>
      <c r="BO57" s="201">
        <v>21.5</v>
      </c>
      <c r="BQ57" s="201">
        <v>7.8</v>
      </c>
      <c r="BS57" s="201">
        <v>47.3</v>
      </c>
      <c r="BU57" s="201">
        <v>18.7</v>
      </c>
      <c r="BW57" s="201">
        <v>18.3</v>
      </c>
      <c r="BY57" s="178">
        <v>6.2000000000000028</v>
      </c>
      <c r="CC57" s="201">
        <v>5.0999999999999996</v>
      </c>
      <c r="CD57" s="198">
        <v>41822</v>
      </c>
      <c r="CI57" s="174" t="s">
        <v>9355</v>
      </c>
      <c r="CL57" s="174">
        <v>1</v>
      </c>
    </row>
    <row r="58" spans="1:91">
      <c r="A58" s="191" t="s">
        <v>7786</v>
      </c>
      <c r="B58" s="192" t="s">
        <v>271</v>
      </c>
      <c r="C58" s="192" t="s">
        <v>8998</v>
      </c>
      <c r="D58" s="192" t="s">
        <v>8839</v>
      </c>
      <c r="E58" s="193">
        <v>218</v>
      </c>
      <c r="F58" s="193">
        <v>9</v>
      </c>
      <c r="I58" s="194"/>
      <c r="K58" s="176">
        <v>8</v>
      </c>
      <c r="M58" s="197">
        <v>5.4</v>
      </c>
      <c r="N58" s="198">
        <v>41822</v>
      </c>
      <c r="S58" s="176">
        <f>(AE58*BS58)/100</f>
        <v>17.402637362637364</v>
      </c>
      <c r="T58" s="198"/>
      <c r="U58" s="176">
        <v>16.2</v>
      </c>
      <c r="Y58" s="200">
        <f>(AE58*BU58)/100</f>
        <v>6.1852747252747262</v>
      </c>
      <c r="Z58" s="198"/>
      <c r="AA58" s="200"/>
      <c r="AB58" s="198"/>
      <c r="AC58" s="378">
        <f t="shared" si="0"/>
        <v>31.800000000000004</v>
      </c>
      <c r="AE58" s="176">
        <f>(M58/U58)*((100-CC58)/(100-9))*100</f>
        <v>34.945054945054949</v>
      </c>
      <c r="AF58" s="198">
        <v>41822</v>
      </c>
      <c r="AG58" s="176">
        <v>4.4000000000000004</v>
      </c>
      <c r="AH58" s="196">
        <v>41927</v>
      </c>
      <c r="AI58" s="176">
        <v>145</v>
      </c>
      <c r="AM58" s="176">
        <v>84</v>
      </c>
      <c r="BG58" s="201">
        <v>1.4</v>
      </c>
      <c r="BI58" s="201">
        <v>4.4000000000000004</v>
      </c>
      <c r="BK58" s="201">
        <v>1.7</v>
      </c>
      <c r="BM58" s="201">
        <v>65.2</v>
      </c>
      <c r="BO58" s="201">
        <v>19.5</v>
      </c>
      <c r="BQ58" s="201">
        <v>7.6</v>
      </c>
      <c r="BS58" s="201">
        <v>49.8</v>
      </c>
      <c r="BU58" s="201">
        <v>17.7</v>
      </c>
      <c r="BW58" s="201">
        <v>10</v>
      </c>
      <c r="BY58" s="178">
        <v>6</v>
      </c>
      <c r="CC58" s="201">
        <v>4.5999999999999996</v>
      </c>
      <c r="CD58" s="198">
        <v>41822</v>
      </c>
      <c r="CI58" s="174" t="s">
        <v>9355</v>
      </c>
      <c r="CL58" s="174">
        <v>1</v>
      </c>
    </row>
    <row r="59" spans="1:91">
      <c r="A59" s="191" t="s">
        <v>7897</v>
      </c>
      <c r="B59" s="192" t="s">
        <v>271</v>
      </c>
      <c r="C59" s="192" t="s">
        <v>8998</v>
      </c>
      <c r="D59" s="192" t="s">
        <v>8975</v>
      </c>
      <c r="E59" s="193">
        <v>218</v>
      </c>
      <c r="F59" s="193">
        <v>10</v>
      </c>
      <c r="I59" s="194"/>
      <c r="K59" s="176">
        <v>8</v>
      </c>
      <c r="M59" s="197">
        <v>5.4</v>
      </c>
      <c r="N59" s="198">
        <v>41822</v>
      </c>
      <c r="S59" s="176">
        <f>(AE59*BS59)/100</f>
        <v>17.682527472527468</v>
      </c>
      <c r="T59" s="198"/>
      <c r="U59" s="176">
        <v>16.2</v>
      </c>
      <c r="Y59" s="200">
        <f>(AE59*BU59)/100</f>
        <v>5.7218315018315025</v>
      </c>
      <c r="Z59" s="198"/>
      <c r="AA59" s="200"/>
      <c r="AB59" s="198"/>
      <c r="AC59" s="378">
        <f t="shared" si="0"/>
        <v>31.366666666666667</v>
      </c>
      <c r="AE59" s="176">
        <f>(M59/U59)*((100-CC59)/(100-9))*100</f>
        <v>34.468864468864467</v>
      </c>
      <c r="AF59" s="198">
        <v>41822</v>
      </c>
      <c r="AG59" s="176">
        <v>4.5</v>
      </c>
      <c r="AH59" s="196">
        <v>41927</v>
      </c>
      <c r="AI59" s="176">
        <v>145</v>
      </c>
      <c r="AM59" s="176">
        <v>76</v>
      </c>
      <c r="BG59" s="201">
        <v>0</v>
      </c>
      <c r="BI59" s="201">
        <v>4.5</v>
      </c>
      <c r="BK59" s="201">
        <v>1.5</v>
      </c>
      <c r="BM59" s="201">
        <v>65.2</v>
      </c>
      <c r="BO59" s="201">
        <v>19.899999999999999</v>
      </c>
      <c r="BQ59" s="201">
        <v>8.9</v>
      </c>
      <c r="BS59" s="201">
        <v>51.3</v>
      </c>
      <c r="BU59" s="201">
        <v>16.600000000000001</v>
      </c>
      <c r="BW59" s="201">
        <v>16.5</v>
      </c>
      <c r="BY59" s="178">
        <v>6.4000000000000057</v>
      </c>
      <c r="CC59" s="201">
        <v>5.9</v>
      </c>
      <c r="CD59" s="198">
        <v>41822</v>
      </c>
      <c r="CI59" s="174" t="s">
        <v>9358</v>
      </c>
      <c r="CL59" s="174">
        <v>1</v>
      </c>
    </row>
    <row r="60" spans="1:91">
      <c r="A60" s="191" t="s">
        <v>7641</v>
      </c>
      <c r="B60" s="192" t="s">
        <v>271</v>
      </c>
      <c r="C60" s="192" t="s">
        <v>8998</v>
      </c>
      <c r="D60" s="192" t="s">
        <v>8259</v>
      </c>
      <c r="E60" s="193">
        <v>218</v>
      </c>
      <c r="F60" s="193">
        <v>11</v>
      </c>
      <c r="I60" s="194"/>
      <c r="K60" s="176">
        <v>8</v>
      </c>
      <c r="M60" s="197">
        <v>4.4000000000000004</v>
      </c>
      <c r="N60" s="198">
        <v>41822</v>
      </c>
      <c r="S60" s="176">
        <f>(AE60*BS60)/100</f>
        <v>14.907380274046943</v>
      </c>
      <c r="T60" s="198"/>
      <c r="U60" s="176">
        <v>16.2</v>
      </c>
      <c r="Y60" s="200">
        <f>(AE60*BU60)/100</f>
        <v>5.0166327499660852</v>
      </c>
      <c r="Z60" s="198"/>
      <c r="AA60" s="200"/>
      <c r="AB60" s="198"/>
      <c r="AC60" s="378">
        <f t="shared" si="0"/>
        <v>25.938271604938276</v>
      </c>
      <c r="AE60" s="176">
        <f>(M60/U60)*((100-CC60)/(100-9))*100</f>
        <v>28.503595170261843</v>
      </c>
      <c r="AF60" s="198">
        <v>41822</v>
      </c>
      <c r="AG60" s="176">
        <v>5</v>
      </c>
      <c r="AH60" s="196">
        <v>41927</v>
      </c>
      <c r="AI60" s="176">
        <v>155</v>
      </c>
      <c r="AM60" s="176">
        <v>87</v>
      </c>
      <c r="BG60" s="201">
        <v>54.1</v>
      </c>
      <c r="BI60" s="201">
        <v>4.3</v>
      </c>
      <c r="BK60" s="201">
        <v>0.8</v>
      </c>
      <c r="BM60" s="201">
        <v>24.4</v>
      </c>
      <c r="BO60" s="201">
        <v>16.600000000000001</v>
      </c>
      <c r="BQ60" s="201">
        <v>8.5</v>
      </c>
      <c r="BS60" s="201">
        <v>52.3</v>
      </c>
      <c r="BU60" s="201">
        <v>17.600000000000001</v>
      </c>
      <c r="BW60" s="201">
        <v>56.7</v>
      </c>
      <c r="BY60" s="178">
        <v>5.5999999999999943</v>
      </c>
      <c r="CC60" s="201">
        <v>4.5</v>
      </c>
      <c r="CD60" s="198">
        <v>41822</v>
      </c>
      <c r="CI60" s="174" t="s">
        <v>9358</v>
      </c>
      <c r="CL60" s="174">
        <v>4</v>
      </c>
    </row>
    <row r="61" spans="1:91">
      <c r="A61" s="191" t="s">
        <v>7729</v>
      </c>
      <c r="B61" s="192" t="s">
        <v>271</v>
      </c>
      <c r="C61" s="192" t="s">
        <v>8998</v>
      </c>
      <c r="D61" s="192" t="s">
        <v>8611</v>
      </c>
      <c r="E61" s="193">
        <v>218</v>
      </c>
      <c r="F61" s="193">
        <v>12</v>
      </c>
      <c r="I61" s="194"/>
      <c r="K61" s="176">
        <v>7</v>
      </c>
      <c r="M61" s="197">
        <v>4.8</v>
      </c>
      <c r="N61" s="198">
        <v>41822</v>
      </c>
      <c r="S61" s="176">
        <f>(AE61*BS61)/100</f>
        <v>15.19016687016687</v>
      </c>
      <c r="T61" s="198"/>
      <c r="U61" s="176">
        <v>16.2</v>
      </c>
      <c r="Y61" s="200">
        <f>(AE61*BU61)/100</f>
        <v>5.6029304029304035</v>
      </c>
      <c r="Z61" s="198"/>
      <c r="AA61" s="200"/>
      <c r="AB61" s="198"/>
      <c r="AC61" s="378">
        <f t="shared" si="0"/>
        <v>28.325925925925922</v>
      </c>
      <c r="AE61" s="176">
        <f>(M61/U61)*((100-CC61)/(100-9))*100</f>
        <v>31.127391127391128</v>
      </c>
      <c r="AF61" s="198">
        <v>41822</v>
      </c>
      <c r="AG61" s="176">
        <v>4.4000000000000004</v>
      </c>
      <c r="AH61" s="196">
        <v>41927</v>
      </c>
      <c r="AI61" s="176">
        <v>150</v>
      </c>
      <c r="AM61" s="176">
        <v>87</v>
      </c>
      <c r="BG61" s="201">
        <v>1.6</v>
      </c>
      <c r="BI61" s="201">
        <v>4.7</v>
      </c>
      <c r="BK61" s="201">
        <v>1.6</v>
      </c>
      <c r="BM61" s="201">
        <v>63.4</v>
      </c>
      <c r="BO61" s="201">
        <v>21</v>
      </c>
      <c r="BQ61" s="201">
        <v>8.1999999999999993</v>
      </c>
      <c r="BS61" s="201">
        <v>48.8</v>
      </c>
      <c r="BU61" s="201">
        <v>18</v>
      </c>
      <c r="BW61" s="201">
        <v>22</v>
      </c>
      <c r="BY61" s="178">
        <v>6.0999999999999943</v>
      </c>
      <c r="CC61" s="201">
        <v>4.4000000000000004</v>
      </c>
      <c r="CD61" s="198">
        <v>41822</v>
      </c>
      <c r="CI61" s="174" t="s">
        <v>9349</v>
      </c>
      <c r="CL61" s="174">
        <v>4</v>
      </c>
    </row>
    <row r="62" spans="1:91" s="181" customFormat="1">
      <c r="A62" s="191" t="s">
        <v>7685</v>
      </c>
      <c r="B62" s="192" t="s">
        <v>269</v>
      </c>
      <c r="C62" s="192" t="s">
        <v>417</v>
      </c>
      <c r="D62" s="192" t="s">
        <v>8433</v>
      </c>
      <c r="E62" s="193">
        <v>219</v>
      </c>
      <c r="F62" s="193">
        <v>1</v>
      </c>
      <c r="G62" s="193"/>
      <c r="H62" s="193"/>
      <c r="I62" s="194"/>
      <c r="J62" s="195"/>
      <c r="K62" s="176">
        <v>6</v>
      </c>
      <c r="L62" s="196"/>
      <c r="M62" s="197">
        <v>4.5</v>
      </c>
      <c r="N62" s="198">
        <v>41822</v>
      </c>
      <c r="O62" s="180"/>
      <c r="P62" s="199"/>
      <c r="Q62" s="180"/>
      <c r="R62" s="199"/>
      <c r="S62" s="176">
        <f>(AE62*BS62)/100</f>
        <v>14.755982905982906</v>
      </c>
      <c r="T62" s="198"/>
      <c r="U62" s="176">
        <v>16.2</v>
      </c>
      <c r="V62" s="199"/>
      <c r="W62" s="180"/>
      <c r="X62" s="199"/>
      <c r="Y62" s="200">
        <f>(AE62*BU62)/100</f>
        <v>4.8224053724053713</v>
      </c>
      <c r="Z62" s="198"/>
      <c r="AA62" s="200"/>
      <c r="AB62" s="198"/>
      <c r="AC62" s="378">
        <f t="shared" si="0"/>
        <v>26.277777777777779</v>
      </c>
      <c r="AD62" s="196"/>
      <c r="AE62" s="176">
        <f>(M62/U62)*((100-CC62)/(100-9))*100</f>
        <v>28.876678876678874</v>
      </c>
      <c r="AF62" s="198">
        <v>41822</v>
      </c>
      <c r="AG62" s="176">
        <v>4.3</v>
      </c>
      <c r="AH62" s="196">
        <v>41927</v>
      </c>
      <c r="AI62" s="176">
        <v>135</v>
      </c>
      <c r="AJ62" s="196"/>
      <c r="AK62" s="180"/>
      <c r="AL62" s="199"/>
      <c r="AM62" s="176">
        <v>84</v>
      </c>
      <c r="AN62" s="199"/>
      <c r="AO62" s="180"/>
      <c r="AP62" s="180"/>
      <c r="AQ62" s="180"/>
      <c r="AR62" s="180"/>
      <c r="AS62" s="180"/>
      <c r="AT62" s="180"/>
      <c r="AU62" s="180"/>
      <c r="AV62" s="180"/>
      <c r="AW62" s="180"/>
      <c r="AX62" s="180"/>
      <c r="AY62" s="180"/>
      <c r="AZ62" s="180"/>
      <c r="BA62" s="180"/>
      <c r="BB62" s="180"/>
      <c r="BC62" s="180"/>
      <c r="BD62" s="180"/>
      <c r="BE62" s="179"/>
      <c r="BF62" s="179"/>
      <c r="BG62" s="201">
        <v>0</v>
      </c>
      <c r="BH62" s="178"/>
      <c r="BI62" s="201">
        <v>4.5999999999999996</v>
      </c>
      <c r="BJ62" s="178"/>
      <c r="BK62" s="201">
        <v>1.7</v>
      </c>
      <c r="BL62" s="178"/>
      <c r="BM62" s="201">
        <v>64.099999999999994</v>
      </c>
      <c r="BN62" s="178"/>
      <c r="BO62" s="201">
        <v>20.100000000000001</v>
      </c>
      <c r="BP62" s="178"/>
      <c r="BQ62" s="201">
        <v>8.3000000000000007</v>
      </c>
      <c r="BR62" s="178"/>
      <c r="BS62" s="201">
        <v>51.1</v>
      </c>
      <c r="BT62" s="178"/>
      <c r="BU62" s="201">
        <v>16.7</v>
      </c>
      <c r="BV62" s="178"/>
      <c r="BW62" s="201">
        <v>14.5</v>
      </c>
      <c r="BX62" s="178"/>
      <c r="BY62" s="178">
        <v>6.5999999999999943</v>
      </c>
      <c r="BZ62" s="178"/>
      <c r="CA62" s="179"/>
      <c r="CB62" s="179"/>
      <c r="CC62" s="201">
        <v>5.4</v>
      </c>
      <c r="CD62" s="198">
        <v>41822</v>
      </c>
      <c r="CE62" s="178"/>
      <c r="CF62" s="178"/>
      <c r="CG62" s="179"/>
      <c r="CH62" s="179"/>
      <c r="CI62" s="174" t="s">
        <v>9340</v>
      </c>
      <c r="CJ62" s="178"/>
      <c r="CK62" s="178"/>
      <c r="CL62" s="174">
        <v>1</v>
      </c>
      <c r="CM62" s="174"/>
    </row>
    <row r="63" spans="1:91" s="181" customFormat="1">
      <c r="A63" s="191" t="s">
        <v>7761</v>
      </c>
      <c r="B63" s="192" t="s">
        <v>269</v>
      </c>
      <c r="C63" s="192" t="s">
        <v>417</v>
      </c>
      <c r="D63" s="192" t="s">
        <v>8737</v>
      </c>
      <c r="E63" s="193">
        <v>219</v>
      </c>
      <c r="F63" s="193">
        <v>2</v>
      </c>
      <c r="G63" s="193"/>
      <c r="H63" s="193"/>
      <c r="I63" s="194"/>
      <c r="J63" s="195"/>
      <c r="K63" s="176">
        <v>8</v>
      </c>
      <c r="L63" s="196"/>
      <c r="M63" s="197">
        <v>0.75</v>
      </c>
      <c r="N63" s="198">
        <v>41822</v>
      </c>
      <c r="O63" s="180"/>
      <c r="P63" s="199"/>
      <c r="Q63" s="180"/>
      <c r="R63" s="199"/>
      <c r="S63" s="176">
        <f>(AE63*BS63)/100</f>
        <v>2.404115791615792</v>
      </c>
      <c r="T63" s="198"/>
      <c r="U63" s="176">
        <v>16.2</v>
      </c>
      <c r="V63" s="199"/>
      <c r="W63" s="180"/>
      <c r="X63" s="199"/>
      <c r="Y63" s="200">
        <f>(AE63*BU63)/100</f>
        <v>0.86721611721611735</v>
      </c>
      <c r="Z63" s="198"/>
      <c r="AA63" s="200"/>
      <c r="AB63" s="198"/>
      <c r="AC63" s="378">
        <f t="shared" si="0"/>
        <v>4.3842592592592595</v>
      </c>
      <c r="AD63" s="196"/>
      <c r="AE63" s="176">
        <f>(M63/U63)*((100-CC63)/(100-9))*100</f>
        <v>4.8178673178673188</v>
      </c>
      <c r="AF63" s="198">
        <v>41822</v>
      </c>
      <c r="AG63" s="176">
        <v>4.5</v>
      </c>
      <c r="AH63" s="196">
        <v>41927</v>
      </c>
      <c r="AI63" s="176">
        <v>115</v>
      </c>
      <c r="AJ63" s="196"/>
      <c r="AK63" s="180"/>
      <c r="AL63" s="199"/>
      <c r="AM63" s="176">
        <v>85</v>
      </c>
      <c r="AN63" s="199"/>
      <c r="AO63" s="180"/>
      <c r="AP63" s="180"/>
      <c r="AQ63" s="180"/>
      <c r="AR63" s="180"/>
      <c r="AS63" s="180"/>
      <c r="AT63" s="180"/>
      <c r="AU63" s="180"/>
      <c r="AV63" s="180"/>
      <c r="AW63" s="180"/>
      <c r="AX63" s="180"/>
      <c r="AY63" s="180"/>
      <c r="AZ63" s="180"/>
      <c r="BA63" s="180"/>
      <c r="BB63" s="180"/>
      <c r="BC63" s="180"/>
      <c r="BD63" s="180"/>
      <c r="BE63" s="179"/>
      <c r="BF63" s="179"/>
      <c r="BG63" s="201">
        <v>5.6</v>
      </c>
      <c r="BH63" s="178"/>
      <c r="BI63" s="201">
        <v>4.7</v>
      </c>
      <c r="BJ63" s="178"/>
      <c r="BK63" s="201">
        <v>1.6</v>
      </c>
      <c r="BL63" s="178"/>
      <c r="BM63" s="201">
        <v>65.099999999999994</v>
      </c>
      <c r="BN63" s="178"/>
      <c r="BO63" s="201">
        <v>18.600000000000001</v>
      </c>
      <c r="BP63" s="178"/>
      <c r="BQ63" s="201">
        <v>8.4</v>
      </c>
      <c r="BR63" s="178"/>
      <c r="BS63" s="201">
        <v>49.9</v>
      </c>
      <c r="BT63" s="178"/>
      <c r="BU63" s="201">
        <v>18</v>
      </c>
      <c r="BV63" s="178"/>
      <c r="BW63" s="201">
        <v>51.6</v>
      </c>
      <c r="BX63" s="178"/>
      <c r="BY63" s="178">
        <v>6.5999999999999943</v>
      </c>
      <c r="BZ63" s="178"/>
      <c r="CA63" s="179"/>
      <c r="CB63" s="179"/>
      <c r="CC63" s="201">
        <v>5.3</v>
      </c>
      <c r="CD63" s="198">
        <v>41822</v>
      </c>
      <c r="CE63" s="178"/>
      <c r="CF63" s="178"/>
      <c r="CG63" s="179"/>
      <c r="CH63" s="179"/>
      <c r="CI63" s="174" t="s">
        <v>9351</v>
      </c>
      <c r="CJ63" s="178"/>
      <c r="CK63" s="178"/>
      <c r="CL63" s="174">
        <v>8</v>
      </c>
      <c r="CM63" s="174"/>
    </row>
    <row r="64" spans="1:91" s="181" customFormat="1">
      <c r="A64" s="191" t="s">
        <v>7811</v>
      </c>
      <c r="B64" s="192" t="s">
        <v>269</v>
      </c>
      <c r="C64" s="192" t="s">
        <v>417</v>
      </c>
      <c r="D64" s="192" t="s">
        <v>8937</v>
      </c>
      <c r="E64" s="193">
        <v>219</v>
      </c>
      <c r="F64" s="193">
        <v>3</v>
      </c>
      <c r="G64" s="193"/>
      <c r="H64" s="193"/>
      <c r="I64" s="194"/>
      <c r="J64" s="195"/>
      <c r="K64" s="176">
        <v>8</v>
      </c>
      <c r="L64" s="196"/>
      <c r="M64" s="197">
        <v>4.5999999999999996</v>
      </c>
      <c r="N64" s="198">
        <v>41822</v>
      </c>
      <c r="O64" s="180"/>
      <c r="P64" s="199"/>
      <c r="Q64" s="180"/>
      <c r="R64" s="199"/>
      <c r="S64" s="176">
        <f>(AE64*BS64)/100</f>
        <v>15.29052231718898</v>
      </c>
      <c r="T64" s="198"/>
      <c r="U64" s="176">
        <v>16.2</v>
      </c>
      <c r="V64" s="199"/>
      <c r="W64" s="180"/>
      <c r="X64" s="199"/>
      <c r="Y64" s="200">
        <f>(AE64*BU64)/100</f>
        <v>4.3687206620539945</v>
      </c>
      <c r="Z64" s="198"/>
      <c r="AA64" s="200"/>
      <c r="AB64" s="198"/>
      <c r="AC64" s="378">
        <f t="shared" si="0"/>
        <v>26.861728395061725</v>
      </c>
      <c r="AD64" s="196"/>
      <c r="AE64" s="176">
        <f>(M64/U64)*((100-CC64)/(100-9))*100</f>
        <v>29.518382851716179</v>
      </c>
      <c r="AF64" s="198">
        <v>41822</v>
      </c>
      <c r="AG64" s="176">
        <v>4.7</v>
      </c>
      <c r="AH64" s="196">
        <v>41927</v>
      </c>
      <c r="AI64" s="176">
        <v>150</v>
      </c>
      <c r="AJ64" s="196"/>
      <c r="AK64" s="180"/>
      <c r="AL64" s="199"/>
      <c r="AM64" s="176">
        <v>84</v>
      </c>
      <c r="AN64" s="199"/>
      <c r="AO64" s="180"/>
      <c r="AP64" s="180"/>
      <c r="AQ64" s="180"/>
      <c r="AR64" s="180"/>
      <c r="AS64" s="180"/>
      <c r="AT64" s="180"/>
      <c r="AU64" s="180"/>
      <c r="AV64" s="180"/>
      <c r="AW64" s="180"/>
      <c r="AX64" s="180"/>
      <c r="AY64" s="180"/>
      <c r="AZ64" s="180"/>
      <c r="BA64" s="180"/>
      <c r="BB64" s="180"/>
      <c r="BC64" s="180"/>
      <c r="BD64" s="180"/>
      <c r="BE64" s="179"/>
      <c r="BF64" s="179"/>
      <c r="BG64" s="201">
        <v>3.6</v>
      </c>
      <c r="BH64" s="178"/>
      <c r="BI64" s="201">
        <v>4.9000000000000004</v>
      </c>
      <c r="BJ64" s="178"/>
      <c r="BK64" s="201">
        <v>1.6</v>
      </c>
      <c r="BL64" s="178"/>
      <c r="BM64" s="201">
        <v>62.9</v>
      </c>
      <c r="BN64" s="178"/>
      <c r="BO64" s="201">
        <v>21.2</v>
      </c>
      <c r="BP64" s="178"/>
      <c r="BQ64" s="201">
        <v>7</v>
      </c>
      <c r="BR64" s="178"/>
      <c r="BS64" s="201">
        <v>51.8</v>
      </c>
      <c r="BT64" s="178"/>
      <c r="BU64" s="201">
        <v>14.8</v>
      </c>
      <c r="BV64" s="178"/>
      <c r="BW64" s="201">
        <v>15</v>
      </c>
      <c r="BX64" s="178"/>
      <c r="BY64" s="178">
        <v>6.7999999999999972</v>
      </c>
      <c r="BZ64" s="178"/>
      <c r="CA64" s="179"/>
      <c r="CB64" s="179"/>
      <c r="CC64" s="201">
        <v>5.4</v>
      </c>
      <c r="CD64" s="198">
        <v>41822</v>
      </c>
      <c r="CE64" s="178"/>
      <c r="CF64" s="178"/>
      <c r="CG64" s="179"/>
      <c r="CH64" s="179"/>
      <c r="CI64" s="174" t="s">
        <v>9347</v>
      </c>
      <c r="CJ64" s="178"/>
      <c r="CK64" s="178"/>
      <c r="CL64" s="174">
        <v>1</v>
      </c>
      <c r="CM64" s="174"/>
    </row>
    <row r="65" spans="1:91" s="181" customFormat="1">
      <c r="A65" s="191" t="s">
        <v>7730</v>
      </c>
      <c r="B65" s="192" t="s">
        <v>269</v>
      </c>
      <c r="C65" s="192" t="s">
        <v>417</v>
      </c>
      <c r="D65" s="192" t="s">
        <v>8613</v>
      </c>
      <c r="E65" s="193">
        <v>219</v>
      </c>
      <c r="F65" s="193">
        <v>4</v>
      </c>
      <c r="G65" s="193"/>
      <c r="H65" s="193"/>
      <c r="I65" s="194"/>
      <c r="J65" s="195"/>
      <c r="K65" s="176">
        <v>7</v>
      </c>
      <c r="L65" s="196"/>
      <c r="M65" s="197">
        <v>3.5</v>
      </c>
      <c r="N65" s="198">
        <v>41822</v>
      </c>
      <c r="O65" s="180"/>
      <c r="P65" s="199"/>
      <c r="Q65" s="180"/>
      <c r="R65" s="199"/>
      <c r="S65" s="176">
        <f>(AE65*BS65)/100</f>
        <v>11.564672364672365</v>
      </c>
      <c r="T65" s="198"/>
      <c r="U65" s="176">
        <v>16.2</v>
      </c>
      <c r="V65" s="199"/>
      <c r="W65" s="180"/>
      <c r="X65" s="199"/>
      <c r="Y65" s="200">
        <f>(AE65*BU65)/100</f>
        <v>3.742830009496676</v>
      </c>
      <c r="Z65" s="198"/>
      <c r="AA65" s="200"/>
      <c r="AB65" s="198"/>
      <c r="AC65" s="378">
        <f t="shared" si="0"/>
        <v>20.395061728395063</v>
      </c>
      <c r="AD65" s="196"/>
      <c r="AE65" s="176">
        <f>(M65/U65)*((100-CC65)/(100-9))*100</f>
        <v>22.412155745489081</v>
      </c>
      <c r="AF65" s="198">
        <v>41822</v>
      </c>
      <c r="AG65" s="176">
        <v>4.5</v>
      </c>
      <c r="AH65" s="196">
        <v>41927</v>
      </c>
      <c r="AI65" s="176">
        <v>145</v>
      </c>
      <c r="AJ65" s="196"/>
      <c r="AK65" s="180"/>
      <c r="AL65" s="199"/>
      <c r="AM65" s="176">
        <v>79</v>
      </c>
      <c r="AN65" s="199"/>
      <c r="AO65" s="180"/>
      <c r="AP65" s="180"/>
      <c r="AQ65" s="180"/>
      <c r="AR65" s="180"/>
      <c r="AS65" s="180"/>
      <c r="AT65" s="180"/>
      <c r="AU65" s="180"/>
      <c r="AV65" s="180"/>
      <c r="AW65" s="180"/>
      <c r="AX65" s="180"/>
      <c r="AY65" s="180"/>
      <c r="AZ65" s="180"/>
      <c r="BA65" s="180"/>
      <c r="BB65" s="180"/>
      <c r="BC65" s="180"/>
      <c r="BD65" s="180"/>
      <c r="BE65" s="179"/>
      <c r="BF65" s="179"/>
      <c r="BG65" s="201">
        <v>4.8</v>
      </c>
      <c r="BH65" s="178"/>
      <c r="BI65" s="201">
        <v>4.7</v>
      </c>
      <c r="BJ65" s="178"/>
      <c r="BK65" s="201">
        <v>1.5</v>
      </c>
      <c r="BL65" s="178"/>
      <c r="BM65" s="201">
        <v>63.5</v>
      </c>
      <c r="BN65" s="178"/>
      <c r="BO65" s="201">
        <v>18.899999999999999</v>
      </c>
      <c r="BP65" s="178"/>
      <c r="BQ65" s="201">
        <v>9.1</v>
      </c>
      <c r="BR65" s="178"/>
      <c r="BS65" s="201">
        <v>51.6</v>
      </c>
      <c r="BT65" s="178"/>
      <c r="BU65" s="201">
        <v>16.7</v>
      </c>
      <c r="BV65" s="178"/>
      <c r="BW65" s="201">
        <v>16</v>
      </c>
      <c r="BX65" s="178"/>
      <c r="BY65" s="178">
        <v>6.5999999999999943</v>
      </c>
      <c r="BZ65" s="178"/>
      <c r="CA65" s="179"/>
      <c r="CB65" s="179"/>
      <c r="CC65" s="201">
        <v>5.6</v>
      </c>
      <c r="CD65" s="198">
        <v>41822</v>
      </c>
      <c r="CE65" s="178"/>
      <c r="CF65" s="178"/>
      <c r="CG65" s="179"/>
      <c r="CH65" s="179"/>
      <c r="CI65" s="174" t="s">
        <v>9347</v>
      </c>
      <c r="CJ65" s="178"/>
      <c r="CK65" s="178"/>
      <c r="CL65" s="174">
        <v>3</v>
      </c>
      <c r="CM65" s="174"/>
    </row>
    <row r="66" spans="1:91">
      <c r="A66" s="191" t="s">
        <v>7621</v>
      </c>
      <c r="B66" s="192" t="s">
        <v>269</v>
      </c>
      <c r="C66" s="192" t="s">
        <v>417</v>
      </c>
      <c r="D66" s="192" t="s">
        <v>8177</v>
      </c>
      <c r="E66" s="193">
        <v>219</v>
      </c>
      <c r="F66" s="193">
        <v>5</v>
      </c>
      <c r="I66" s="326"/>
      <c r="K66" s="176">
        <v>7</v>
      </c>
      <c r="M66" s="197">
        <v>2.9</v>
      </c>
      <c r="N66" s="198">
        <v>41822</v>
      </c>
      <c r="O66" s="179"/>
      <c r="S66" s="176">
        <f>(AE66*BS66)/100</f>
        <v>9.9607583774250443</v>
      </c>
      <c r="T66" s="198"/>
      <c r="U66" s="176">
        <v>16.2</v>
      </c>
      <c r="Y66" s="200">
        <f>(AE66*BU66)/100</f>
        <v>3.1396011396011398</v>
      </c>
      <c r="Z66" s="198"/>
      <c r="AA66" s="200"/>
      <c r="AB66" s="198"/>
      <c r="AC66" s="378">
        <f t="shared" si="0"/>
        <v>17.006172839506171</v>
      </c>
      <c r="AE66" s="176">
        <f>(M66/U66)*((100-CC66)/(100-9))*100</f>
        <v>18.688102021435355</v>
      </c>
      <c r="AF66" s="198">
        <v>41822</v>
      </c>
      <c r="AG66" s="176">
        <v>4.5</v>
      </c>
      <c r="AH66" s="196">
        <v>41927</v>
      </c>
      <c r="AI66" s="176">
        <v>155</v>
      </c>
      <c r="AM66" s="176">
        <v>92</v>
      </c>
      <c r="BG66" s="201">
        <v>56.8</v>
      </c>
      <c r="BI66" s="201">
        <v>4.5</v>
      </c>
      <c r="BK66" s="201">
        <v>0.7</v>
      </c>
      <c r="BM66" s="201">
        <v>18.7</v>
      </c>
      <c r="BO66" s="201">
        <v>15.4</v>
      </c>
      <c r="BQ66" s="201">
        <v>9.3000000000000007</v>
      </c>
      <c r="BS66" s="201">
        <v>53.3</v>
      </c>
      <c r="BU66" s="201">
        <v>16.8</v>
      </c>
      <c r="BW66" s="201">
        <v>57.6</v>
      </c>
      <c r="BY66" s="178">
        <v>6</v>
      </c>
      <c r="CC66" s="201">
        <v>5</v>
      </c>
      <c r="CD66" s="198">
        <v>41822</v>
      </c>
      <c r="CI66" s="174" t="s">
        <v>9358</v>
      </c>
      <c r="CL66" s="174">
        <v>1</v>
      </c>
    </row>
    <row r="67" spans="1:91">
      <c r="A67" s="191" t="s">
        <v>7784</v>
      </c>
      <c r="B67" s="192" t="s">
        <v>269</v>
      </c>
      <c r="C67" s="192" t="s">
        <v>417</v>
      </c>
      <c r="D67" s="192" t="s">
        <v>8829</v>
      </c>
      <c r="E67" s="193">
        <v>219</v>
      </c>
      <c r="F67" s="193">
        <v>6</v>
      </c>
      <c r="I67" s="194"/>
      <c r="K67" s="176">
        <v>7</v>
      </c>
      <c r="M67" s="197">
        <v>4.95</v>
      </c>
      <c r="N67" s="198">
        <v>41822</v>
      </c>
      <c r="S67" s="176">
        <f>(AE67*BS67)/100</f>
        <v>16.588141025641026</v>
      </c>
      <c r="T67" s="198"/>
      <c r="U67" s="176">
        <v>16.2</v>
      </c>
      <c r="Y67" s="200">
        <f>(AE67*BU67)/100</f>
        <v>4.802661782661783</v>
      </c>
      <c r="Z67" s="198"/>
      <c r="AA67" s="200"/>
      <c r="AB67" s="198"/>
      <c r="AC67" s="378">
        <f t="shared" ref="AC67:AC130" si="1">(M67/16.2)*(100-CC67)</f>
        <v>28.75277777777778</v>
      </c>
      <c r="AE67" s="176">
        <f>(M67/U67)*((100-CC67)/(100-9))*100</f>
        <v>31.596459096459096</v>
      </c>
      <c r="AF67" s="198">
        <v>41822</v>
      </c>
      <c r="AG67" s="176">
        <v>5.0999999999999996</v>
      </c>
      <c r="AH67" s="196">
        <v>41927</v>
      </c>
      <c r="AI67" s="176">
        <v>155</v>
      </c>
      <c r="AM67" s="176">
        <v>83</v>
      </c>
      <c r="BG67" s="201">
        <v>0.8</v>
      </c>
      <c r="BI67" s="201">
        <v>4.5999999999999996</v>
      </c>
      <c r="BK67" s="201">
        <v>1.6</v>
      </c>
      <c r="BM67" s="201">
        <v>67.5</v>
      </c>
      <c r="BO67" s="201">
        <v>19.8</v>
      </c>
      <c r="BQ67" s="201">
        <v>7.6</v>
      </c>
      <c r="BS67" s="201">
        <v>52.5</v>
      </c>
      <c r="BU67" s="201">
        <v>15.2</v>
      </c>
      <c r="BW67" s="201">
        <v>14.5</v>
      </c>
      <c r="BY67" s="178">
        <v>6.7000000000000028</v>
      </c>
      <c r="CC67" s="201">
        <v>5.9</v>
      </c>
      <c r="CD67" s="198">
        <v>41822</v>
      </c>
      <c r="CI67" s="174" t="s">
        <v>9362</v>
      </c>
      <c r="CL67" s="174">
        <v>1</v>
      </c>
    </row>
    <row r="68" spans="1:91">
      <c r="A68" s="191" t="s">
        <v>7700</v>
      </c>
      <c r="B68" s="192" t="s">
        <v>271</v>
      </c>
      <c r="C68" s="192" t="s">
        <v>8998</v>
      </c>
      <c r="D68" s="192" t="s">
        <v>8495</v>
      </c>
      <c r="E68" s="193">
        <v>219</v>
      </c>
      <c r="F68" s="193">
        <v>7</v>
      </c>
      <c r="I68" s="194"/>
      <c r="K68" s="176">
        <v>7</v>
      </c>
      <c r="M68" s="197">
        <v>5.55</v>
      </c>
      <c r="N68" s="198">
        <v>41822</v>
      </c>
      <c r="S68" s="176">
        <f>(AE68*BS68)/100</f>
        <v>16.880854700854705</v>
      </c>
      <c r="T68" s="198"/>
      <c r="U68" s="176">
        <v>16.2</v>
      </c>
      <c r="Y68" s="200">
        <f>(AE68*BU68)/100</f>
        <v>6.7736202686202702</v>
      </c>
      <c r="Z68" s="198"/>
      <c r="AA68" s="200"/>
      <c r="AB68" s="198"/>
      <c r="AC68" s="378">
        <f t="shared" si="1"/>
        <v>32.272222222222226</v>
      </c>
      <c r="AE68" s="176">
        <f>(M68/U68)*((100-CC68)/(100-9))*100</f>
        <v>35.463980463980469</v>
      </c>
      <c r="AF68" s="198">
        <v>41822</v>
      </c>
      <c r="AG68" s="176">
        <v>4.4000000000000004</v>
      </c>
      <c r="AH68" s="196">
        <v>41927</v>
      </c>
      <c r="AI68" s="176">
        <v>145</v>
      </c>
      <c r="AM68" s="176">
        <v>88</v>
      </c>
      <c r="BG68" s="201">
        <v>2</v>
      </c>
      <c r="BI68" s="201">
        <v>4.8</v>
      </c>
      <c r="BK68" s="201">
        <v>1.7</v>
      </c>
      <c r="BM68" s="201">
        <v>68.8</v>
      </c>
      <c r="BO68" s="201">
        <v>20.3</v>
      </c>
      <c r="BQ68" s="201">
        <v>6.3</v>
      </c>
      <c r="BS68" s="201">
        <v>47.6</v>
      </c>
      <c r="BU68" s="201">
        <v>19.100000000000001</v>
      </c>
      <c r="BW68" s="201">
        <v>21.7</v>
      </c>
      <c r="BY68" s="178">
        <v>6.2999999999999972</v>
      </c>
      <c r="CC68" s="201">
        <v>5.8</v>
      </c>
      <c r="CD68" s="198">
        <v>41822</v>
      </c>
      <c r="CI68" s="174" t="s">
        <v>9360</v>
      </c>
      <c r="CL68" s="174">
        <v>2</v>
      </c>
    </row>
    <row r="69" spans="1:91">
      <c r="A69" s="191" t="s">
        <v>7614</v>
      </c>
      <c r="B69" s="192" t="s">
        <v>271</v>
      </c>
      <c r="C69" s="192" t="s">
        <v>8998</v>
      </c>
      <c r="D69" s="192" t="s">
        <v>8151</v>
      </c>
      <c r="E69" s="193">
        <v>219</v>
      </c>
      <c r="F69" s="193">
        <v>8</v>
      </c>
      <c r="I69" s="326"/>
      <c r="K69" s="176">
        <v>7</v>
      </c>
      <c r="M69" s="197">
        <v>5.55</v>
      </c>
      <c r="N69" s="198">
        <v>41822</v>
      </c>
      <c r="O69" s="179"/>
      <c r="S69" s="176">
        <f>(AE69*BS69)/100</f>
        <v>17.882580382580386</v>
      </c>
      <c r="T69" s="198"/>
      <c r="U69" s="176">
        <v>16.2</v>
      </c>
      <c r="Y69" s="200">
        <f>(AE69*BU69)/100</f>
        <v>6.5092592592592595</v>
      </c>
      <c r="Z69" s="198"/>
      <c r="AA69" s="200"/>
      <c r="AB69" s="198"/>
      <c r="AC69" s="378">
        <f t="shared" si="1"/>
        <v>32.546296296296298</v>
      </c>
      <c r="AE69" s="176">
        <f>(M69/U69)*((100-CC69)/(100-9))*100</f>
        <v>35.765160765160772</v>
      </c>
      <c r="AF69" s="198">
        <v>41822</v>
      </c>
      <c r="AG69" s="176">
        <v>5.0999999999999996</v>
      </c>
      <c r="AH69" s="196">
        <v>41927</v>
      </c>
      <c r="AI69" s="176">
        <v>155</v>
      </c>
      <c r="AM69" s="176">
        <v>88</v>
      </c>
      <c r="BG69" s="201">
        <v>47</v>
      </c>
      <c r="BI69" s="201">
        <v>4.5999999999999996</v>
      </c>
      <c r="BK69" s="201">
        <v>0.8</v>
      </c>
      <c r="BM69" s="201">
        <v>27.8</v>
      </c>
      <c r="BO69" s="201">
        <v>16.8</v>
      </c>
      <c r="BQ69" s="201">
        <v>9</v>
      </c>
      <c r="BS69" s="201">
        <v>50</v>
      </c>
      <c r="BU69" s="201">
        <v>18.2</v>
      </c>
      <c r="BW69" s="201">
        <v>79.7</v>
      </c>
      <c r="BY69" s="178">
        <v>5.9000000000000057</v>
      </c>
      <c r="CC69" s="201">
        <v>5</v>
      </c>
      <c r="CD69" s="198">
        <v>41822</v>
      </c>
      <c r="CI69" s="174" t="s">
        <v>9356</v>
      </c>
      <c r="CL69" s="174">
        <v>1</v>
      </c>
    </row>
    <row r="70" spans="1:91">
      <c r="A70" s="191" t="s">
        <v>7794</v>
      </c>
      <c r="B70" s="192" t="s">
        <v>271</v>
      </c>
      <c r="C70" s="192" t="s">
        <v>8998</v>
      </c>
      <c r="D70" s="192" t="s">
        <v>8871</v>
      </c>
      <c r="E70" s="193">
        <v>219</v>
      </c>
      <c r="F70" s="193">
        <v>9</v>
      </c>
      <c r="I70" s="194"/>
      <c r="K70" s="176">
        <v>8</v>
      </c>
      <c r="M70" s="197">
        <v>6.1</v>
      </c>
      <c r="N70" s="198">
        <v>41822</v>
      </c>
      <c r="S70" s="176">
        <f>(AE70*BS70)/100</f>
        <v>19.491531678198346</v>
      </c>
      <c r="T70" s="198"/>
      <c r="U70" s="176">
        <v>16.2</v>
      </c>
      <c r="Y70" s="200">
        <f>(AE70*BU70)/100</f>
        <v>6.6794627594627602</v>
      </c>
      <c r="Z70" s="198"/>
      <c r="AA70" s="200"/>
      <c r="AB70" s="198"/>
      <c r="AC70" s="378">
        <f t="shared" si="1"/>
        <v>35.54567901234568</v>
      </c>
      <c r="AE70" s="176">
        <f>(M70/U70)*((100-CC70)/(100-9))*100</f>
        <v>39.061185727852397</v>
      </c>
      <c r="AF70" s="198">
        <v>41822</v>
      </c>
      <c r="AG70" s="176">
        <v>4.8</v>
      </c>
      <c r="AH70" s="196">
        <v>41927</v>
      </c>
      <c r="AI70" s="176">
        <v>155</v>
      </c>
      <c r="AM70" s="176">
        <v>88</v>
      </c>
      <c r="BG70" s="201">
        <v>3.9</v>
      </c>
      <c r="BI70" s="201">
        <v>4.7</v>
      </c>
      <c r="BK70" s="201">
        <v>1.5</v>
      </c>
      <c r="BM70" s="201">
        <v>62.9</v>
      </c>
      <c r="BO70" s="201">
        <v>21.9</v>
      </c>
      <c r="BQ70" s="201">
        <v>8.3000000000000007</v>
      </c>
      <c r="BS70" s="201">
        <v>49.9</v>
      </c>
      <c r="BU70" s="201">
        <v>17.100000000000001</v>
      </c>
      <c r="BW70" s="201">
        <v>15.5</v>
      </c>
      <c r="BY70" s="178">
        <v>6.0999999999999943</v>
      </c>
      <c r="CC70" s="201">
        <v>5.6</v>
      </c>
      <c r="CD70" s="198">
        <v>41822</v>
      </c>
      <c r="CI70" s="174" t="s">
        <v>9355</v>
      </c>
      <c r="CL70" s="174">
        <v>1</v>
      </c>
    </row>
    <row r="71" spans="1:91">
      <c r="A71" s="191" t="s">
        <v>7796</v>
      </c>
      <c r="B71" s="192" t="s">
        <v>271</v>
      </c>
      <c r="C71" s="192" t="s">
        <v>8998</v>
      </c>
      <c r="D71" s="192" t="s">
        <v>8879</v>
      </c>
      <c r="E71" s="193">
        <v>219</v>
      </c>
      <c r="F71" s="193">
        <v>10</v>
      </c>
      <c r="I71" s="194"/>
      <c r="K71" s="176">
        <v>8</v>
      </c>
      <c r="M71" s="197">
        <v>6.6</v>
      </c>
      <c r="N71" s="198">
        <v>41822</v>
      </c>
      <c r="S71" s="176">
        <f>(AE71*BS71)/100</f>
        <v>20.920146520146524</v>
      </c>
      <c r="T71" s="198"/>
      <c r="U71" s="176">
        <v>16.2</v>
      </c>
      <c r="Y71" s="200">
        <f>(AE71*BU71)/100</f>
        <v>7.818640618640619</v>
      </c>
      <c r="Z71" s="198"/>
      <c r="AA71" s="200"/>
      <c r="AB71" s="198"/>
      <c r="AC71" s="378">
        <f t="shared" si="1"/>
        <v>38.459259259259262</v>
      </c>
      <c r="AE71" s="176">
        <f>(M71/U71)*((100-CC71)/(100-9))*100</f>
        <v>42.262922262922267</v>
      </c>
      <c r="AF71" s="198">
        <v>41822</v>
      </c>
      <c r="AG71" s="176">
        <v>4.8</v>
      </c>
      <c r="AH71" s="196">
        <v>41927</v>
      </c>
      <c r="AI71" s="176">
        <v>160</v>
      </c>
      <c r="AM71" s="176">
        <v>80</v>
      </c>
      <c r="BG71" s="201">
        <v>1.3</v>
      </c>
      <c r="BI71" s="201">
        <v>4.4000000000000004</v>
      </c>
      <c r="BK71" s="201">
        <v>1.6</v>
      </c>
      <c r="BM71" s="201">
        <v>66.3</v>
      </c>
      <c r="BO71" s="201">
        <v>19.7</v>
      </c>
      <c r="BQ71" s="201">
        <v>7.4</v>
      </c>
      <c r="BS71" s="201">
        <v>49.5</v>
      </c>
      <c r="BU71" s="201">
        <v>18.5</v>
      </c>
      <c r="BW71" s="201">
        <v>13</v>
      </c>
      <c r="BY71" s="178">
        <v>6.2000000000000028</v>
      </c>
      <c r="CC71" s="201">
        <v>5.6</v>
      </c>
      <c r="CD71" s="198">
        <v>41822</v>
      </c>
      <c r="CI71" s="174" t="s">
        <v>9382</v>
      </c>
      <c r="CL71" s="174">
        <v>1</v>
      </c>
    </row>
    <row r="72" spans="1:91">
      <c r="A72" s="191" t="s">
        <v>7730</v>
      </c>
      <c r="B72" s="192" t="s">
        <v>271</v>
      </c>
      <c r="C72" s="192" t="s">
        <v>8998</v>
      </c>
      <c r="D72" s="192" t="s">
        <v>8615</v>
      </c>
      <c r="E72" s="193">
        <v>219</v>
      </c>
      <c r="F72" s="193">
        <v>11</v>
      </c>
      <c r="I72" s="194"/>
      <c r="K72" s="176">
        <v>9</v>
      </c>
      <c r="M72" s="197">
        <v>6.2</v>
      </c>
      <c r="N72" s="198">
        <v>41822</v>
      </c>
      <c r="S72" s="176">
        <f>(AE72*BS72)/100</f>
        <v>19.693894993894993</v>
      </c>
      <c r="T72" s="198"/>
      <c r="U72" s="176">
        <v>16.2</v>
      </c>
      <c r="Y72" s="200">
        <f>(AE72*BU72)/100</f>
        <v>6.6839886039886043</v>
      </c>
      <c r="Z72" s="198"/>
      <c r="AA72" s="200"/>
      <c r="AB72" s="198"/>
      <c r="AC72" s="378">
        <f t="shared" si="1"/>
        <v>36.204938271604938</v>
      </c>
      <c r="AE72" s="176">
        <f>(M72/U72)*((100-CC72)/(100-9))*100</f>
        <v>39.785646452313117</v>
      </c>
      <c r="AF72" s="198">
        <v>41822</v>
      </c>
      <c r="AG72" s="176">
        <v>4.3</v>
      </c>
      <c r="AH72" s="196">
        <v>41927</v>
      </c>
      <c r="AI72" s="176">
        <v>140</v>
      </c>
      <c r="AM72" s="176">
        <v>80</v>
      </c>
      <c r="BG72" s="201">
        <v>0.3</v>
      </c>
      <c r="BI72" s="201">
        <v>4.7</v>
      </c>
      <c r="BK72" s="201">
        <v>1.7</v>
      </c>
      <c r="BM72" s="201">
        <v>65</v>
      </c>
      <c r="BO72" s="201">
        <v>20.5</v>
      </c>
      <c r="BQ72" s="201">
        <v>8.1999999999999993</v>
      </c>
      <c r="BS72" s="201">
        <v>49.5</v>
      </c>
      <c r="BU72" s="201">
        <v>16.8</v>
      </c>
      <c r="BW72" s="201">
        <v>16.399999999999999</v>
      </c>
      <c r="BY72" s="178">
        <v>6.4000000000000057</v>
      </c>
      <c r="CC72" s="201">
        <v>5.4</v>
      </c>
      <c r="CD72" s="198">
        <v>41822</v>
      </c>
      <c r="CI72" s="174" t="s">
        <v>9358</v>
      </c>
      <c r="CL72" s="174">
        <v>2</v>
      </c>
    </row>
    <row r="73" spans="1:91">
      <c r="A73" s="191" t="s">
        <v>7722</v>
      </c>
      <c r="B73" s="192" t="s">
        <v>271</v>
      </c>
      <c r="C73" s="192" t="s">
        <v>8998</v>
      </c>
      <c r="D73" s="192" t="s">
        <v>8583</v>
      </c>
      <c r="E73" s="193">
        <v>219</v>
      </c>
      <c r="F73" s="193">
        <v>12</v>
      </c>
      <c r="I73" s="194"/>
      <c r="K73" s="176">
        <v>8</v>
      </c>
      <c r="M73" s="197">
        <v>6.3</v>
      </c>
      <c r="N73" s="198">
        <v>41822</v>
      </c>
      <c r="S73" s="176">
        <f>(AE73*BS73)/100</f>
        <v>20.444700854700859</v>
      </c>
      <c r="T73" s="198"/>
      <c r="U73" s="176">
        <v>16.2</v>
      </c>
      <c r="Y73" s="200">
        <f>(AE73*BU73)/100</f>
        <v>6.7198717948717963</v>
      </c>
      <c r="Z73" s="198"/>
      <c r="AA73" s="200"/>
      <c r="AB73" s="198"/>
      <c r="AC73" s="378">
        <f t="shared" si="1"/>
        <v>37.06111111111111</v>
      </c>
      <c r="AE73" s="176">
        <f>(M73/U73)*((100-CC73)/(100-9))*100</f>
        <v>40.726495726495735</v>
      </c>
      <c r="AF73" s="198">
        <v>41822</v>
      </c>
      <c r="AG73" s="176">
        <v>4</v>
      </c>
      <c r="AH73" s="196">
        <v>41927</v>
      </c>
      <c r="AI73" s="176">
        <v>150</v>
      </c>
      <c r="AM73" s="176">
        <v>78</v>
      </c>
      <c r="BG73" s="201">
        <v>0</v>
      </c>
      <c r="BI73" s="201">
        <v>5</v>
      </c>
      <c r="BK73" s="201">
        <v>1.7</v>
      </c>
      <c r="BM73" s="201">
        <v>66.7</v>
      </c>
      <c r="BO73" s="201">
        <v>22</v>
      </c>
      <c r="BQ73" s="201">
        <v>7.7</v>
      </c>
      <c r="BS73" s="201">
        <v>50.2</v>
      </c>
      <c r="BU73" s="201">
        <v>16.5</v>
      </c>
      <c r="BW73" s="201">
        <v>9.6999999999999993</v>
      </c>
      <c r="BY73" s="178">
        <v>5.7999999999999972</v>
      </c>
      <c r="CC73" s="201">
        <v>4.7</v>
      </c>
      <c r="CD73" s="198">
        <v>41822</v>
      </c>
      <c r="CI73" s="174" t="s">
        <v>9349</v>
      </c>
      <c r="CL73" s="174">
        <v>1</v>
      </c>
    </row>
    <row r="74" spans="1:91">
      <c r="A74" s="202" t="s">
        <v>7620</v>
      </c>
      <c r="B74" s="203" t="s">
        <v>269</v>
      </c>
      <c r="C74" s="203" t="s">
        <v>417</v>
      </c>
      <c r="D74" s="203" t="s">
        <v>8173</v>
      </c>
      <c r="E74" s="204">
        <v>220</v>
      </c>
      <c r="F74" s="204">
        <v>1</v>
      </c>
      <c r="G74" s="204"/>
      <c r="H74" s="204"/>
      <c r="I74" s="181"/>
      <c r="J74" s="206"/>
      <c r="K74" s="177">
        <v>8</v>
      </c>
      <c r="L74" s="207"/>
      <c r="M74" s="208">
        <v>0.85</v>
      </c>
      <c r="N74" s="209">
        <v>41822</v>
      </c>
      <c r="O74" s="182"/>
      <c r="P74" s="210"/>
      <c r="Q74" s="183"/>
      <c r="R74" s="210"/>
      <c r="S74" s="177">
        <f>(AE74*BS74)/100</f>
        <v>2.6099993216659887</v>
      </c>
      <c r="T74" s="209"/>
      <c r="U74" s="177">
        <v>16.2</v>
      </c>
      <c r="V74" s="210"/>
      <c r="W74" s="183"/>
      <c r="X74" s="210"/>
      <c r="Y74" s="213">
        <f>(AE74*BU74)/100</f>
        <v>1.1084306742640078</v>
      </c>
      <c r="Z74" s="209"/>
      <c r="AA74" s="213"/>
      <c r="AB74" s="209"/>
      <c r="AC74" s="378">
        <f t="shared" si="1"/>
        <v>4.9688271604938281</v>
      </c>
      <c r="AD74" s="207"/>
      <c r="AE74" s="177">
        <f>(M74/U74)*((100-CC74)/(100-9))*100</f>
        <v>5.4602496269162941</v>
      </c>
      <c r="AF74" s="209">
        <v>41822</v>
      </c>
      <c r="AG74" s="177">
        <v>4.5</v>
      </c>
      <c r="AH74" s="207">
        <v>41927</v>
      </c>
      <c r="AI74" s="177">
        <v>100</v>
      </c>
      <c r="AJ74" s="207"/>
      <c r="AK74" s="183"/>
      <c r="AL74" s="210"/>
      <c r="AM74" s="177">
        <v>84</v>
      </c>
      <c r="AN74" s="210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2"/>
      <c r="BF74" s="182"/>
      <c r="BG74" s="211">
        <v>33.1</v>
      </c>
      <c r="BH74" s="181"/>
      <c r="BI74" s="211">
        <v>4.7</v>
      </c>
      <c r="BJ74" s="181"/>
      <c r="BK74" s="211">
        <v>1.2</v>
      </c>
      <c r="BL74" s="181"/>
      <c r="BM74" s="211">
        <v>40.200000000000003</v>
      </c>
      <c r="BN74" s="181"/>
      <c r="BO74" s="211">
        <v>16.8</v>
      </c>
      <c r="BP74" s="181"/>
      <c r="BQ74" s="211">
        <v>8.5</v>
      </c>
      <c r="BR74" s="181"/>
      <c r="BS74" s="211">
        <v>47.8</v>
      </c>
      <c r="BT74" s="181"/>
      <c r="BU74" s="211">
        <v>20.3</v>
      </c>
      <c r="BV74" s="181"/>
      <c r="BW74" s="211">
        <v>64.400000000000006</v>
      </c>
      <c r="BX74" s="181"/>
      <c r="BY74" s="181">
        <v>6.5999999999999943</v>
      </c>
      <c r="BZ74" s="181"/>
      <c r="CA74" s="182"/>
      <c r="CB74" s="182"/>
      <c r="CC74" s="211">
        <v>5.3</v>
      </c>
      <c r="CD74" s="209">
        <v>41822</v>
      </c>
      <c r="CE74" s="181"/>
      <c r="CF74" s="181"/>
      <c r="CG74" s="182"/>
      <c r="CH74" s="182"/>
      <c r="CI74" s="175" t="s">
        <v>9337</v>
      </c>
      <c r="CJ74" s="181"/>
      <c r="CK74" s="181"/>
      <c r="CL74" s="175">
        <v>9</v>
      </c>
      <c r="CM74" s="175"/>
    </row>
    <row r="75" spans="1:91">
      <c r="A75" s="191" t="s">
        <v>7778</v>
      </c>
      <c r="B75" s="192" t="s">
        <v>269</v>
      </c>
      <c r="C75" s="192" t="s">
        <v>417</v>
      </c>
      <c r="D75" s="192" t="s">
        <v>8805</v>
      </c>
      <c r="E75" s="193">
        <v>220</v>
      </c>
      <c r="F75" s="193">
        <v>2</v>
      </c>
      <c r="I75" s="194"/>
      <c r="K75" s="176">
        <v>8</v>
      </c>
      <c r="M75" s="197">
        <v>0</v>
      </c>
      <c r="N75" s="198">
        <v>41822</v>
      </c>
      <c r="S75" s="176">
        <f>(AE75*BS75)/100</f>
        <v>0</v>
      </c>
      <c r="T75" s="198"/>
      <c r="U75" s="176">
        <v>16.2</v>
      </c>
      <c r="Y75" s="200">
        <f>(AE75*BU75)/100</f>
        <v>0</v>
      </c>
      <c r="Z75" s="198"/>
      <c r="AA75" s="200"/>
      <c r="AB75" s="198"/>
      <c r="AC75" s="378">
        <f t="shared" si="1"/>
        <v>0</v>
      </c>
      <c r="AE75" s="176">
        <f>(M75/U75)*((100-CC75)/(100-9))*100</f>
        <v>0</v>
      </c>
      <c r="AF75" s="198">
        <v>41822</v>
      </c>
      <c r="AG75" s="176">
        <v>4.5</v>
      </c>
      <c r="AH75" s="196">
        <v>41927</v>
      </c>
      <c r="AI75" s="176">
        <v>90</v>
      </c>
      <c r="AM75" s="176">
        <v>85</v>
      </c>
      <c r="BG75" s="201">
        <v>0</v>
      </c>
      <c r="BI75" s="201">
        <v>5.3</v>
      </c>
      <c r="BK75" s="201">
        <v>1.5</v>
      </c>
      <c r="BM75" s="201">
        <v>63.4</v>
      </c>
      <c r="BO75" s="201">
        <v>21.1</v>
      </c>
      <c r="BQ75" s="201">
        <v>9.4</v>
      </c>
      <c r="BS75" s="201">
        <v>55</v>
      </c>
      <c r="BU75" s="201">
        <v>14.4</v>
      </c>
      <c r="BW75" s="201">
        <v>9.9</v>
      </c>
      <c r="BY75" s="178">
        <v>6.5999999999999943</v>
      </c>
      <c r="CC75" s="201">
        <v>6.6</v>
      </c>
      <c r="CD75" s="198">
        <v>41822</v>
      </c>
      <c r="CI75" s="174" t="s">
        <v>9352</v>
      </c>
      <c r="CL75" s="174">
        <v>1</v>
      </c>
    </row>
    <row r="76" spans="1:91">
      <c r="A76" s="191" t="s">
        <v>7777</v>
      </c>
      <c r="B76" s="192" t="s">
        <v>269</v>
      </c>
      <c r="C76" s="192" t="s">
        <v>417</v>
      </c>
      <c r="D76" s="192" t="s">
        <v>8801</v>
      </c>
      <c r="E76" s="193">
        <v>220</v>
      </c>
      <c r="F76" s="193">
        <v>3</v>
      </c>
      <c r="I76" s="194"/>
      <c r="K76" s="176">
        <v>7</v>
      </c>
      <c r="M76" s="197">
        <v>0</v>
      </c>
      <c r="N76" s="198">
        <v>41822</v>
      </c>
      <c r="S76" s="176">
        <f>(AE76*BS76)/100</f>
        <v>0</v>
      </c>
      <c r="T76" s="198"/>
      <c r="U76" s="176">
        <v>16.2</v>
      </c>
      <c r="Y76" s="200">
        <f>(AE76*BU76)/100</f>
        <v>0</v>
      </c>
      <c r="Z76" s="198"/>
      <c r="AA76" s="200"/>
      <c r="AB76" s="198"/>
      <c r="AC76" s="378">
        <f t="shared" si="1"/>
        <v>0</v>
      </c>
      <c r="AE76" s="176">
        <f>(M76/U76)*((100-CC76)/(100-9))*100</f>
        <v>0</v>
      </c>
      <c r="AF76" s="198">
        <v>41822</v>
      </c>
      <c r="AH76" s="196">
        <v>41927</v>
      </c>
      <c r="AI76" s="176">
        <v>155</v>
      </c>
      <c r="AM76" s="176">
        <v>76</v>
      </c>
      <c r="BG76" s="201"/>
      <c r="BI76" s="201"/>
      <c r="BK76" s="201"/>
      <c r="BM76" s="201"/>
      <c r="BO76" s="201"/>
      <c r="BQ76" s="201"/>
      <c r="BS76" s="201"/>
      <c r="BU76" s="201"/>
      <c r="BW76" s="201"/>
      <c r="BY76" s="178">
        <v>100</v>
      </c>
      <c r="CC76" s="201"/>
      <c r="CD76" s="198">
        <v>41822</v>
      </c>
      <c r="CI76" s="174" t="s">
        <v>9347</v>
      </c>
      <c r="CL76" s="174">
        <v>1</v>
      </c>
    </row>
    <row r="77" spans="1:91">
      <c r="A77" s="202" t="s">
        <v>7616</v>
      </c>
      <c r="B77" s="203" t="s">
        <v>269</v>
      </c>
      <c r="C77" s="203" t="s">
        <v>417</v>
      </c>
      <c r="D77" s="203" t="s">
        <v>8157</v>
      </c>
      <c r="E77" s="204">
        <v>220</v>
      </c>
      <c r="F77" s="204">
        <v>4</v>
      </c>
      <c r="G77" s="204"/>
      <c r="H77" s="204"/>
      <c r="I77" s="377"/>
      <c r="J77" s="206"/>
      <c r="K77" s="177">
        <v>8</v>
      </c>
      <c r="L77" s="207"/>
      <c r="M77" s="208">
        <v>0.25</v>
      </c>
      <c r="N77" s="209">
        <v>41822</v>
      </c>
      <c r="O77" s="182"/>
      <c r="P77" s="210"/>
      <c r="Q77" s="183"/>
      <c r="R77" s="210"/>
      <c r="S77" s="177">
        <f>(AE77*BS77)/100</f>
        <v>0.78625356125356116</v>
      </c>
      <c r="T77" s="209"/>
      <c r="U77" s="177">
        <v>16.2</v>
      </c>
      <c r="V77" s="210"/>
      <c r="W77" s="183"/>
      <c r="X77" s="210"/>
      <c r="Y77" s="213">
        <f>(AE77*BU77)/100</f>
        <v>0.30313390313390309</v>
      </c>
      <c r="Z77" s="209"/>
      <c r="AA77" s="213"/>
      <c r="AB77" s="209"/>
      <c r="AC77" s="378">
        <f t="shared" si="1"/>
        <v>1.4367283950617284</v>
      </c>
      <c r="AD77" s="207"/>
      <c r="AE77" s="177">
        <f>(M77/U77)*((100-CC77)/(100-9))*100</f>
        <v>1.5788224121557455</v>
      </c>
      <c r="AF77" s="209">
        <v>41822</v>
      </c>
      <c r="AG77" s="177"/>
      <c r="AH77" s="207">
        <v>41927</v>
      </c>
      <c r="AI77" s="177">
        <v>20</v>
      </c>
      <c r="AJ77" s="207"/>
      <c r="AK77" s="183"/>
      <c r="AL77" s="210"/>
      <c r="AM77" s="177">
        <v>74</v>
      </c>
      <c r="AN77" s="210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  <c r="BA77" s="183"/>
      <c r="BB77" s="183"/>
      <c r="BC77" s="183"/>
      <c r="BD77" s="183"/>
      <c r="BE77" s="182"/>
      <c r="BF77" s="182"/>
      <c r="BG77" s="211">
        <v>1.9</v>
      </c>
      <c r="BH77" s="181"/>
      <c r="BI77" s="211">
        <v>4.5</v>
      </c>
      <c r="BJ77" s="181"/>
      <c r="BK77" s="211">
        <v>1.5</v>
      </c>
      <c r="BL77" s="181"/>
      <c r="BM77" s="211">
        <v>65.3</v>
      </c>
      <c r="BN77" s="181"/>
      <c r="BO77" s="211">
        <v>18.8</v>
      </c>
      <c r="BP77" s="181"/>
      <c r="BQ77" s="211">
        <v>9.6999999999999993</v>
      </c>
      <c r="BR77" s="181"/>
      <c r="BS77" s="211">
        <v>49.8</v>
      </c>
      <c r="BT77" s="181"/>
      <c r="BU77" s="211">
        <v>19.2</v>
      </c>
      <c r="BV77" s="181"/>
      <c r="BW77" s="211">
        <v>24.1</v>
      </c>
      <c r="BX77" s="181"/>
      <c r="BY77" s="181">
        <v>7.0999999999999943</v>
      </c>
      <c r="BZ77" s="181"/>
      <c r="CA77" s="182"/>
      <c r="CB77" s="182"/>
      <c r="CC77" s="211">
        <v>6.9</v>
      </c>
      <c r="CD77" s="209">
        <v>41822</v>
      </c>
      <c r="CE77" s="181"/>
      <c r="CF77" s="181"/>
      <c r="CG77" s="182"/>
      <c r="CH77" s="182"/>
      <c r="CI77" s="175" t="s">
        <v>9349</v>
      </c>
      <c r="CJ77" s="181"/>
      <c r="CK77" s="181"/>
      <c r="CL77" s="175">
        <v>9</v>
      </c>
      <c r="CM77" s="175"/>
    </row>
    <row r="78" spans="1:91" s="181" customFormat="1">
      <c r="A78" s="191" t="s">
        <v>7728</v>
      </c>
      <c r="B78" s="192" t="s">
        <v>269</v>
      </c>
      <c r="C78" s="192" t="s">
        <v>417</v>
      </c>
      <c r="D78" s="192" t="s">
        <v>8605</v>
      </c>
      <c r="E78" s="193">
        <v>220</v>
      </c>
      <c r="F78" s="193">
        <v>5</v>
      </c>
      <c r="G78" s="193"/>
      <c r="H78" s="193"/>
      <c r="I78" s="194"/>
      <c r="J78" s="195"/>
      <c r="K78" s="176">
        <v>7</v>
      </c>
      <c r="L78" s="196"/>
      <c r="M78" s="197">
        <v>3.25</v>
      </c>
      <c r="N78" s="198">
        <v>41822</v>
      </c>
      <c r="O78" s="180"/>
      <c r="P78" s="199"/>
      <c r="Q78" s="180"/>
      <c r="R78" s="199"/>
      <c r="S78" s="176">
        <f>(AE78*BS78)/100</f>
        <v>10.928218694885359</v>
      </c>
      <c r="T78" s="198"/>
      <c r="U78" s="176">
        <v>16.2</v>
      </c>
      <c r="V78" s="199"/>
      <c r="W78" s="180"/>
      <c r="X78" s="199"/>
      <c r="Y78" s="200">
        <f>(AE78*BU78)/100</f>
        <v>3.3577160493827161</v>
      </c>
      <c r="Z78" s="198"/>
      <c r="AA78" s="200"/>
      <c r="AB78" s="198"/>
      <c r="AC78" s="378">
        <f t="shared" si="1"/>
        <v>18.978395061728396</v>
      </c>
      <c r="AD78" s="196"/>
      <c r="AE78" s="176">
        <f>(M78/U78)*((100-CC78)/(100-9))*100</f>
        <v>20.855379188712519</v>
      </c>
      <c r="AF78" s="198">
        <v>41822</v>
      </c>
      <c r="AG78" s="176">
        <v>4.5</v>
      </c>
      <c r="AH78" s="196">
        <v>41927</v>
      </c>
      <c r="AI78" s="176">
        <v>150</v>
      </c>
      <c r="AJ78" s="196"/>
      <c r="AK78" s="180"/>
      <c r="AL78" s="199"/>
      <c r="AM78" s="176">
        <v>85</v>
      </c>
      <c r="AN78" s="199"/>
      <c r="AO78" s="180"/>
      <c r="AP78" s="180"/>
      <c r="AQ78" s="180"/>
      <c r="AR78" s="180"/>
      <c r="AS78" s="180"/>
      <c r="AT78" s="180"/>
      <c r="AU78" s="180"/>
      <c r="AV78" s="180"/>
      <c r="AW78" s="180"/>
      <c r="AX78" s="180"/>
      <c r="AY78" s="180"/>
      <c r="AZ78" s="180"/>
      <c r="BA78" s="180"/>
      <c r="BB78" s="180"/>
      <c r="BC78" s="180"/>
      <c r="BD78" s="180"/>
      <c r="BE78" s="179"/>
      <c r="BF78" s="179"/>
      <c r="BG78" s="201">
        <v>0</v>
      </c>
      <c r="BH78" s="178"/>
      <c r="BI78" s="201">
        <v>4.5999999999999996</v>
      </c>
      <c r="BJ78" s="178"/>
      <c r="BK78" s="201">
        <v>1.5</v>
      </c>
      <c r="BL78" s="178"/>
      <c r="BM78" s="201">
        <v>62.3</v>
      </c>
      <c r="BN78" s="178"/>
      <c r="BO78" s="201">
        <v>19.100000000000001</v>
      </c>
      <c r="BP78" s="178"/>
      <c r="BQ78" s="201">
        <v>9.5</v>
      </c>
      <c r="BR78" s="178"/>
      <c r="BS78" s="201">
        <v>52.4</v>
      </c>
      <c r="BT78" s="178"/>
      <c r="BU78" s="201">
        <v>16.100000000000001</v>
      </c>
      <c r="BV78" s="178"/>
      <c r="BW78" s="201">
        <v>19.8</v>
      </c>
      <c r="BX78" s="178"/>
      <c r="BY78" s="178">
        <v>6.5</v>
      </c>
      <c r="BZ78" s="178"/>
      <c r="CA78" s="179"/>
      <c r="CB78" s="179"/>
      <c r="CC78" s="201">
        <v>5.4</v>
      </c>
      <c r="CD78" s="198">
        <v>41822</v>
      </c>
      <c r="CE78" s="178"/>
      <c r="CF78" s="178"/>
      <c r="CG78" s="179"/>
      <c r="CH78" s="179"/>
      <c r="CI78" s="174" t="s">
        <v>9355</v>
      </c>
      <c r="CJ78" s="178"/>
      <c r="CK78" s="178"/>
      <c r="CL78" s="174">
        <v>1</v>
      </c>
      <c r="CM78" s="174"/>
    </row>
    <row r="79" spans="1:91" s="181" customFormat="1">
      <c r="A79" s="191" t="s">
        <v>7898</v>
      </c>
      <c r="B79" s="192" t="s">
        <v>269</v>
      </c>
      <c r="C79" s="192" t="s">
        <v>417</v>
      </c>
      <c r="D79" s="192" t="s">
        <v>8981</v>
      </c>
      <c r="E79" s="193">
        <v>220</v>
      </c>
      <c r="F79" s="193">
        <v>6</v>
      </c>
      <c r="G79" s="193"/>
      <c r="H79" s="193"/>
      <c r="I79" s="194"/>
      <c r="J79" s="195"/>
      <c r="K79" s="176">
        <v>7</v>
      </c>
      <c r="L79" s="196"/>
      <c r="M79" s="197">
        <v>4.6500000000000004</v>
      </c>
      <c r="N79" s="198">
        <v>41822</v>
      </c>
      <c r="O79" s="180"/>
      <c r="P79" s="199"/>
      <c r="Q79" s="180"/>
      <c r="R79" s="199"/>
      <c r="S79" s="176">
        <f>(AE79*BS79)/100</f>
        <v>15.95099511599512</v>
      </c>
      <c r="T79" s="198"/>
      <c r="U79" s="176">
        <v>16.2</v>
      </c>
      <c r="V79" s="199"/>
      <c r="W79" s="180"/>
      <c r="X79" s="199"/>
      <c r="Y79" s="200">
        <f>(AE79*BU79)/100</f>
        <v>4.3611334961334975</v>
      </c>
      <c r="Z79" s="198"/>
      <c r="AA79" s="200"/>
      <c r="AB79" s="198"/>
      <c r="AC79" s="378">
        <f t="shared" si="1"/>
        <v>27.182407407407414</v>
      </c>
      <c r="AD79" s="196"/>
      <c r="AE79" s="176">
        <f>(M79/U79)*((100-CC79)/(100-9))*100</f>
        <v>29.870777370777379</v>
      </c>
      <c r="AF79" s="198">
        <v>41822</v>
      </c>
      <c r="AG79" s="176">
        <v>5</v>
      </c>
      <c r="AH79" s="196">
        <v>41927</v>
      </c>
      <c r="AI79" s="176">
        <v>160</v>
      </c>
      <c r="AJ79" s="196"/>
      <c r="AK79" s="180"/>
      <c r="AL79" s="199"/>
      <c r="AM79" s="176">
        <v>85</v>
      </c>
      <c r="AN79" s="199"/>
      <c r="AO79" s="180"/>
      <c r="AP79" s="180"/>
      <c r="AQ79" s="180"/>
      <c r="AR79" s="180"/>
      <c r="AS79" s="180"/>
      <c r="AT79" s="180"/>
      <c r="AU79" s="180"/>
      <c r="AV79" s="180"/>
      <c r="AW79" s="180"/>
      <c r="AX79" s="180"/>
      <c r="AY79" s="180"/>
      <c r="AZ79" s="180"/>
      <c r="BA79" s="180"/>
      <c r="BB79" s="180"/>
      <c r="BC79" s="180"/>
      <c r="BD79" s="180"/>
      <c r="BE79" s="179"/>
      <c r="BF79" s="179"/>
      <c r="BG79" s="201">
        <v>0</v>
      </c>
      <c r="BH79" s="178"/>
      <c r="BI79" s="201">
        <v>5.2</v>
      </c>
      <c r="BJ79" s="178"/>
      <c r="BK79" s="201">
        <v>1.6</v>
      </c>
      <c r="BL79" s="178"/>
      <c r="BM79" s="201">
        <v>63</v>
      </c>
      <c r="BN79" s="178"/>
      <c r="BO79" s="201">
        <v>22.1</v>
      </c>
      <c r="BP79" s="178"/>
      <c r="BQ79" s="201">
        <v>8</v>
      </c>
      <c r="BR79" s="178"/>
      <c r="BS79" s="201">
        <v>53.4</v>
      </c>
      <c r="BT79" s="178"/>
      <c r="BU79" s="201">
        <v>14.6</v>
      </c>
      <c r="BV79" s="178"/>
      <c r="BW79" s="201">
        <v>14.7</v>
      </c>
      <c r="BX79" s="178"/>
      <c r="BY79" s="178">
        <v>6.2999999999999972</v>
      </c>
      <c r="BZ79" s="178"/>
      <c r="CA79" s="179"/>
      <c r="CB79" s="179"/>
      <c r="CC79" s="201">
        <v>5.3</v>
      </c>
      <c r="CD79" s="198">
        <v>41822</v>
      </c>
      <c r="CE79" s="178"/>
      <c r="CF79" s="178"/>
      <c r="CG79" s="179"/>
      <c r="CH79" s="179"/>
      <c r="CI79" s="174" t="s">
        <v>9347</v>
      </c>
      <c r="CJ79" s="178"/>
      <c r="CK79" s="178"/>
      <c r="CL79" s="174">
        <v>1</v>
      </c>
      <c r="CM79" s="174"/>
    </row>
    <row r="80" spans="1:91" s="181" customFormat="1">
      <c r="A80" s="191" t="s">
        <v>7808</v>
      </c>
      <c r="B80" s="192" t="s">
        <v>271</v>
      </c>
      <c r="C80" s="192" t="s">
        <v>8998</v>
      </c>
      <c r="D80" s="192" t="s">
        <v>8927</v>
      </c>
      <c r="E80" s="193">
        <v>220</v>
      </c>
      <c r="F80" s="193">
        <v>7</v>
      </c>
      <c r="G80" s="193"/>
      <c r="H80" s="193"/>
      <c r="I80" s="194"/>
      <c r="J80" s="195"/>
      <c r="K80" s="176">
        <v>8</v>
      </c>
      <c r="L80" s="196"/>
      <c r="M80" s="197">
        <v>6.45</v>
      </c>
      <c r="N80" s="198">
        <v>41822</v>
      </c>
      <c r="O80" s="180"/>
      <c r="P80" s="199"/>
      <c r="Q80" s="180"/>
      <c r="R80" s="199"/>
      <c r="S80" s="176">
        <f>(AE80*BS80)/100</f>
        <v>20.816410256410258</v>
      </c>
      <c r="T80" s="198"/>
      <c r="U80" s="176">
        <v>16.2</v>
      </c>
      <c r="V80" s="199"/>
      <c r="W80" s="180"/>
      <c r="X80" s="199"/>
      <c r="Y80" s="200">
        <f>(AE80*BU80)/100</f>
        <v>7.1453154253154265</v>
      </c>
      <c r="Z80" s="198"/>
      <c r="AA80" s="200"/>
      <c r="AB80" s="198"/>
      <c r="AC80" s="378">
        <f t="shared" si="1"/>
        <v>37.585185185185189</v>
      </c>
      <c r="AD80" s="196"/>
      <c r="AE80" s="176">
        <f>(M80/U80)*((100-CC80)/(100-9))*100</f>
        <v>41.302401302401307</v>
      </c>
      <c r="AF80" s="198">
        <v>41822</v>
      </c>
      <c r="AG80" s="176">
        <v>4.9000000000000004</v>
      </c>
      <c r="AH80" s="196">
        <v>41927</v>
      </c>
      <c r="AI80" s="176">
        <v>150</v>
      </c>
      <c r="AJ80" s="196"/>
      <c r="AK80" s="180"/>
      <c r="AL80" s="199"/>
      <c r="AM80" s="176">
        <v>86</v>
      </c>
      <c r="AN80" s="199"/>
      <c r="AO80" s="180"/>
      <c r="AP80" s="180"/>
      <c r="AQ80" s="180"/>
      <c r="AR80" s="180"/>
      <c r="AS80" s="180"/>
      <c r="AT80" s="180"/>
      <c r="AU80" s="180"/>
      <c r="AV80" s="180"/>
      <c r="AW80" s="180"/>
      <c r="AX80" s="180"/>
      <c r="AY80" s="180"/>
      <c r="AZ80" s="180"/>
      <c r="BA80" s="180"/>
      <c r="BB80" s="180"/>
      <c r="BC80" s="180"/>
      <c r="BD80" s="180"/>
      <c r="BE80" s="179"/>
      <c r="BF80" s="179"/>
      <c r="BG80" s="201">
        <v>0</v>
      </c>
      <c r="BH80" s="178"/>
      <c r="BI80" s="201">
        <v>4.4000000000000004</v>
      </c>
      <c r="BJ80" s="178"/>
      <c r="BK80" s="201">
        <v>1.6</v>
      </c>
      <c r="BL80" s="178"/>
      <c r="BM80" s="201">
        <v>66.8</v>
      </c>
      <c r="BN80" s="178"/>
      <c r="BO80" s="201">
        <v>20.3</v>
      </c>
      <c r="BP80" s="178"/>
      <c r="BQ80" s="201">
        <v>7.8</v>
      </c>
      <c r="BR80" s="178"/>
      <c r="BS80" s="201">
        <v>50.4</v>
      </c>
      <c r="BT80" s="178"/>
      <c r="BU80" s="201">
        <v>17.3</v>
      </c>
      <c r="BV80" s="178"/>
      <c r="BW80" s="201">
        <v>18</v>
      </c>
      <c r="BX80" s="178"/>
      <c r="BY80" s="178">
        <v>6.2999999999999972</v>
      </c>
      <c r="BZ80" s="178"/>
      <c r="CA80" s="179"/>
      <c r="CB80" s="179"/>
      <c r="CC80" s="201">
        <v>5.6</v>
      </c>
      <c r="CD80" s="198">
        <v>41822</v>
      </c>
      <c r="CE80" s="178"/>
      <c r="CF80" s="178"/>
      <c r="CG80" s="179"/>
      <c r="CH80" s="179"/>
      <c r="CI80" s="174" t="s">
        <v>9347</v>
      </c>
      <c r="CJ80" s="178"/>
      <c r="CK80" s="178"/>
      <c r="CL80" s="174">
        <v>1</v>
      </c>
      <c r="CM80" s="174"/>
    </row>
    <row r="81" spans="1:91" s="181" customFormat="1">
      <c r="A81" s="191" t="s">
        <v>7627</v>
      </c>
      <c r="B81" s="192" t="s">
        <v>271</v>
      </c>
      <c r="C81" s="192" t="s">
        <v>8998</v>
      </c>
      <c r="D81" s="192" t="s">
        <v>8203</v>
      </c>
      <c r="E81" s="193">
        <v>220</v>
      </c>
      <c r="F81" s="193">
        <v>8</v>
      </c>
      <c r="G81" s="193"/>
      <c r="H81" s="193"/>
      <c r="I81" s="326"/>
      <c r="J81" s="195"/>
      <c r="K81" s="176">
        <v>8</v>
      </c>
      <c r="L81" s="196"/>
      <c r="M81" s="197">
        <v>2.1</v>
      </c>
      <c r="N81" s="198">
        <v>41822</v>
      </c>
      <c r="O81" s="179"/>
      <c r="P81" s="199"/>
      <c r="Q81" s="180"/>
      <c r="R81" s="199"/>
      <c r="S81" s="176">
        <f>(AE81*BS81)/100</f>
        <v>6.6655698005698021</v>
      </c>
      <c r="T81" s="198"/>
      <c r="U81" s="176">
        <v>16.2</v>
      </c>
      <c r="V81" s="199"/>
      <c r="W81" s="180"/>
      <c r="X81" s="199"/>
      <c r="Y81" s="200">
        <f>(AE81*BU81)/100</f>
        <v>2.5521937321937327</v>
      </c>
      <c r="Z81" s="198"/>
      <c r="AA81" s="200"/>
      <c r="AB81" s="198"/>
      <c r="AC81" s="378">
        <f t="shared" si="1"/>
        <v>12.353703703703705</v>
      </c>
      <c r="AD81" s="196"/>
      <c r="AE81" s="176">
        <f>(M81/U81)*((100-CC81)/(100-9))*100</f>
        <v>13.575498575498578</v>
      </c>
      <c r="AF81" s="198">
        <v>41822</v>
      </c>
      <c r="AG81" s="176">
        <v>4.5999999999999996</v>
      </c>
      <c r="AH81" s="196">
        <v>41927</v>
      </c>
      <c r="AI81" s="176">
        <v>140</v>
      </c>
      <c r="AJ81" s="196"/>
      <c r="AK81" s="180"/>
      <c r="AL81" s="199"/>
      <c r="AM81" s="176">
        <v>83</v>
      </c>
      <c r="AN81" s="199"/>
      <c r="AO81" s="180"/>
      <c r="AP81" s="180"/>
      <c r="AQ81" s="180"/>
      <c r="AR81" s="180"/>
      <c r="AS81" s="180"/>
      <c r="AT81" s="180"/>
      <c r="AU81" s="180"/>
      <c r="AV81" s="180"/>
      <c r="AW81" s="180"/>
      <c r="AX81" s="180"/>
      <c r="AY81" s="180"/>
      <c r="AZ81" s="180"/>
      <c r="BA81" s="180"/>
      <c r="BB81" s="180"/>
      <c r="BC81" s="180"/>
      <c r="BD81" s="180"/>
      <c r="BE81" s="179"/>
      <c r="BF81" s="179"/>
      <c r="BG81" s="201">
        <v>36.4</v>
      </c>
      <c r="BH81" s="178"/>
      <c r="BI81" s="201">
        <v>4.2</v>
      </c>
      <c r="BJ81" s="178"/>
      <c r="BK81" s="201">
        <v>1.2</v>
      </c>
      <c r="BL81" s="178"/>
      <c r="BM81" s="201">
        <v>38.5</v>
      </c>
      <c r="BN81" s="178"/>
      <c r="BO81" s="201">
        <v>16.7</v>
      </c>
      <c r="BP81" s="178"/>
      <c r="BQ81" s="201">
        <v>8.8000000000000007</v>
      </c>
      <c r="BR81" s="178"/>
      <c r="BS81" s="201">
        <v>49.1</v>
      </c>
      <c r="BT81" s="178"/>
      <c r="BU81" s="201">
        <v>18.8</v>
      </c>
      <c r="BV81" s="178"/>
      <c r="BW81" s="201">
        <v>47</v>
      </c>
      <c r="BX81" s="178"/>
      <c r="BY81" s="178">
        <v>6</v>
      </c>
      <c r="BZ81" s="178"/>
      <c r="CA81" s="179"/>
      <c r="CB81" s="179"/>
      <c r="CC81" s="201">
        <v>4.7</v>
      </c>
      <c r="CD81" s="198">
        <v>41822</v>
      </c>
      <c r="CE81" s="178"/>
      <c r="CF81" s="178"/>
      <c r="CG81" s="179"/>
      <c r="CH81" s="179"/>
      <c r="CI81" s="174" t="s">
        <v>9349</v>
      </c>
      <c r="CJ81" s="178"/>
      <c r="CK81" s="178"/>
      <c r="CL81" s="174">
        <v>8</v>
      </c>
      <c r="CM81" s="174"/>
    </row>
    <row r="82" spans="1:91">
      <c r="A82" s="191" t="s">
        <v>7784</v>
      </c>
      <c r="B82" s="192" t="s">
        <v>271</v>
      </c>
      <c r="C82" s="192" t="s">
        <v>8998</v>
      </c>
      <c r="D82" s="192" t="s">
        <v>8831</v>
      </c>
      <c r="E82" s="193">
        <v>220</v>
      </c>
      <c r="F82" s="193">
        <v>9</v>
      </c>
      <c r="I82" s="194"/>
      <c r="K82" s="176">
        <v>8</v>
      </c>
      <c r="M82" s="197">
        <v>6.65</v>
      </c>
      <c r="N82" s="198">
        <v>41822</v>
      </c>
      <c r="S82" s="176">
        <f>(AE82*BS82)/100</f>
        <v>20.944658119658119</v>
      </c>
      <c r="T82" s="198"/>
      <c r="U82" s="176">
        <v>16.2</v>
      </c>
      <c r="Y82" s="200">
        <f>(AE82*BU82)/100</f>
        <v>7.8278015194681867</v>
      </c>
      <c r="Z82" s="198"/>
      <c r="AA82" s="200"/>
      <c r="AB82" s="198"/>
      <c r="AC82" s="378">
        <f t="shared" si="1"/>
        <v>38.504320987654324</v>
      </c>
      <c r="AE82" s="176">
        <f>(M82/U82)*((100-CC82)/(100-9))*100</f>
        <v>42.312440645773982</v>
      </c>
      <c r="AF82" s="198">
        <v>41822</v>
      </c>
      <c r="AG82" s="176">
        <v>5</v>
      </c>
      <c r="AH82" s="196">
        <v>41927</v>
      </c>
      <c r="AI82" s="176">
        <v>160</v>
      </c>
      <c r="AM82" s="176">
        <v>86</v>
      </c>
      <c r="BG82" s="201">
        <v>3.2</v>
      </c>
      <c r="BI82" s="201">
        <v>4.2</v>
      </c>
      <c r="BK82" s="201">
        <v>1.6</v>
      </c>
      <c r="BM82" s="201">
        <v>66.900000000000006</v>
      </c>
      <c r="BO82" s="201">
        <v>18.600000000000001</v>
      </c>
      <c r="BQ82" s="201">
        <v>7.7</v>
      </c>
      <c r="BS82" s="201">
        <v>49.5</v>
      </c>
      <c r="BU82" s="201">
        <v>18.5</v>
      </c>
      <c r="BW82" s="201">
        <v>17.5</v>
      </c>
      <c r="BY82" s="178">
        <v>6.5</v>
      </c>
      <c r="CC82" s="201">
        <v>6.2</v>
      </c>
      <c r="CD82" s="198">
        <v>41822</v>
      </c>
      <c r="CI82" s="174" t="s">
        <v>9358</v>
      </c>
      <c r="CL82" s="174">
        <v>1</v>
      </c>
    </row>
    <row r="83" spans="1:91">
      <c r="A83" s="202" t="s">
        <v>7613</v>
      </c>
      <c r="B83" s="203" t="s">
        <v>271</v>
      </c>
      <c r="C83" s="203" t="s">
        <v>8998</v>
      </c>
      <c r="D83" s="203" t="s">
        <v>8147</v>
      </c>
      <c r="E83" s="204">
        <v>220</v>
      </c>
      <c r="F83" s="204">
        <v>10</v>
      </c>
      <c r="G83" s="204"/>
      <c r="H83" s="204"/>
      <c r="I83" s="377"/>
      <c r="J83" s="206"/>
      <c r="K83" s="177">
        <v>8</v>
      </c>
      <c r="L83" s="207"/>
      <c r="M83" s="208">
        <v>1.1499999999999999</v>
      </c>
      <c r="N83" s="209">
        <v>41822</v>
      </c>
      <c r="O83" s="182"/>
      <c r="P83" s="210"/>
      <c r="Q83" s="183"/>
      <c r="R83" s="210"/>
      <c r="S83" s="177">
        <f>(AE83*BS83)/100</f>
        <v>3.4426984126984119</v>
      </c>
      <c r="T83" s="209"/>
      <c r="U83" s="177">
        <v>16.2</v>
      </c>
      <c r="V83" s="210"/>
      <c r="W83" s="183"/>
      <c r="X83" s="210"/>
      <c r="Y83" s="213">
        <f>(AE83*BU83)/100</f>
        <v>1.4785948310948311</v>
      </c>
      <c r="Z83" s="209"/>
      <c r="AA83" s="213"/>
      <c r="AB83" s="209"/>
      <c r="AC83" s="378">
        <f t="shared" si="1"/>
        <v>6.6941358024691349</v>
      </c>
      <c r="AD83" s="207"/>
      <c r="AE83" s="177">
        <f>(M83/U83)*((100-CC83)/(100-9))*100</f>
        <v>7.3561931895265218</v>
      </c>
      <c r="AF83" s="209">
        <v>41822</v>
      </c>
      <c r="AG83" s="177">
        <v>4.8</v>
      </c>
      <c r="AH83" s="207">
        <v>41927</v>
      </c>
      <c r="AI83" s="177">
        <v>100</v>
      </c>
      <c r="AJ83" s="207"/>
      <c r="AK83" s="183"/>
      <c r="AL83" s="210"/>
      <c r="AM83" s="177">
        <v>78</v>
      </c>
      <c r="AN83" s="210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  <c r="BA83" s="183"/>
      <c r="BB83" s="183"/>
      <c r="BC83" s="183"/>
      <c r="BD83" s="183"/>
      <c r="BE83" s="182"/>
      <c r="BF83" s="182"/>
      <c r="BG83" s="211">
        <v>23.6</v>
      </c>
      <c r="BH83" s="181"/>
      <c r="BI83" s="211">
        <v>4.2</v>
      </c>
      <c r="BJ83" s="181"/>
      <c r="BK83" s="211">
        <v>1.4</v>
      </c>
      <c r="BL83" s="181"/>
      <c r="BM83" s="211">
        <v>47.4</v>
      </c>
      <c r="BN83" s="181"/>
      <c r="BO83" s="211">
        <v>18.3</v>
      </c>
      <c r="BP83" s="181"/>
      <c r="BQ83" s="211">
        <v>7.5</v>
      </c>
      <c r="BR83" s="181"/>
      <c r="BS83" s="211">
        <v>46.8</v>
      </c>
      <c r="BT83" s="181"/>
      <c r="BU83" s="211">
        <v>20.100000000000001</v>
      </c>
      <c r="BV83" s="181"/>
      <c r="BW83" s="211">
        <v>44.3</v>
      </c>
      <c r="BX83" s="181"/>
      <c r="BY83" s="181">
        <v>6.5999999999999943</v>
      </c>
      <c r="BZ83" s="181"/>
      <c r="CA83" s="182"/>
      <c r="CB83" s="182"/>
      <c r="CC83" s="211">
        <v>5.7</v>
      </c>
      <c r="CD83" s="209">
        <v>41822</v>
      </c>
      <c r="CE83" s="181"/>
      <c r="CF83" s="181"/>
      <c r="CG83" s="182"/>
      <c r="CH83" s="182"/>
      <c r="CI83" s="175" t="s">
        <v>9351</v>
      </c>
      <c r="CJ83" s="181"/>
      <c r="CK83" s="181"/>
      <c r="CL83" s="175">
        <v>9</v>
      </c>
      <c r="CM83" s="175"/>
    </row>
    <row r="84" spans="1:91">
      <c r="A84" s="191" t="s">
        <v>7773</v>
      </c>
      <c r="B84" s="192" t="s">
        <v>271</v>
      </c>
      <c r="C84" s="192" t="s">
        <v>8998</v>
      </c>
      <c r="D84" s="192" t="s">
        <v>8787</v>
      </c>
      <c r="E84" s="193">
        <v>220</v>
      </c>
      <c r="F84" s="193">
        <v>11</v>
      </c>
      <c r="I84" s="194"/>
      <c r="K84" s="176">
        <v>8</v>
      </c>
      <c r="M84" s="197">
        <v>5.65</v>
      </c>
      <c r="N84" s="198">
        <v>41822</v>
      </c>
      <c r="S84" s="176">
        <f>(AE84*BS84)/100</f>
        <v>17.600811626644962</v>
      </c>
      <c r="T84" s="198"/>
      <c r="U84" s="176">
        <v>16.2</v>
      </c>
      <c r="Y84" s="200">
        <f>(AE84*BU84)/100</f>
        <v>6.3247269705603033</v>
      </c>
      <c r="Z84" s="198"/>
      <c r="AA84" s="200"/>
      <c r="AB84" s="198"/>
      <c r="AC84" s="378">
        <f t="shared" si="1"/>
        <v>32.888580246913584</v>
      </c>
      <c r="AE84" s="176">
        <f>(M84/U84)*((100-CC84)/(100-9))*100</f>
        <v>36.141296974630308</v>
      </c>
      <c r="AF84" s="198">
        <v>41822</v>
      </c>
      <c r="AG84" s="176">
        <v>4</v>
      </c>
      <c r="AH84" s="196">
        <v>41927</v>
      </c>
      <c r="AI84" s="176">
        <v>145</v>
      </c>
      <c r="AM84" s="176">
        <v>80</v>
      </c>
      <c r="BG84" s="201">
        <v>0</v>
      </c>
      <c r="BI84" s="201">
        <v>3.9</v>
      </c>
      <c r="BK84" s="201">
        <v>1.7</v>
      </c>
      <c r="BM84" s="201">
        <v>66.3</v>
      </c>
      <c r="BO84" s="201">
        <v>17.8</v>
      </c>
      <c r="BQ84" s="201">
        <v>6.8</v>
      </c>
      <c r="BS84" s="201">
        <v>48.7</v>
      </c>
      <c r="BU84" s="201">
        <v>17.5</v>
      </c>
      <c r="BW84" s="201">
        <v>11</v>
      </c>
      <c r="BY84" s="178">
        <v>6.5999999999999943</v>
      </c>
      <c r="CC84" s="201">
        <v>5.7</v>
      </c>
      <c r="CD84" s="198">
        <v>41822</v>
      </c>
      <c r="CI84" s="174" t="s">
        <v>9355</v>
      </c>
      <c r="CL84" s="174">
        <v>1</v>
      </c>
    </row>
    <row r="85" spans="1:91">
      <c r="A85" s="191" t="s">
        <v>7806</v>
      </c>
      <c r="B85" s="192" t="s">
        <v>271</v>
      </c>
      <c r="C85" s="192" t="s">
        <v>8998</v>
      </c>
      <c r="D85" s="192" t="s">
        <v>8919</v>
      </c>
      <c r="E85" s="193">
        <v>220</v>
      </c>
      <c r="F85" s="193">
        <v>12</v>
      </c>
      <c r="I85" s="194"/>
      <c r="K85" s="176">
        <v>8</v>
      </c>
      <c r="M85" s="197">
        <v>6.45</v>
      </c>
      <c r="N85" s="198">
        <v>41822</v>
      </c>
      <c r="S85" s="176">
        <f>(AE85*BS85)/100</f>
        <v>21.326652421652419</v>
      </c>
      <c r="T85" s="198"/>
      <c r="U85" s="176">
        <v>16.2</v>
      </c>
      <c r="Y85" s="200">
        <f>(AE85*BU85)/100</f>
        <v>6.83440984940985</v>
      </c>
      <c r="Z85" s="198"/>
      <c r="AA85" s="200"/>
      <c r="AB85" s="198"/>
      <c r="AC85" s="378">
        <f t="shared" si="1"/>
        <v>37.465740740740742</v>
      </c>
      <c r="AE85" s="176">
        <f>(M85/U85)*((100-CC85)/(100-9))*100</f>
        <v>41.171143671143675</v>
      </c>
      <c r="AF85" s="198">
        <v>41822</v>
      </c>
      <c r="AG85" s="176">
        <v>4.8</v>
      </c>
      <c r="AH85" s="196">
        <v>41927</v>
      </c>
      <c r="AI85" s="176">
        <v>160</v>
      </c>
      <c r="AM85" s="176">
        <v>84</v>
      </c>
      <c r="BG85" s="201">
        <v>0</v>
      </c>
      <c r="BI85" s="201">
        <v>4.3</v>
      </c>
      <c r="BK85" s="201">
        <v>1.7</v>
      </c>
      <c r="BM85" s="201">
        <v>63.8</v>
      </c>
      <c r="BO85" s="201">
        <v>18.8</v>
      </c>
      <c r="BQ85" s="201">
        <v>9.1999999999999993</v>
      </c>
      <c r="BS85" s="201">
        <v>51.8</v>
      </c>
      <c r="BU85" s="201">
        <v>16.600000000000001</v>
      </c>
      <c r="BW85" s="201">
        <v>8.8000000000000007</v>
      </c>
      <c r="BY85" s="178">
        <v>6.2999999999999972</v>
      </c>
      <c r="CC85" s="201">
        <v>5.9</v>
      </c>
      <c r="CD85" s="198">
        <v>41822</v>
      </c>
      <c r="CI85" s="174" t="s">
        <v>9347</v>
      </c>
      <c r="CL85" s="174">
        <v>1</v>
      </c>
    </row>
    <row r="86" spans="1:91">
      <c r="A86" s="191" t="s">
        <v>7897</v>
      </c>
      <c r="B86" s="192" t="s">
        <v>269</v>
      </c>
      <c r="C86" s="192" t="s">
        <v>417</v>
      </c>
      <c r="D86" s="192" t="s">
        <v>8957</v>
      </c>
      <c r="E86" s="193">
        <v>221</v>
      </c>
      <c r="F86" s="193">
        <v>1</v>
      </c>
      <c r="I86" s="194"/>
      <c r="K86" s="176">
        <v>6</v>
      </c>
      <c r="M86" s="197">
        <v>4.4000000000000004</v>
      </c>
      <c r="N86" s="198">
        <v>41822</v>
      </c>
      <c r="S86" s="176">
        <f>(AE86*BS86)/100</f>
        <v>13.951957671957675</v>
      </c>
      <c r="T86" s="198"/>
      <c r="U86" s="176">
        <v>16.2</v>
      </c>
      <c r="Y86" s="200">
        <f>(AE86*BU86)/100</f>
        <v>4.5956152489485831</v>
      </c>
      <c r="Z86" s="198"/>
      <c r="AA86" s="200"/>
      <c r="AB86" s="198"/>
      <c r="AC86" s="378">
        <f t="shared" si="1"/>
        <v>25.04197530864198</v>
      </c>
      <c r="AE86" s="176">
        <f>(M86/U86)*((100-CC86)/(100-9))*100</f>
        <v>27.518654185320855</v>
      </c>
      <c r="AF86" s="198">
        <v>41822</v>
      </c>
      <c r="AG86" s="176">
        <v>4.5</v>
      </c>
      <c r="AH86" s="196">
        <v>41927</v>
      </c>
      <c r="AI86" s="176">
        <v>140</v>
      </c>
      <c r="AM86" s="176">
        <v>78</v>
      </c>
      <c r="BG86" s="201">
        <v>3.8</v>
      </c>
      <c r="BI86" s="201">
        <v>4.5</v>
      </c>
      <c r="BK86" s="201">
        <v>1.6</v>
      </c>
      <c r="BM86" s="201">
        <v>64.400000000000006</v>
      </c>
      <c r="BO86" s="201">
        <v>19.7</v>
      </c>
      <c r="BQ86" s="201">
        <v>8.6999999999999993</v>
      </c>
      <c r="BS86" s="201">
        <v>50.7</v>
      </c>
      <c r="BU86" s="201">
        <v>16.7</v>
      </c>
      <c r="BW86" s="201">
        <v>22.1</v>
      </c>
      <c r="BY86" s="178">
        <v>7</v>
      </c>
      <c r="CC86" s="201">
        <v>7.8</v>
      </c>
      <c r="CD86" s="198">
        <v>41822</v>
      </c>
      <c r="CI86" s="174" t="s">
        <v>9341</v>
      </c>
      <c r="CL86" s="174" t="s">
        <v>9001</v>
      </c>
    </row>
    <row r="87" spans="1:91">
      <c r="A87" s="202" t="s">
        <v>7740</v>
      </c>
      <c r="B87" s="203" t="s">
        <v>269</v>
      </c>
      <c r="C87" s="203" t="s">
        <v>417</v>
      </c>
      <c r="D87" s="203" t="s">
        <v>8653</v>
      </c>
      <c r="E87" s="204">
        <v>221</v>
      </c>
      <c r="F87" s="204">
        <v>2</v>
      </c>
      <c r="G87" s="204"/>
      <c r="H87" s="204"/>
      <c r="I87" s="205"/>
      <c r="J87" s="206"/>
      <c r="K87" s="177">
        <v>9</v>
      </c>
      <c r="L87" s="207"/>
      <c r="M87" s="208">
        <v>1.6</v>
      </c>
      <c r="N87" s="209">
        <v>41822</v>
      </c>
      <c r="O87" s="183"/>
      <c r="P87" s="210"/>
      <c r="Q87" s="183"/>
      <c r="R87" s="210"/>
      <c r="S87" s="177">
        <f>(AE87*BS87)/100</f>
        <v>4.9815004748338074</v>
      </c>
      <c r="T87" s="209"/>
      <c r="U87" s="177">
        <v>16.2</v>
      </c>
      <c r="V87" s="210"/>
      <c r="W87" s="183"/>
      <c r="X87" s="210"/>
      <c r="Y87" s="213">
        <f>(AE87*BU87)/100</f>
        <v>1.9400569800569798</v>
      </c>
      <c r="Z87" s="209"/>
      <c r="AA87" s="213"/>
      <c r="AB87" s="209"/>
      <c r="AC87" s="378">
        <f t="shared" si="1"/>
        <v>9.1950617283950624</v>
      </c>
      <c r="AD87" s="207"/>
      <c r="AE87" s="177">
        <f>(M87/U87)*((100-CC87)/(100-9))*100</f>
        <v>10.10446343779677</v>
      </c>
      <c r="AF87" s="209">
        <v>41822</v>
      </c>
      <c r="AG87" s="177">
        <v>5</v>
      </c>
      <c r="AH87" s="207">
        <v>41927</v>
      </c>
      <c r="AI87" s="177">
        <v>150</v>
      </c>
      <c r="AJ87" s="207"/>
      <c r="AK87" s="183"/>
      <c r="AL87" s="210"/>
      <c r="AM87" s="177">
        <v>60</v>
      </c>
      <c r="AN87" s="210"/>
      <c r="AO87" s="183"/>
      <c r="AP87" s="183"/>
      <c r="AQ87" s="183"/>
      <c r="AR87" s="183"/>
      <c r="AS87" s="183"/>
      <c r="AT87" s="183"/>
      <c r="AU87" s="183"/>
      <c r="AV87" s="183"/>
      <c r="AW87" s="183"/>
      <c r="AX87" s="183"/>
      <c r="AY87" s="183"/>
      <c r="AZ87" s="183"/>
      <c r="BA87" s="183"/>
      <c r="BB87" s="183"/>
      <c r="BC87" s="183"/>
      <c r="BD87" s="183"/>
      <c r="BE87" s="182"/>
      <c r="BF87" s="182"/>
      <c r="BG87" s="211">
        <v>46.3</v>
      </c>
      <c r="BH87" s="181"/>
      <c r="BI87" s="211">
        <v>4.4000000000000004</v>
      </c>
      <c r="BJ87" s="181"/>
      <c r="BK87" s="211">
        <v>0.8</v>
      </c>
      <c r="BL87" s="181"/>
      <c r="BM87" s="211">
        <v>29.6</v>
      </c>
      <c r="BN87" s="181"/>
      <c r="BO87" s="211">
        <v>15.6</v>
      </c>
      <c r="BP87" s="181"/>
      <c r="BQ87" s="211">
        <v>12.8</v>
      </c>
      <c r="BR87" s="181"/>
      <c r="BS87" s="211">
        <v>49.3</v>
      </c>
      <c r="BT87" s="181"/>
      <c r="BU87" s="211">
        <v>19.2</v>
      </c>
      <c r="BV87" s="181"/>
      <c r="BW87" s="211">
        <v>75.3</v>
      </c>
      <c r="BX87" s="181"/>
      <c r="BY87" s="181">
        <v>6.5999999999999943</v>
      </c>
      <c r="BZ87" s="181"/>
      <c r="CA87" s="182"/>
      <c r="CB87" s="182"/>
      <c r="CC87" s="211">
        <v>6.9</v>
      </c>
      <c r="CD87" s="209">
        <v>41822</v>
      </c>
      <c r="CE87" s="181"/>
      <c r="CF87" s="181"/>
      <c r="CG87" s="182"/>
      <c r="CH87" s="182"/>
      <c r="CI87" s="175" t="s">
        <v>9349</v>
      </c>
      <c r="CJ87" s="181"/>
      <c r="CK87" s="181"/>
      <c r="CL87" s="175">
        <v>7</v>
      </c>
      <c r="CM87" s="175"/>
    </row>
    <row r="88" spans="1:91">
      <c r="A88" s="191" t="s">
        <v>7634</v>
      </c>
      <c r="B88" s="192" t="s">
        <v>269</v>
      </c>
      <c r="C88" s="192" t="s">
        <v>417</v>
      </c>
      <c r="D88" s="192" t="s">
        <v>8229</v>
      </c>
      <c r="E88" s="193">
        <v>221</v>
      </c>
      <c r="F88" s="193">
        <v>3</v>
      </c>
      <c r="I88" s="194"/>
      <c r="K88" s="176">
        <v>8</v>
      </c>
      <c r="M88" s="197">
        <v>0</v>
      </c>
      <c r="N88" s="198">
        <v>41822</v>
      </c>
      <c r="S88" s="176">
        <f>(AE88*BS88)/100</f>
        <v>0</v>
      </c>
      <c r="T88" s="198"/>
      <c r="U88" s="176">
        <v>16.2</v>
      </c>
      <c r="Y88" s="200">
        <f>(AE88*BU88)/100</f>
        <v>0</v>
      </c>
      <c r="Z88" s="198"/>
      <c r="AA88" s="200"/>
      <c r="AB88" s="198"/>
      <c r="AC88" s="378">
        <f t="shared" si="1"/>
        <v>0</v>
      </c>
      <c r="AE88" s="176">
        <f>(M88/U88)*((100-CC88)/(100-9))*100</f>
        <v>0</v>
      </c>
      <c r="AF88" s="198">
        <v>41822</v>
      </c>
      <c r="AG88" s="176">
        <v>4.5999999999999996</v>
      </c>
      <c r="AH88" s="196">
        <v>41927</v>
      </c>
      <c r="AI88" s="176">
        <v>100</v>
      </c>
      <c r="AM88" s="176">
        <v>72</v>
      </c>
      <c r="BG88" s="201">
        <v>41.2</v>
      </c>
      <c r="BI88" s="201">
        <v>4.5</v>
      </c>
      <c r="BK88" s="201">
        <v>0.9</v>
      </c>
      <c r="BM88" s="201">
        <v>34.799999999999997</v>
      </c>
      <c r="BO88" s="201">
        <v>16.7</v>
      </c>
      <c r="BQ88" s="201">
        <v>10.9</v>
      </c>
      <c r="BS88" s="201">
        <v>47.7</v>
      </c>
      <c r="BU88" s="201">
        <v>19.5</v>
      </c>
      <c r="BW88" s="201">
        <v>60.6</v>
      </c>
      <c r="BY88" s="178">
        <v>6.7999999999999972</v>
      </c>
      <c r="CC88" s="201"/>
      <c r="CD88" s="198">
        <v>41822</v>
      </c>
      <c r="CI88" s="174" t="s">
        <v>9373</v>
      </c>
      <c r="CL88" s="174">
        <v>7</v>
      </c>
    </row>
    <row r="89" spans="1:91">
      <c r="A89" s="191" t="s">
        <v>7814</v>
      </c>
      <c r="B89" s="192" t="s">
        <v>269</v>
      </c>
      <c r="C89" s="192" t="s">
        <v>417</v>
      </c>
      <c r="D89" s="192" t="s">
        <v>8949</v>
      </c>
      <c r="E89" s="193">
        <v>221</v>
      </c>
      <c r="F89" s="193">
        <v>4</v>
      </c>
      <c r="I89" s="194"/>
      <c r="K89" s="176">
        <v>7</v>
      </c>
      <c r="M89" s="197">
        <v>3.75</v>
      </c>
      <c r="N89" s="198">
        <v>41822</v>
      </c>
      <c r="S89" s="176">
        <f>(AE89*BS89)/100</f>
        <v>12.695080382580384</v>
      </c>
      <c r="T89" s="198"/>
      <c r="U89" s="176">
        <v>16.2</v>
      </c>
      <c r="Y89" s="200">
        <f>(AE89*BU89)/100</f>
        <v>3.4447751322751325</v>
      </c>
      <c r="Z89" s="198"/>
      <c r="AA89" s="200"/>
      <c r="AB89" s="198"/>
      <c r="AC89" s="378">
        <f t="shared" si="1"/>
        <v>21.921296296296298</v>
      </c>
      <c r="AE89" s="176">
        <f>(M89/U89)*((100-CC89)/(100-9))*100</f>
        <v>24.08933658933659</v>
      </c>
      <c r="AF89" s="198">
        <v>41822</v>
      </c>
      <c r="AG89" s="176">
        <v>4.5</v>
      </c>
      <c r="AH89" s="196">
        <v>41927</v>
      </c>
      <c r="AI89" s="176">
        <v>135</v>
      </c>
      <c r="AM89" s="176">
        <v>86</v>
      </c>
      <c r="BG89" s="201">
        <v>0.1</v>
      </c>
      <c r="BI89" s="201">
        <v>5.4</v>
      </c>
      <c r="BK89" s="201">
        <v>1.7</v>
      </c>
      <c r="BM89" s="201">
        <v>64</v>
      </c>
      <c r="BO89" s="201">
        <v>20.7</v>
      </c>
      <c r="BQ89" s="201">
        <v>8.5</v>
      </c>
      <c r="BS89" s="201">
        <v>52.7</v>
      </c>
      <c r="BU89" s="201">
        <v>14.3</v>
      </c>
      <c r="BW89" s="201">
        <v>12.8</v>
      </c>
      <c r="BY89" s="178">
        <v>6.4000000000000057</v>
      </c>
      <c r="CC89" s="201">
        <v>5.3</v>
      </c>
      <c r="CD89" s="198">
        <v>41822</v>
      </c>
      <c r="CI89" s="174" t="s">
        <v>9360</v>
      </c>
      <c r="CL89" s="174">
        <v>3</v>
      </c>
    </row>
    <row r="90" spans="1:91">
      <c r="A90" s="202" t="s">
        <v>7746</v>
      </c>
      <c r="B90" s="203" t="s">
        <v>269</v>
      </c>
      <c r="C90" s="203" t="s">
        <v>417</v>
      </c>
      <c r="D90" s="203" t="s">
        <v>8677</v>
      </c>
      <c r="E90" s="204">
        <v>221</v>
      </c>
      <c r="F90" s="204">
        <v>5</v>
      </c>
      <c r="G90" s="204"/>
      <c r="H90" s="204"/>
      <c r="I90" s="205"/>
      <c r="J90" s="206"/>
      <c r="K90" s="177">
        <v>8</v>
      </c>
      <c r="L90" s="207"/>
      <c r="M90" s="208">
        <v>1.95</v>
      </c>
      <c r="N90" s="209">
        <v>41822</v>
      </c>
      <c r="O90" s="183"/>
      <c r="P90" s="210"/>
      <c r="Q90" s="183"/>
      <c r="R90" s="210"/>
      <c r="S90" s="177">
        <f>(AE90*BS90)/100</f>
        <v>6.2979629629629628</v>
      </c>
      <c r="T90" s="209"/>
      <c r="U90" s="177">
        <v>16.2</v>
      </c>
      <c r="V90" s="210"/>
      <c r="W90" s="183"/>
      <c r="X90" s="210"/>
      <c r="Y90" s="213">
        <f>(AE90*BU90)/100</f>
        <v>2.4203439153439157</v>
      </c>
      <c r="Z90" s="209"/>
      <c r="AA90" s="213"/>
      <c r="AB90" s="209"/>
      <c r="AC90" s="378">
        <f t="shared" si="1"/>
        <v>11.531481481481482</v>
      </c>
      <c r="AD90" s="207"/>
      <c r="AE90" s="177">
        <f>(M90/U90)*((100-CC90)/(100-9))*100</f>
        <v>12.671957671957673</v>
      </c>
      <c r="AF90" s="209">
        <v>41822</v>
      </c>
      <c r="AG90" s="177">
        <v>6.6</v>
      </c>
      <c r="AH90" s="207">
        <v>41927</v>
      </c>
      <c r="AI90" s="177">
        <v>70</v>
      </c>
      <c r="AJ90" s="207"/>
      <c r="AK90" s="183"/>
      <c r="AL90" s="210"/>
      <c r="AM90" s="177">
        <v>82</v>
      </c>
      <c r="AN90" s="210"/>
      <c r="AO90" s="183"/>
      <c r="AP90" s="183"/>
      <c r="AQ90" s="183"/>
      <c r="AR90" s="183"/>
      <c r="AS90" s="183"/>
      <c r="AT90" s="183"/>
      <c r="AU90" s="183"/>
      <c r="AV90" s="183"/>
      <c r="AW90" s="183"/>
      <c r="AX90" s="183"/>
      <c r="AY90" s="183"/>
      <c r="AZ90" s="183"/>
      <c r="BA90" s="183"/>
      <c r="BB90" s="183"/>
      <c r="BC90" s="183"/>
      <c r="BD90" s="183"/>
      <c r="BE90" s="182"/>
      <c r="BF90" s="182"/>
      <c r="BG90" s="211">
        <v>49.5</v>
      </c>
      <c r="BH90" s="181"/>
      <c r="BI90" s="211">
        <v>4.7</v>
      </c>
      <c r="BJ90" s="181"/>
      <c r="BK90" s="211">
        <v>0.6</v>
      </c>
      <c r="BL90" s="181"/>
      <c r="BM90" s="211">
        <v>24.5</v>
      </c>
      <c r="BN90" s="181"/>
      <c r="BO90" s="211">
        <v>17.600000000000001</v>
      </c>
      <c r="BP90" s="181"/>
      <c r="BQ90" s="211">
        <v>11.5</v>
      </c>
      <c r="BR90" s="181"/>
      <c r="BS90" s="211">
        <v>49.7</v>
      </c>
      <c r="BT90" s="181"/>
      <c r="BU90" s="211">
        <v>19.100000000000001</v>
      </c>
      <c r="BV90" s="181"/>
      <c r="BW90" s="211">
        <v>91.5</v>
      </c>
      <c r="BX90" s="181"/>
      <c r="BY90" s="181">
        <v>6</v>
      </c>
      <c r="BZ90" s="181"/>
      <c r="CA90" s="182"/>
      <c r="CB90" s="182"/>
      <c r="CC90" s="211">
        <v>4.2</v>
      </c>
      <c r="CD90" s="209">
        <v>41822</v>
      </c>
      <c r="CE90" s="181"/>
      <c r="CF90" s="181"/>
      <c r="CG90" s="182"/>
      <c r="CH90" s="182"/>
      <c r="CI90" s="175" t="s">
        <v>9349</v>
      </c>
      <c r="CJ90" s="181"/>
      <c r="CK90" s="181"/>
      <c r="CL90" s="175">
        <v>7</v>
      </c>
      <c r="CM90" s="175"/>
    </row>
    <row r="91" spans="1:91">
      <c r="A91" s="191" t="s">
        <v>7650</v>
      </c>
      <c r="B91" s="192" t="s">
        <v>269</v>
      </c>
      <c r="C91" s="192" t="s">
        <v>417</v>
      </c>
      <c r="D91" s="192" t="s">
        <v>8293</v>
      </c>
      <c r="E91" s="193">
        <v>221</v>
      </c>
      <c r="F91" s="193">
        <v>6</v>
      </c>
      <c r="I91" s="194"/>
      <c r="K91" s="176">
        <v>8</v>
      </c>
      <c r="M91" s="197">
        <v>3.7</v>
      </c>
      <c r="N91" s="198">
        <v>41822</v>
      </c>
      <c r="S91" s="176">
        <f>(AE91*BS91)/100</f>
        <v>11.075529100529105</v>
      </c>
      <c r="T91" s="198"/>
      <c r="U91" s="176">
        <v>16.2</v>
      </c>
      <c r="Y91" s="200">
        <f>(AE91*BU91)/100</f>
        <v>4.59694003527337</v>
      </c>
      <c r="Z91" s="198"/>
      <c r="AA91" s="200"/>
      <c r="AB91" s="198"/>
      <c r="AC91" s="378">
        <f t="shared" si="1"/>
        <v>21.674691358024695</v>
      </c>
      <c r="AE91" s="176">
        <f>(M91/U91)*((100-CC91)/(100-9))*100</f>
        <v>23.818342151675491</v>
      </c>
      <c r="AF91" s="198">
        <v>41822</v>
      </c>
      <c r="AG91" s="176">
        <v>5.0999999999999996</v>
      </c>
      <c r="AH91" s="196">
        <v>41927</v>
      </c>
      <c r="AI91" s="176">
        <v>135</v>
      </c>
      <c r="AM91" s="176">
        <v>79</v>
      </c>
      <c r="BG91" s="201">
        <v>0</v>
      </c>
      <c r="BI91" s="201">
        <v>4.7</v>
      </c>
      <c r="BK91" s="201">
        <v>1.5</v>
      </c>
      <c r="BM91" s="201">
        <v>53.9</v>
      </c>
      <c r="BO91" s="201">
        <v>22.2</v>
      </c>
      <c r="BQ91" s="201">
        <v>11.5</v>
      </c>
      <c r="BS91" s="201">
        <v>46.5</v>
      </c>
      <c r="BU91" s="201">
        <v>19.3</v>
      </c>
      <c r="BW91" s="201">
        <v>16.600000000000001</v>
      </c>
      <c r="BY91" s="178">
        <v>6.5</v>
      </c>
      <c r="CC91" s="201">
        <v>5.0999999999999996</v>
      </c>
      <c r="CD91" s="198">
        <v>41822</v>
      </c>
      <c r="CI91" s="174" t="s">
        <v>9355</v>
      </c>
      <c r="CL91" s="174">
        <v>4</v>
      </c>
    </row>
    <row r="92" spans="1:91">
      <c r="A92" s="191" t="s">
        <v>7791</v>
      </c>
      <c r="B92" s="192" t="s">
        <v>271</v>
      </c>
      <c r="C92" s="192" t="s">
        <v>8998</v>
      </c>
      <c r="D92" s="192" t="s">
        <v>8859</v>
      </c>
      <c r="E92" s="193">
        <v>221</v>
      </c>
      <c r="F92" s="193">
        <v>7</v>
      </c>
      <c r="I92" s="194"/>
      <c r="K92" s="176">
        <v>8</v>
      </c>
      <c r="M92" s="197">
        <v>6.25</v>
      </c>
      <c r="N92" s="198">
        <v>41822</v>
      </c>
      <c r="S92" s="176">
        <f>(AE92*BS92)/100</f>
        <v>20.446470967304304</v>
      </c>
      <c r="T92" s="198"/>
      <c r="U92" s="176">
        <v>16.2</v>
      </c>
      <c r="Y92" s="200">
        <f>(AE92*BU92)/100</f>
        <v>7.2473629765296437</v>
      </c>
      <c r="Z92" s="198"/>
      <c r="AA92" s="200"/>
      <c r="AB92" s="198"/>
      <c r="AC92" s="378">
        <f t="shared" si="1"/>
        <v>36.844135802469133</v>
      </c>
      <c r="AE92" s="176">
        <f>(M92/U92)*((100-CC92)/(100-9))*100</f>
        <v>40.48806132139466</v>
      </c>
      <c r="AF92" s="198">
        <v>41822</v>
      </c>
      <c r="AG92" s="176">
        <v>5.4</v>
      </c>
      <c r="AH92" s="196">
        <v>41927</v>
      </c>
      <c r="AI92" s="176">
        <v>145</v>
      </c>
      <c r="AM92" s="176">
        <v>79</v>
      </c>
      <c r="BG92" s="201">
        <v>0</v>
      </c>
      <c r="BI92" s="201">
        <v>4.2</v>
      </c>
      <c r="BK92" s="201">
        <v>1.6</v>
      </c>
      <c r="BM92" s="201">
        <v>61.5</v>
      </c>
      <c r="BO92" s="201">
        <v>20.7</v>
      </c>
      <c r="BQ92" s="201">
        <v>9</v>
      </c>
      <c r="BS92" s="201">
        <v>50.5</v>
      </c>
      <c r="BU92" s="201">
        <v>17.899999999999999</v>
      </c>
      <c r="BW92" s="201">
        <v>12.8</v>
      </c>
      <c r="BY92" s="178">
        <v>6.0999999999999943</v>
      </c>
      <c r="CC92" s="201">
        <v>4.5</v>
      </c>
      <c r="CD92" s="198">
        <v>41822</v>
      </c>
      <c r="CI92" s="174" t="s">
        <v>9356</v>
      </c>
      <c r="CL92" s="174">
        <v>1</v>
      </c>
    </row>
    <row r="93" spans="1:91">
      <c r="A93" s="191" t="s">
        <v>7707</v>
      </c>
      <c r="B93" s="192" t="s">
        <v>271</v>
      </c>
      <c r="C93" s="192" t="s">
        <v>8998</v>
      </c>
      <c r="D93" s="192" t="s">
        <v>8523</v>
      </c>
      <c r="E93" s="193">
        <v>221</v>
      </c>
      <c r="F93" s="193">
        <v>8</v>
      </c>
      <c r="K93" s="176">
        <v>8</v>
      </c>
      <c r="M93" s="197">
        <v>5.0999999999999996</v>
      </c>
      <c r="N93" s="198">
        <v>41822</v>
      </c>
      <c r="S93" s="176">
        <f>(AE93*BS93)/100</f>
        <v>16.272743182743184</v>
      </c>
      <c r="T93" s="198"/>
      <c r="U93" s="176">
        <v>16.2</v>
      </c>
      <c r="Y93" s="200">
        <f>(AE93*BU93)/100</f>
        <v>5.8329995929995935</v>
      </c>
      <c r="Z93" s="198"/>
      <c r="AA93" s="200"/>
      <c r="AB93" s="198"/>
      <c r="AC93" s="378">
        <f t="shared" si="1"/>
        <v>30.159259259259258</v>
      </c>
      <c r="AE93" s="176">
        <f>(M93/U93)*((100-CC93)/(100-9))*100</f>
        <v>33.142043142043143</v>
      </c>
      <c r="AF93" s="198">
        <v>41822</v>
      </c>
      <c r="AG93" s="176">
        <v>4.4000000000000004</v>
      </c>
      <c r="AH93" s="196">
        <v>41927</v>
      </c>
      <c r="AI93" s="176">
        <v>145</v>
      </c>
      <c r="AM93" s="176">
        <v>87</v>
      </c>
      <c r="BG93" s="201">
        <v>0</v>
      </c>
      <c r="BI93" s="201">
        <v>4.7</v>
      </c>
      <c r="BK93" s="201">
        <v>1.7</v>
      </c>
      <c r="BM93" s="201">
        <v>64.5</v>
      </c>
      <c r="BO93" s="201">
        <v>23.2</v>
      </c>
      <c r="BQ93" s="201">
        <v>6.7</v>
      </c>
      <c r="BS93" s="201">
        <v>49.1</v>
      </c>
      <c r="BU93" s="201">
        <v>17.600000000000001</v>
      </c>
      <c r="BW93" s="201">
        <v>13.1</v>
      </c>
      <c r="BY93" s="178">
        <v>6.0999999999999943</v>
      </c>
      <c r="CC93" s="201">
        <v>4.2</v>
      </c>
      <c r="CD93" s="198">
        <v>41822</v>
      </c>
      <c r="CI93" s="174" t="s">
        <v>9349</v>
      </c>
      <c r="CL93" s="174">
        <v>6</v>
      </c>
    </row>
    <row r="94" spans="1:91">
      <c r="A94" s="191" t="s">
        <v>7736</v>
      </c>
      <c r="B94" s="192" t="s">
        <v>271</v>
      </c>
      <c r="C94" s="192" t="s">
        <v>8998</v>
      </c>
      <c r="D94" s="192" t="s">
        <v>8639</v>
      </c>
      <c r="E94" s="193">
        <v>221</v>
      </c>
      <c r="F94" s="193">
        <v>9</v>
      </c>
      <c r="K94" s="176">
        <v>9</v>
      </c>
      <c r="M94" s="197">
        <v>5.35</v>
      </c>
      <c r="N94" s="198">
        <v>41822</v>
      </c>
      <c r="S94" s="176">
        <f>(AE94*BS94)/100</f>
        <v>16.600097001763672</v>
      </c>
      <c r="T94" s="198"/>
      <c r="U94" s="176">
        <v>16.2</v>
      </c>
      <c r="Y94" s="200">
        <f>(AE94*BU94)/100</f>
        <v>6.1992063492063494</v>
      </c>
      <c r="Z94" s="198"/>
      <c r="AA94" s="200"/>
      <c r="AB94" s="198"/>
      <c r="AC94" s="378">
        <f t="shared" si="1"/>
        <v>31.340432098765429</v>
      </c>
      <c r="AE94" s="176">
        <f>(M94/U94)*((100-CC94)/(100-9))*100</f>
        <v>34.440035273368608</v>
      </c>
      <c r="AF94" s="198">
        <v>41822</v>
      </c>
      <c r="AG94" s="176">
        <v>4.0999999999999996</v>
      </c>
      <c r="AH94" s="196">
        <v>41927</v>
      </c>
      <c r="AI94" s="176">
        <v>150</v>
      </c>
      <c r="AM94" s="176">
        <v>83</v>
      </c>
      <c r="BG94" s="201">
        <v>0.4</v>
      </c>
      <c r="BI94" s="201">
        <v>4.4000000000000004</v>
      </c>
      <c r="BK94" s="201">
        <v>1.6</v>
      </c>
      <c r="BM94" s="201">
        <v>62.1</v>
      </c>
      <c r="BO94" s="201">
        <v>22</v>
      </c>
      <c r="BQ94" s="201">
        <v>8</v>
      </c>
      <c r="BS94" s="201">
        <v>48.2</v>
      </c>
      <c r="BU94" s="201">
        <v>18</v>
      </c>
      <c r="BW94" s="201">
        <v>15.2</v>
      </c>
      <c r="BY94" s="178">
        <v>6.2999999999999972</v>
      </c>
      <c r="CC94" s="201">
        <v>5.0999999999999996</v>
      </c>
      <c r="CD94" s="198">
        <v>41822</v>
      </c>
      <c r="CI94" s="174" t="s">
        <v>9349</v>
      </c>
      <c r="CL94" s="174">
        <v>1</v>
      </c>
    </row>
    <row r="95" spans="1:91">
      <c r="A95" s="191" t="s">
        <v>7649</v>
      </c>
      <c r="B95" s="192" t="s">
        <v>271</v>
      </c>
      <c r="C95" s="192" t="s">
        <v>8998</v>
      </c>
      <c r="D95" s="192" t="s">
        <v>8291</v>
      </c>
      <c r="E95" s="193">
        <v>221</v>
      </c>
      <c r="F95" s="193">
        <v>10</v>
      </c>
      <c r="K95" s="176">
        <v>9</v>
      </c>
      <c r="M95" s="197">
        <v>3.05</v>
      </c>
      <c r="N95" s="198">
        <v>41822</v>
      </c>
      <c r="S95" s="176">
        <f>(AE95*BS95)/100</f>
        <v>8.9908587708587717</v>
      </c>
      <c r="T95" s="198"/>
      <c r="U95" s="176">
        <v>16.2</v>
      </c>
      <c r="Y95" s="200">
        <f>(AE95*BU95)/100</f>
        <v>3.9433591100257774</v>
      </c>
      <c r="Z95" s="198"/>
      <c r="AA95" s="200"/>
      <c r="AB95" s="198"/>
      <c r="AC95" s="378">
        <f t="shared" si="1"/>
        <v>17.942283950617284</v>
      </c>
      <c r="AE95" s="176">
        <f>(M95/U95)*((100-CC95)/(100-9))*100</f>
        <v>19.716795550128886</v>
      </c>
      <c r="AF95" s="198">
        <v>41822</v>
      </c>
      <c r="AG95" s="176">
        <v>5</v>
      </c>
      <c r="AH95" s="196">
        <v>41927</v>
      </c>
      <c r="AI95" s="176">
        <v>100</v>
      </c>
      <c r="AM95" s="176">
        <v>84</v>
      </c>
      <c r="BG95" s="201">
        <v>6.6</v>
      </c>
      <c r="BI95" s="201">
        <v>4.8</v>
      </c>
      <c r="BK95" s="201">
        <v>1.3</v>
      </c>
      <c r="BM95" s="201">
        <v>65.099999999999994</v>
      </c>
      <c r="BO95" s="201">
        <v>20.9</v>
      </c>
      <c r="BQ95" s="201">
        <v>9.1999999999999993</v>
      </c>
      <c r="BS95" s="201">
        <v>45.6</v>
      </c>
      <c r="BU95" s="201">
        <v>20</v>
      </c>
      <c r="BW95" s="201">
        <v>77.7</v>
      </c>
      <c r="BY95" s="178">
        <v>6.7000000000000028</v>
      </c>
      <c r="CC95" s="201">
        <v>4.7</v>
      </c>
      <c r="CD95" s="198">
        <v>41822</v>
      </c>
      <c r="CI95" s="174" t="s">
        <v>9349</v>
      </c>
      <c r="CL95" s="174">
        <v>8</v>
      </c>
    </row>
    <row r="96" spans="1:91">
      <c r="A96" s="191" t="s">
        <v>7702</v>
      </c>
      <c r="B96" s="192" t="s">
        <v>271</v>
      </c>
      <c r="C96" s="192" t="s">
        <v>8998</v>
      </c>
      <c r="D96" s="192" t="s">
        <v>8503</v>
      </c>
      <c r="E96" s="193">
        <v>221</v>
      </c>
      <c r="F96" s="193">
        <v>11</v>
      </c>
      <c r="K96" s="176">
        <v>9</v>
      </c>
      <c r="M96" s="197">
        <v>7.45</v>
      </c>
      <c r="N96" s="198">
        <v>41822</v>
      </c>
      <c r="S96" s="176">
        <f>(AE96*BS96)/100</f>
        <v>23.089643196309865</v>
      </c>
      <c r="T96" s="198"/>
      <c r="U96" s="176">
        <v>16.2</v>
      </c>
      <c r="Y96" s="200">
        <f>(AE96*BU96)/100</f>
        <v>7.8237633970967302</v>
      </c>
      <c r="Z96" s="198"/>
      <c r="AA96" s="200"/>
      <c r="AB96" s="198"/>
      <c r="AC96" s="378">
        <f t="shared" si="1"/>
        <v>43.412345679012354</v>
      </c>
      <c r="AE96" s="176">
        <f>(M96/U96)*((100-CC96)/(100-9))*100</f>
        <v>47.705874372541047</v>
      </c>
      <c r="AF96" s="198">
        <v>41822</v>
      </c>
      <c r="AG96" s="176">
        <v>5.0999999999999996</v>
      </c>
      <c r="AH96" s="196">
        <v>41927</v>
      </c>
      <c r="AI96" s="176">
        <v>150</v>
      </c>
      <c r="AM96" s="176">
        <v>80</v>
      </c>
      <c r="BG96" s="201">
        <v>6.3</v>
      </c>
      <c r="BI96" s="201">
        <v>4.5999999999999996</v>
      </c>
      <c r="BK96" s="201">
        <v>1.5</v>
      </c>
      <c r="BM96" s="201">
        <v>62.4</v>
      </c>
      <c r="BO96" s="201">
        <v>21</v>
      </c>
      <c r="BQ96" s="201">
        <v>8.8000000000000007</v>
      </c>
      <c r="BS96" s="201">
        <v>48.4</v>
      </c>
      <c r="BU96" s="201">
        <v>16.399999999999999</v>
      </c>
      <c r="BW96" s="201">
        <v>14.8</v>
      </c>
      <c r="BY96" s="178">
        <v>6.7999999999999972</v>
      </c>
      <c r="CC96" s="201">
        <v>5.6</v>
      </c>
      <c r="CD96" s="198">
        <v>41822</v>
      </c>
      <c r="CI96" s="174" t="s">
        <v>9355</v>
      </c>
      <c r="CL96" s="174">
        <v>1</v>
      </c>
    </row>
    <row r="97" spans="1:90">
      <c r="A97" s="191" t="s">
        <v>7751</v>
      </c>
      <c r="B97" s="192" t="s">
        <v>271</v>
      </c>
      <c r="C97" s="192" t="s">
        <v>8998</v>
      </c>
      <c r="D97" s="192" t="s">
        <v>8699</v>
      </c>
      <c r="E97" s="193">
        <v>221</v>
      </c>
      <c r="F97" s="193">
        <v>12</v>
      </c>
      <c r="K97" s="176">
        <v>9</v>
      </c>
      <c r="M97" s="197">
        <v>2.95</v>
      </c>
      <c r="N97" s="198">
        <v>41822</v>
      </c>
      <c r="S97" s="176">
        <f>(AE97*BS97)/100</f>
        <v>8.7433821733821748</v>
      </c>
      <c r="T97" s="198"/>
      <c r="U97" s="176">
        <v>16.2</v>
      </c>
      <c r="Y97" s="200">
        <f>(AE97*BU97)/100</f>
        <v>3.9326129426129439</v>
      </c>
      <c r="Z97" s="198"/>
      <c r="AA97" s="200"/>
      <c r="AB97" s="198"/>
      <c r="AC97" s="378">
        <f t="shared" si="1"/>
        <v>17.372222222222227</v>
      </c>
      <c r="AE97" s="176">
        <f>(M97/U97)*((100-CC97)/(100-9))*100</f>
        <v>19.090354090354094</v>
      </c>
      <c r="AF97" s="198">
        <v>41822</v>
      </c>
      <c r="AG97" s="176">
        <v>4.9000000000000004</v>
      </c>
      <c r="AH97" s="196">
        <v>41927</v>
      </c>
      <c r="AI97" s="176">
        <v>100</v>
      </c>
      <c r="AM97" s="176">
        <v>85</v>
      </c>
      <c r="BG97" s="201">
        <v>48.4</v>
      </c>
      <c r="BI97" s="201">
        <v>4.7</v>
      </c>
      <c r="BK97" s="201">
        <v>1</v>
      </c>
      <c r="BM97" s="201">
        <v>32.6</v>
      </c>
      <c r="BO97" s="201">
        <v>18.100000000000001</v>
      </c>
      <c r="BQ97" s="201">
        <v>9.1999999999999993</v>
      </c>
      <c r="BS97" s="201">
        <v>45.8</v>
      </c>
      <c r="BU97" s="201">
        <v>20.6</v>
      </c>
      <c r="BW97" s="201">
        <v>71.8</v>
      </c>
      <c r="BY97" s="178">
        <v>6.2000000000000028</v>
      </c>
      <c r="CC97" s="201">
        <v>4.5999999999999996</v>
      </c>
      <c r="CD97" s="198">
        <v>41822</v>
      </c>
      <c r="CI97" s="174" t="s">
        <v>9364</v>
      </c>
      <c r="CL97" s="174">
        <v>8</v>
      </c>
    </row>
    <row r="98" spans="1:90">
      <c r="A98" s="191" t="s">
        <v>9000</v>
      </c>
      <c r="B98" s="192" t="s">
        <v>269</v>
      </c>
      <c r="C98" s="192" t="s">
        <v>417</v>
      </c>
      <c r="D98" s="192" t="s">
        <v>8297</v>
      </c>
      <c r="E98" s="193">
        <v>222</v>
      </c>
      <c r="F98" s="193">
        <v>1</v>
      </c>
      <c r="K98" s="176">
        <v>6</v>
      </c>
      <c r="M98" s="197">
        <v>3.6</v>
      </c>
      <c r="N98" s="198">
        <v>41822</v>
      </c>
      <c r="S98" s="176">
        <f>(AE98*BS98)/100</f>
        <v>12.088888888888892</v>
      </c>
      <c r="T98" s="198"/>
      <c r="U98" s="176">
        <v>16.2</v>
      </c>
      <c r="Y98" s="200">
        <f>(AE98*BU98)/100</f>
        <v>3.8823931623931629</v>
      </c>
      <c r="Z98" s="198"/>
      <c r="AA98" s="200"/>
      <c r="AB98" s="198"/>
      <c r="AC98" s="378">
        <f t="shared" si="1"/>
        <v>21.155555555555559</v>
      </c>
      <c r="AE98" s="176">
        <f>(M98/U98)*((100-CC98)/(100-9))*100</f>
        <v>23.247863247863251</v>
      </c>
      <c r="AF98" s="198">
        <v>41822</v>
      </c>
      <c r="AG98" s="176">
        <v>5</v>
      </c>
      <c r="AH98" s="196">
        <v>41927</v>
      </c>
      <c r="AI98" s="176">
        <v>140</v>
      </c>
      <c r="AM98" s="176">
        <v>87</v>
      </c>
      <c r="BG98" s="201">
        <v>0</v>
      </c>
      <c r="BI98" s="201">
        <v>5.0999999999999996</v>
      </c>
      <c r="BK98" s="201">
        <v>1.7</v>
      </c>
      <c r="BM98" s="201">
        <v>65.599999999999994</v>
      </c>
      <c r="BO98" s="201">
        <v>20.399999999999999</v>
      </c>
      <c r="BQ98" s="201">
        <v>7.2</v>
      </c>
      <c r="BS98" s="201">
        <v>52</v>
      </c>
      <c r="BU98" s="201">
        <v>16.7</v>
      </c>
      <c r="BW98" s="201">
        <v>12</v>
      </c>
      <c r="BY98" s="178">
        <v>6.2999999999999972</v>
      </c>
      <c r="CC98" s="201">
        <v>4.8</v>
      </c>
      <c r="CD98" s="198">
        <v>41822</v>
      </c>
      <c r="CI98" s="174" t="s">
        <v>9339</v>
      </c>
      <c r="CL98" s="174">
        <v>1</v>
      </c>
    </row>
    <row r="99" spans="1:90">
      <c r="A99" s="191" t="s">
        <v>7794</v>
      </c>
      <c r="B99" s="192" t="s">
        <v>269</v>
      </c>
      <c r="C99" s="192" t="s">
        <v>417</v>
      </c>
      <c r="D99" s="192" t="s">
        <v>8869</v>
      </c>
      <c r="E99" s="193">
        <v>222</v>
      </c>
      <c r="F99" s="193">
        <v>2</v>
      </c>
      <c r="K99" s="176">
        <v>7</v>
      </c>
      <c r="M99" s="197">
        <v>2.85</v>
      </c>
      <c r="N99" s="198">
        <v>41822</v>
      </c>
      <c r="S99" s="176">
        <f>(AE99*BS99)/100</f>
        <v>9.7352380952380937</v>
      </c>
      <c r="T99" s="198"/>
      <c r="U99" s="176">
        <v>16.2</v>
      </c>
      <c r="Y99" s="200">
        <f>(AE99*BU99)/100</f>
        <v>2.6780952380952381</v>
      </c>
      <c r="Z99" s="198"/>
      <c r="AA99" s="200"/>
      <c r="AB99" s="198"/>
      <c r="AC99" s="378">
        <f t="shared" si="1"/>
        <v>16.466666666666665</v>
      </c>
      <c r="AE99" s="176">
        <f>(M99/U99)*((100-CC99)/(100-9))*100</f>
        <v>18.095238095238095</v>
      </c>
      <c r="AF99" s="198">
        <v>41822</v>
      </c>
      <c r="AG99" s="176">
        <v>4.9000000000000004</v>
      </c>
      <c r="AH99" s="196">
        <v>41927</v>
      </c>
      <c r="AI99" s="176">
        <v>100</v>
      </c>
      <c r="AM99" s="176">
        <v>86</v>
      </c>
      <c r="BG99" s="201">
        <v>0</v>
      </c>
      <c r="BI99" s="201">
        <v>5</v>
      </c>
      <c r="BK99" s="201">
        <v>1.6</v>
      </c>
      <c r="BM99" s="201">
        <v>63.4</v>
      </c>
      <c r="BO99" s="201">
        <v>21</v>
      </c>
      <c r="BQ99" s="201">
        <v>8.1999999999999993</v>
      </c>
      <c r="BS99" s="201">
        <v>53.8</v>
      </c>
      <c r="BU99" s="201">
        <v>14.8</v>
      </c>
      <c r="BW99" s="201">
        <v>10.199999999999999</v>
      </c>
      <c r="BY99" s="178">
        <v>6.5999999999999943</v>
      </c>
      <c r="CC99" s="201">
        <v>6.4</v>
      </c>
      <c r="CD99" s="198">
        <v>41822</v>
      </c>
      <c r="CI99" s="174" t="s">
        <v>9353</v>
      </c>
      <c r="CL99" s="174">
        <v>1</v>
      </c>
    </row>
    <row r="100" spans="1:90">
      <c r="A100" s="191" t="s">
        <v>7767</v>
      </c>
      <c r="B100" s="192" t="s">
        <v>269</v>
      </c>
      <c r="C100" s="192" t="s">
        <v>417</v>
      </c>
      <c r="D100" s="192" t="s">
        <v>8761</v>
      </c>
      <c r="E100" s="193">
        <v>222</v>
      </c>
      <c r="F100" s="193">
        <v>3</v>
      </c>
      <c r="K100" s="176">
        <v>7</v>
      </c>
      <c r="M100" s="197">
        <v>4.4000000000000004</v>
      </c>
      <c r="N100" s="198">
        <v>41822</v>
      </c>
      <c r="S100" s="176">
        <f>(AE100*BS100)/100</f>
        <v>14.79811151811152</v>
      </c>
      <c r="T100" s="198"/>
      <c r="U100" s="176">
        <v>16.2</v>
      </c>
      <c r="Y100" s="200">
        <f>(AE100*BU100)/100</f>
        <v>4.3856735856735867</v>
      </c>
      <c r="Z100" s="198"/>
      <c r="AA100" s="200"/>
      <c r="AB100" s="198"/>
      <c r="AC100" s="378">
        <f t="shared" si="1"/>
        <v>25.74814814814815</v>
      </c>
      <c r="AE100" s="176">
        <f>(M100/U100)*((100-CC100)/(100-9))*100</f>
        <v>28.294668294668302</v>
      </c>
      <c r="AF100" s="198">
        <v>41822</v>
      </c>
      <c r="AG100" s="176">
        <v>4.5</v>
      </c>
      <c r="AH100" s="196">
        <v>41927</v>
      </c>
      <c r="AI100" s="176">
        <v>155</v>
      </c>
      <c r="AM100" s="176">
        <v>78</v>
      </c>
      <c r="BG100" s="201">
        <v>0</v>
      </c>
      <c r="BI100" s="201">
        <v>4.7</v>
      </c>
      <c r="BK100" s="201">
        <v>1.6</v>
      </c>
      <c r="BM100" s="201">
        <v>65.7</v>
      </c>
      <c r="BO100" s="201">
        <v>22</v>
      </c>
      <c r="BQ100" s="201">
        <v>7.6</v>
      </c>
      <c r="BS100" s="201">
        <v>52.3</v>
      </c>
      <c r="BU100" s="201">
        <v>15.5</v>
      </c>
      <c r="BW100" s="201">
        <v>8.1</v>
      </c>
      <c r="BY100" s="178">
        <v>6.5</v>
      </c>
      <c r="CC100" s="201">
        <v>5.2</v>
      </c>
      <c r="CD100" s="198">
        <v>41822</v>
      </c>
      <c r="CI100" s="174" t="s">
        <v>9347</v>
      </c>
      <c r="CL100" s="174">
        <v>3</v>
      </c>
    </row>
    <row r="101" spans="1:90">
      <c r="A101" s="191" t="s">
        <v>7672</v>
      </c>
      <c r="B101" s="192" t="s">
        <v>269</v>
      </c>
      <c r="C101" s="192" t="s">
        <v>417</v>
      </c>
      <c r="D101" s="192" t="s">
        <v>8381</v>
      </c>
      <c r="E101" s="193">
        <v>222</v>
      </c>
      <c r="F101" s="193">
        <v>4</v>
      </c>
      <c r="K101" s="176">
        <v>7</v>
      </c>
      <c r="M101" s="197">
        <v>3.35</v>
      </c>
      <c r="N101" s="198">
        <v>41822</v>
      </c>
      <c r="S101" s="176">
        <f>(AE101*BS101)/100</f>
        <v>11.25917684167684</v>
      </c>
      <c r="T101" s="198"/>
      <c r="U101" s="176">
        <v>16.2</v>
      </c>
      <c r="Y101" s="200">
        <f>(AE101*BU101)/100</f>
        <v>3.5009340659340649</v>
      </c>
      <c r="Z101" s="198"/>
      <c r="AA101" s="200"/>
      <c r="AB101" s="198"/>
      <c r="AC101" s="378">
        <f t="shared" si="1"/>
        <v>19.665740740740741</v>
      </c>
      <c r="AE101" s="176">
        <f>(M101/U101)*((100-CC101)/(100-9))*100</f>
        <v>21.610704110704106</v>
      </c>
      <c r="AF101" s="198">
        <v>41822</v>
      </c>
      <c r="AG101" s="176">
        <v>4.9000000000000004</v>
      </c>
      <c r="AH101" s="196">
        <v>41927</v>
      </c>
      <c r="AI101" s="176">
        <v>145</v>
      </c>
      <c r="AM101" s="176">
        <v>85</v>
      </c>
      <c r="BG101" s="201">
        <v>1.9</v>
      </c>
      <c r="BI101" s="201">
        <v>4.7</v>
      </c>
      <c r="BK101" s="201">
        <v>1.5</v>
      </c>
      <c r="BM101" s="201">
        <v>63.4</v>
      </c>
      <c r="BO101" s="201">
        <v>20.100000000000001</v>
      </c>
      <c r="BQ101" s="201">
        <v>8.4</v>
      </c>
      <c r="BS101" s="201">
        <v>52.1</v>
      </c>
      <c r="BU101" s="201">
        <v>16.2</v>
      </c>
      <c r="BW101" s="201">
        <v>18.7</v>
      </c>
      <c r="BY101" s="178">
        <v>6.2000000000000028</v>
      </c>
      <c r="CC101" s="201">
        <v>4.9000000000000004</v>
      </c>
      <c r="CD101" s="198">
        <v>41822</v>
      </c>
      <c r="CI101" s="174" t="s">
        <v>9382</v>
      </c>
      <c r="CL101" s="174">
        <v>4</v>
      </c>
    </row>
    <row r="102" spans="1:90">
      <c r="A102" s="191" t="s">
        <v>7710</v>
      </c>
      <c r="B102" s="192" t="s">
        <v>269</v>
      </c>
      <c r="C102" s="192" t="s">
        <v>417</v>
      </c>
      <c r="D102" s="192" t="s">
        <v>8533</v>
      </c>
      <c r="E102" s="193">
        <v>222</v>
      </c>
      <c r="F102" s="193">
        <v>5</v>
      </c>
      <c r="K102" s="176">
        <v>5</v>
      </c>
      <c r="M102" s="197">
        <v>2.8</v>
      </c>
      <c r="N102" s="198">
        <v>41822</v>
      </c>
      <c r="S102" s="176">
        <f>(AE102*BS102)/100</f>
        <v>8.9871225071225069</v>
      </c>
      <c r="T102" s="198"/>
      <c r="U102" s="176">
        <v>16.2</v>
      </c>
      <c r="Y102" s="200">
        <f>(AE102*BU102)/100</f>
        <v>2.9434567901234563</v>
      </c>
      <c r="Z102" s="198"/>
      <c r="AA102" s="200"/>
      <c r="AB102" s="198"/>
      <c r="AC102" s="378">
        <f t="shared" si="1"/>
        <v>15.849382716049382</v>
      </c>
      <c r="AE102" s="176">
        <f>(M102/U102)*((100-CC102)/(100-9))*100</f>
        <v>17.416904083570749</v>
      </c>
      <c r="AF102" s="198">
        <v>41822</v>
      </c>
      <c r="AG102" s="176">
        <v>4.4000000000000004</v>
      </c>
      <c r="AH102" s="196">
        <v>41927</v>
      </c>
      <c r="AI102" s="176">
        <v>135</v>
      </c>
      <c r="AM102" s="176">
        <v>83</v>
      </c>
      <c r="BG102" s="201">
        <v>0.4</v>
      </c>
      <c r="BI102" s="201">
        <v>4.5999999999999996</v>
      </c>
      <c r="BK102" s="201">
        <v>1.5</v>
      </c>
      <c r="BM102" s="201">
        <v>61.4</v>
      </c>
      <c r="BO102" s="201">
        <v>18.7</v>
      </c>
      <c r="BQ102" s="201">
        <v>10.3</v>
      </c>
      <c r="BS102" s="201">
        <v>51.6</v>
      </c>
      <c r="BU102" s="201">
        <v>16.899999999999999</v>
      </c>
      <c r="BW102" s="201">
        <v>17.600000000000001</v>
      </c>
      <c r="BY102" s="178">
        <v>7.2000000000000028</v>
      </c>
      <c r="CC102" s="201">
        <v>8.3000000000000007</v>
      </c>
      <c r="CD102" s="198">
        <v>41822</v>
      </c>
      <c r="CI102" s="174" t="s">
        <v>9381</v>
      </c>
      <c r="CL102" s="174">
        <v>1</v>
      </c>
    </row>
    <row r="103" spans="1:90">
      <c r="A103" s="191" t="s">
        <v>7678</v>
      </c>
      <c r="B103" s="192" t="s">
        <v>269</v>
      </c>
      <c r="C103" s="192" t="s">
        <v>417</v>
      </c>
      <c r="D103" s="192" t="s">
        <v>8405</v>
      </c>
      <c r="E103" s="193">
        <v>222</v>
      </c>
      <c r="F103" s="193">
        <v>6</v>
      </c>
      <c r="K103" s="176">
        <v>6</v>
      </c>
      <c r="M103" s="197">
        <v>2.9</v>
      </c>
      <c r="N103" s="198">
        <v>41822</v>
      </c>
      <c r="S103" s="176">
        <f>(AE103*BS103)/100</f>
        <v>9.2922357889024543</v>
      </c>
      <c r="T103" s="198"/>
      <c r="U103" s="176">
        <v>16.2</v>
      </c>
      <c r="Y103" s="200">
        <f>(AE103*BU103)/100</f>
        <v>3.0190727174060505</v>
      </c>
      <c r="Z103" s="198"/>
      <c r="AA103" s="200"/>
      <c r="AB103" s="198"/>
      <c r="AC103" s="378">
        <f t="shared" si="1"/>
        <v>16.451234567901235</v>
      </c>
      <c r="AE103" s="176">
        <f>(M103/U103)*((100-CC103)/(100-9))*100</f>
        <v>18.078279744946411</v>
      </c>
      <c r="AF103" s="198">
        <v>41822</v>
      </c>
      <c r="AG103" s="176">
        <v>5.3</v>
      </c>
      <c r="AH103" s="196">
        <v>41927</v>
      </c>
      <c r="AI103" s="176">
        <v>105</v>
      </c>
      <c r="AM103" s="176">
        <v>83</v>
      </c>
      <c r="BG103" s="201">
        <v>0</v>
      </c>
      <c r="BI103" s="201">
        <v>4.9000000000000004</v>
      </c>
      <c r="BK103" s="201">
        <v>1.6</v>
      </c>
      <c r="BM103" s="201">
        <v>60.1</v>
      </c>
      <c r="BO103" s="201">
        <v>20.5</v>
      </c>
      <c r="BQ103" s="201">
        <v>9.1999999999999993</v>
      </c>
      <c r="BS103" s="201">
        <v>51.4</v>
      </c>
      <c r="BU103" s="201">
        <v>16.7</v>
      </c>
      <c r="BW103" s="201">
        <v>8</v>
      </c>
      <c r="BY103" s="178">
        <v>7</v>
      </c>
      <c r="CC103" s="201">
        <v>8.1</v>
      </c>
      <c r="CD103" s="198">
        <v>41822</v>
      </c>
      <c r="CI103" s="174" t="s">
        <v>9379</v>
      </c>
      <c r="CL103" s="174">
        <v>1</v>
      </c>
    </row>
    <row r="104" spans="1:90">
      <c r="A104" s="191" t="s">
        <v>7692</v>
      </c>
      <c r="B104" s="192" t="s">
        <v>271</v>
      </c>
      <c r="C104" s="192" t="s">
        <v>8998</v>
      </c>
      <c r="D104" s="192" t="s">
        <v>8463</v>
      </c>
      <c r="E104" s="193">
        <v>222</v>
      </c>
      <c r="F104" s="193">
        <v>7</v>
      </c>
      <c r="K104" s="176">
        <v>8</v>
      </c>
      <c r="M104" s="197">
        <v>6.15</v>
      </c>
      <c r="N104" s="198">
        <v>41822</v>
      </c>
      <c r="S104" s="176">
        <f>(AE104*BS104)/100</f>
        <v>19.003675213675216</v>
      </c>
      <c r="T104" s="198"/>
      <c r="U104" s="176">
        <v>16.2</v>
      </c>
      <c r="Y104" s="200">
        <f>(AE104*BU104)/100</f>
        <v>6.7842735042735054</v>
      </c>
      <c r="Z104" s="198"/>
      <c r="AA104" s="200"/>
      <c r="AB104" s="198"/>
      <c r="AC104" s="378">
        <f t="shared" si="1"/>
        <v>35.077777777777783</v>
      </c>
      <c r="AE104" s="176">
        <f>(M104/U104)*((100-CC104)/(100-9))*100</f>
        <v>38.547008547008552</v>
      </c>
      <c r="AF104" s="198">
        <v>41822</v>
      </c>
      <c r="AG104" s="176">
        <v>4.2</v>
      </c>
      <c r="AH104" s="196">
        <v>41927</v>
      </c>
      <c r="AI104" s="176">
        <v>135</v>
      </c>
      <c r="AM104" s="176">
        <v>84</v>
      </c>
      <c r="BG104" s="201">
        <v>0</v>
      </c>
      <c r="BI104" s="201">
        <v>4.5999999999999996</v>
      </c>
      <c r="BK104" s="201">
        <v>1.6</v>
      </c>
      <c r="BM104" s="201">
        <v>64.400000000000006</v>
      </c>
      <c r="BO104" s="201">
        <v>20.100000000000001</v>
      </c>
      <c r="BQ104" s="201">
        <v>8.3000000000000007</v>
      </c>
      <c r="BS104" s="201">
        <v>49.3</v>
      </c>
      <c r="BU104" s="201">
        <v>17.600000000000001</v>
      </c>
      <c r="BW104" s="201">
        <v>17.899999999999999</v>
      </c>
      <c r="BY104" s="178">
        <v>6.7000000000000028</v>
      </c>
      <c r="CC104" s="201">
        <v>7.6</v>
      </c>
      <c r="CD104" s="198">
        <v>41822</v>
      </c>
      <c r="CI104" s="174" t="s">
        <v>9358</v>
      </c>
      <c r="CL104" s="174">
        <v>1</v>
      </c>
    </row>
    <row r="105" spans="1:90">
      <c r="A105" s="191" t="s">
        <v>7758</v>
      </c>
      <c r="B105" s="192" t="s">
        <v>271</v>
      </c>
      <c r="C105" s="192" t="s">
        <v>8998</v>
      </c>
      <c r="D105" s="192" t="s">
        <v>8727</v>
      </c>
      <c r="E105" s="193">
        <v>222</v>
      </c>
      <c r="F105" s="193">
        <v>8</v>
      </c>
      <c r="K105" s="176">
        <v>8</v>
      </c>
      <c r="M105" s="197">
        <v>6.15</v>
      </c>
      <c r="N105" s="198">
        <v>41822</v>
      </c>
      <c r="S105" s="176">
        <f>(AE105*BS105)/100</f>
        <v>20.019413919413921</v>
      </c>
      <c r="T105" s="198"/>
      <c r="U105" s="176">
        <v>16.2</v>
      </c>
      <c r="Y105" s="200">
        <f>(AE105*BU105)/100</f>
        <v>6.5179487179487179</v>
      </c>
      <c r="Z105" s="198"/>
      <c r="AA105" s="200"/>
      <c r="AB105" s="198"/>
      <c r="AC105" s="378">
        <f t="shared" si="1"/>
        <v>35.305555555555557</v>
      </c>
      <c r="AE105" s="176">
        <f>(M105/U105)*((100-CC105)/(100-9))*100</f>
        <v>38.797313797313798</v>
      </c>
      <c r="AF105" s="198">
        <v>41822</v>
      </c>
      <c r="AG105" s="176">
        <v>4.7</v>
      </c>
      <c r="AH105" s="196">
        <v>41927</v>
      </c>
      <c r="AI105" s="176">
        <v>165</v>
      </c>
      <c r="AM105" s="176">
        <v>79</v>
      </c>
      <c r="BG105" s="201">
        <v>0</v>
      </c>
      <c r="BI105" s="201">
        <v>4.5</v>
      </c>
      <c r="BK105" s="201">
        <v>1.5</v>
      </c>
      <c r="BM105" s="201">
        <v>63.9</v>
      </c>
      <c r="BO105" s="201">
        <v>21.4</v>
      </c>
      <c r="BQ105" s="201">
        <v>8.1999999999999993</v>
      </c>
      <c r="BS105" s="201">
        <v>51.6</v>
      </c>
      <c r="BU105" s="201">
        <v>16.8</v>
      </c>
      <c r="BW105" s="201">
        <v>10.9</v>
      </c>
      <c r="BY105" s="178">
        <v>6.2999999999999972</v>
      </c>
      <c r="CC105" s="201">
        <v>7</v>
      </c>
      <c r="CD105" s="198">
        <v>41822</v>
      </c>
      <c r="CI105" s="174" t="s">
        <v>9373</v>
      </c>
      <c r="CL105" s="174">
        <v>3</v>
      </c>
    </row>
    <row r="106" spans="1:90">
      <c r="A106" s="191" t="s">
        <v>7705</v>
      </c>
      <c r="B106" s="192" t="s">
        <v>271</v>
      </c>
      <c r="C106" s="192" t="s">
        <v>8998</v>
      </c>
      <c r="D106" s="192" t="s">
        <v>8515</v>
      </c>
      <c r="E106" s="193">
        <v>222</v>
      </c>
      <c r="F106" s="193">
        <v>9</v>
      </c>
      <c r="K106" s="176">
        <v>8</v>
      </c>
      <c r="M106" s="197">
        <v>6.6</v>
      </c>
      <c r="N106" s="198">
        <v>41822</v>
      </c>
      <c r="S106" s="176">
        <f>(AE106*BS106)/100</f>
        <v>21.161680911680911</v>
      </c>
      <c r="T106" s="198"/>
      <c r="U106" s="176">
        <v>16.2</v>
      </c>
      <c r="Y106" s="200">
        <f>(AE106*BU106)/100</f>
        <v>7.3713878713878715</v>
      </c>
      <c r="Z106" s="198"/>
      <c r="AA106" s="200"/>
      <c r="AB106" s="198"/>
      <c r="AC106" s="378">
        <f t="shared" si="1"/>
        <v>37.685185185185183</v>
      </c>
      <c r="AE106" s="176">
        <f>(M106/U106)*((100-CC106)/(100-9))*100</f>
        <v>41.41229141229141</v>
      </c>
      <c r="AF106" s="198">
        <v>41822</v>
      </c>
      <c r="AG106" s="176">
        <v>4.3</v>
      </c>
      <c r="AH106" s="196">
        <v>41927</v>
      </c>
      <c r="AI106" s="176">
        <v>145</v>
      </c>
      <c r="AM106" s="176">
        <v>85</v>
      </c>
      <c r="BG106" s="201">
        <v>1.6</v>
      </c>
      <c r="BI106" s="201">
        <v>4.7</v>
      </c>
      <c r="BK106" s="201">
        <v>1.6</v>
      </c>
      <c r="BM106" s="201">
        <v>65.900000000000006</v>
      </c>
      <c r="BO106" s="201">
        <v>19.399999999999999</v>
      </c>
      <c r="BQ106" s="201">
        <v>8.6</v>
      </c>
      <c r="BS106" s="201">
        <v>51.1</v>
      </c>
      <c r="BU106" s="201">
        <v>17.8</v>
      </c>
      <c r="BW106" s="201">
        <v>14</v>
      </c>
      <c r="BY106" s="178">
        <v>6.5</v>
      </c>
      <c r="CC106" s="201">
        <v>7.5</v>
      </c>
      <c r="CD106" s="198">
        <v>41822</v>
      </c>
      <c r="CI106" s="174" t="s">
        <v>9355</v>
      </c>
      <c r="CL106" s="174">
        <v>1</v>
      </c>
    </row>
    <row r="107" spans="1:90">
      <c r="A107" s="191" t="s">
        <v>7812</v>
      </c>
      <c r="B107" s="192" t="s">
        <v>271</v>
      </c>
      <c r="C107" s="192" t="s">
        <v>8998</v>
      </c>
      <c r="D107" s="192" t="s">
        <v>8943</v>
      </c>
      <c r="E107" s="193">
        <v>222</v>
      </c>
      <c r="F107" s="193">
        <v>10</v>
      </c>
      <c r="K107" s="176">
        <v>8</v>
      </c>
      <c r="M107" s="197">
        <v>7.75</v>
      </c>
      <c r="N107" s="198">
        <v>41822</v>
      </c>
      <c r="S107" s="176">
        <f>(AE107*BS107)/100</f>
        <v>25.156956315289644</v>
      </c>
      <c r="T107" s="198"/>
      <c r="U107" s="176">
        <v>16.2</v>
      </c>
      <c r="Y107" s="200">
        <f>(AE107*BU107)/100</f>
        <v>8.3693376068376057</v>
      </c>
      <c r="Z107" s="198"/>
      <c r="AA107" s="200"/>
      <c r="AB107" s="198"/>
      <c r="AC107" s="378">
        <f t="shared" si="1"/>
        <v>44.538580246913575</v>
      </c>
      <c r="AE107" s="176">
        <f>(M107/U107)*((100-CC107)/(100-9))*100</f>
        <v>48.943494776828103</v>
      </c>
      <c r="AF107" s="198">
        <v>41822</v>
      </c>
      <c r="AG107" s="176">
        <v>5.2</v>
      </c>
      <c r="AH107" s="196">
        <v>41927</v>
      </c>
      <c r="AI107" s="176">
        <v>160</v>
      </c>
      <c r="AM107" s="176">
        <v>82</v>
      </c>
      <c r="BG107" s="201">
        <v>0</v>
      </c>
      <c r="BI107" s="201">
        <v>4.5</v>
      </c>
      <c r="BK107" s="201">
        <v>1.6</v>
      </c>
      <c r="BM107" s="201">
        <v>66.099999999999994</v>
      </c>
      <c r="BO107" s="201">
        <v>20.5</v>
      </c>
      <c r="BQ107" s="201">
        <v>7.6</v>
      </c>
      <c r="BS107" s="201">
        <v>51.4</v>
      </c>
      <c r="BU107" s="201">
        <v>17.100000000000001</v>
      </c>
      <c r="BW107" s="201">
        <v>17.7</v>
      </c>
      <c r="BY107" s="178">
        <v>6.2000000000000028</v>
      </c>
      <c r="CC107" s="201">
        <v>6.9</v>
      </c>
      <c r="CD107" s="198">
        <v>41822</v>
      </c>
      <c r="CI107" s="174" t="s">
        <v>9364</v>
      </c>
      <c r="CL107" s="174">
        <v>3</v>
      </c>
    </row>
    <row r="108" spans="1:90">
      <c r="A108" s="191" t="s">
        <v>7742</v>
      </c>
      <c r="B108" s="192" t="s">
        <v>271</v>
      </c>
      <c r="C108" s="192" t="s">
        <v>8998</v>
      </c>
      <c r="D108" s="192" t="s">
        <v>8663</v>
      </c>
      <c r="E108" s="193">
        <v>222</v>
      </c>
      <c r="F108" s="193">
        <v>11</v>
      </c>
      <c r="K108" s="176">
        <v>8</v>
      </c>
      <c r="M108" s="197">
        <v>3.45</v>
      </c>
      <c r="N108" s="198">
        <v>41822</v>
      </c>
      <c r="S108" s="176">
        <f>(AE108*BS108)/100</f>
        <v>9.8601851851851858</v>
      </c>
      <c r="T108" s="198"/>
      <c r="U108" s="176">
        <v>16.2</v>
      </c>
      <c r="Y108" s="200">
        <f>(AE108*BU108)/100</f>
        <v>4.5725254375254387</v>
      </c>
      <c r="Z108" s="198"/>
      <c r="AA108" s="200"/>
      <c r="AB108" s="198"/>
      <c r="AC108" s="378">
        <f t="shared" si="1"/>
        <v>19.720370370370372</v>
      </c>
      <c r="AE108" s="176">
        <f>(M108/U108)*((100-CC108)/(100-9))*100</f>
        <v>21.670736670736673</v>
      </c>
      <c r="AF108" s="198">
        <v>41822</v>
      </c>
      <c r="AG108" s="176">
        <v>4.5999999999999996</v>
      </c>
      <c r="AH108" s="196">
        <v>41927</v>
      </c>
      <c r="AI108" s="176">
        <v>120</v>
      </c>
      <c r="AM108" s="176">
        <v>94</v>
      </c>
      <c r="BG108" s="201">
        <v>46.9</v>
      </c>
      <c r="BI108" s="201">
        <v>4.0999999999999996</v>
      </c>
      <c r="BK108" s="201">
        <v>0.8</v>
      </c>
      <c r="BM108" s="201">
        <v>30.6</v>
      </c>
      <c r="BO108" s="201">
        <v>15.1</v>
      </c>
      <c r="BQ108" s="201">
        <v>8.3000000000000007</v>
      </c>
      <c r="BS108" s="201">
        <v>45.5</v>
      </c>
      <c r="BU108" s="201">
        <v>21.1</v>
      </c>
      <c r="BW108" s="201">
        <v>71.400000000000006</v>
      </c>
      <c r="BY108" s="178">
        <v>7</v>
      </c>
      <c r="CC108" s="201">
        <v>7.4</v>
      </c>
      <c r="CD108" s="198">
        <v>41822</v>
      </c>
      <c r="CI108" s="174" t="s">
        <v>9349</v>
      </c>
      <c r="CL108" s="174">
        <v>7</v>
      </c>
    </row>
    <row r="109" spans="1:90">
      <c r="A109" s="191" t="s">
        <v>7753</v>
      </c>
      <c r="B109" s="192" t="s">
        <v>271</v>
      </c>
      <c r="C109" s="192" t="s">
        <v>8998</v>
      </c>
      <c r="D109" s="192" t="s">
        <v>8707</v>
      </c>
      <c r="E109" s="193">
        <v>222</v>
      </c>
      <c r="F109" s="193">
        <v>12</v>
      </c>
      <c r="K109" s="176">
        <v>7</v>
      </c>
      <c r="M109" s="197">
        <v>3.25</v>
      </c>
      <c r="N109" s="198">
        <v>41822</v>
      </c>
      <c r="S109" s="176">
        <f>(AE109*BS109)/100</f>
        <v>9.5529100529100521</v>
      </c>
      <c r="T109" s="198"/>
      <c r="U109" s="176">
        <v>16.2</v>
      </c>
      <c r="Y109" s="200">
        <f>(AE109*BU109)/100</f>
        <v>4.6851851851851851</v>
      </c>
      <c r="Z109" s="198"/>
      <c r="AA109" s="200"/>
      <c r="AB109" s="198"/>
      <c r="AC109" s="378">
        <f t="shared" si="1"/>
        <v>18.456790123456791</v>
      </c>
      <c r="AE109" s="176">
        <f>(M109/U109)*((100-CC109)/(100-9))*100</f>
        <v>20.282186948853614</v>
      </c>
      <c r="AF109" s="198">
        <v>41822</v>
      </c>
      <c r="AG109" s="176">
        <v>5.0999999999999996</v>
      </c>
      <c r="AH109" s="196">
        <v>41927</v>
      </c>
      <c r="AI109" s="176">
        <v>100</v>
      </c>
      <c r="AM109" s="176">
        <v>87</v>
      </c>
      <c r="BG109" s="201">
        <v>43.9</v>
      </c>
      <c r="BI109" s="201">
        <v>3.5</v>
      </c>
      <c r="BK109" s="201">
        <v>1.1000000000000001</v>
      </c>
      <c r="BM109" s="201">
        <v>35.200000000000003</v>
      </c>
      <c r="BO109" s="201">
        <v>12.5</v>
      </c>
      <c r="BQ109" s="201">
        <v>9.8000000000000007</v>
      </c>
      <c r="BS109" s="201">
        <v>47.1</v>
      </c>
      <c r="BU109" s="201">
        <v>23.1</v>
      </c>
      <c r="BW109" s="201">
        <v>74.599999999999994</v>
      </c>
      <c r="BY109" s="178">
        <v>6.7999999999999972</v>
      </c>
      <c r="CC109" s="201">
        <v>8</v>
      </c>
      <c r="CD109" s="198">
        <v>41822</v>
      </c>
      <c r="CI109" s="174" t="s">
        <v>9402</v>
      </c>
      <c r="CL109" s="174">
        <v>9</v>
      </c>
    </row>
    <row r="110" spans="1:90">
      <c r="A110" s="191" t="s">
        <v>7760</v>
      </c>
      <c r="B110" s="192" t="s">
        <v>269</v>
      </c>
      <c r="C110" s="192" t="s">
        <v>417</v>
      </c>
      <c r="D110" s="192" t="s">
        <v>8733</v>
      </c>
      <c r="E110" s="193">
        <v>223</v>
      </c>
      <c r="F110" s="193">
        <v>1</v>
      </c>
      <c r="K110" s="176">
        <v>7</v>
      </c>
      <c r="M110" s="197">
        <v>4.5</v>
      </c>
      <c r="N110" s="198">
        <v>41822</v>
      </c>
      <c r="S110" s="176">
        <f>(AE110*BS110)/100</f>
        <v>14.318070818070819</v>
      </c>
      <c r="T110" s="198"/>
      <c r="U110" s="176">
        <v>16.2</v>
      </c>
      <c r="Y110" s="200">
        <f>(AE110*BU110)/100</f>
        <v>4.963980463980465</v>
      </c>
      <c r="Z110" s="198"/>
      <c r="AA110" s="200"/>
      <c r="AB110" s="198"/>
      <c r="AC110" s="378">
        <f t="shared" si="1"/>
        <v>26.111111111111111</v>
      </c>
      <c r="AE110" s="176">
        <f>(M110/U110)*((100-CC110)/(100-9))*100</f>
        <v>28.693528693528698</v>
      </c>
      <c r="AF110" s="198">
        <v>41822</v>
      </c>
      <c r="AG110" s="176">
        <v>4.7</v>
      </c>
      <c r="AH110" s="196">
        <v>41927</v>
      </c>
      <c r="AI110" s="176">
        <v>140</v>
      </c>
      <c r="AM110" s="176">
        <v>88</v>
      </c>
      <c r="BG110" s="201">
        <v>0</v>
      </c>
      <c r="BI110" s="201">
        <v>4.4000000000000004</v>
      </c>
      <c r="BK110" s="201">
        <v>1.8</v>
      </c>
      <c r="BM110" s="201">
        <v>63.8</v>
      </c>
      <c r="BO110" s="201">
        <v>18.399999999999999</v>
      </c>
      <c r="BQ110" s="201">
        <v>9</v>
      </c>
      <c r="BS110" s="201">
        <v>49.9</v>
      </c>
      <c r="BU110" s="201">
        <v>17.3</v>
      </c>
      <c r="BW110" s="201">
        <v>4.0999999999999996</v>
      </c>
      <c r="BY110" s="178">
        <v>6.2999999999999972</v>
      </c>
      <c r="CC110" s="201">
        <v>6</v>
      </c>
      <c r="CD110" s="198">
        <v>41822</v>
      </c>
      <c r="CI110" s="174" t="s">
        <v>9339</v>
      </c>
      <c r="CL110" s="174">
        <v>1</v>
      </c>
    </row>
    <row r="111" spans="1:90">
      <c r="A111" s="191" t="s">
        <v>7787</v>
      </c>
      <c r="B111" s="192" t="s">
        <v>269</v>
      </c>
      <c r="C111" s="192" t="s">
        <v>417</v>
      </c>
      <c r="D111" s="192" t="s">
        <v>8841</v>
      </c>
      <c r="E111" s="193">
        <v>223</v>
      </c>
      <c r="F111" s="193">
        <v>2</v>
      </c>
      <c r="K111" s="176">
        <v>7</v>
      </c>
      <c r="M111" s="197">
        <v>4.2</v>
      </c>
      <c r="N111" s="198">
        <v>41822</v>
      </c>
      <c r="S111" s="176">
        <f>(AE111*BS111)/100</f>
        <v>13.95840455840456</v>
      </c>
      <c r="T111" s="198"/>
      <c r="U111" s="176">
        <v>16.2</v>
      </c>
      <c r="Y111" s="200">
        <f>(AE111*BU111)/100</f>
        <v>4.2887464387464398</v>
      </c>
      <c r="Z111" s="198"/>
      <c r="AA111" s="200"/>
      <c r="AB111" s="198"/>
      <c r="AC111" s="378">
        <f t="shared" si="1"/>
        <v>24.240740740740744</v>
      </c>
      <c r="AE111" s="176">
        <f>(M111/U111)*((100-CC111)/(100-9))*100</f>
        <v>26.638176638176642</v>
      </c>
      <c r="AF111" s="198">
        <v>41822</v>
      </c>
      <c r="AG111" s="176">
        <v>5.4</v>
      </c>
      <c r="AH111" s="196">
        <v>41927</v>
      </c>
      <c r="AI111" s="176">
        <v>135</v>
      </c>
      <c r="AM111" s="176">
        <v>80</v>
      </c>
      <c r="BG111" s="201">
        <v>0</v>
      </c>
      <c r="BI111" s="201">
        <v>4.4000000000000004</v>
      </c>
      <c r="BK111" s="201">
        <v>1.7</v>
      </c>
      <c r="BM111" s="201">
        <v>62.5</v>
      </c>
      <c r="BO111" s="201">
        <v>19.2</v>
      </c>
      <c r="BQ111" s="201">
        <v>8.6</v>
      </c>
      <c r="BS111" s="201">
        <v>52.4</v>
      </c>
      <c r="BU111" s="201">
        <v>16.100000000000001</v>
      </c>
      <c r="BW111" s="201">
        <v>6.2</v>
      </c>
      <c r="BY111" s="178">
        <v>6.7999999999999972</v>
      </c>
      <c r="CC111" s="201">
        <v>6.5</v>
      </c>
      <c r="CD111" s="198">
        <v>41822</v>
      </c>
      <c r="CI111" s="174" t="s">
        <v>9354</v>
      </c>
      <c r="CL111" s="174">
        <v>3</v>
      </c>
    </row>
    <row r="112" spans="1:90">
      <c r="A112" s="191" t="s">
        <v>7897</v>
      </c>
      <c r="B112" s="192" t="s">
        <v>269</v>
      </c>
      <c r="C112" s="192" t="s">
        <v>417</v>
      </c>
      <c r="D112" s="192" t="s">
        <v>8965</v>
      </c>
      <c r="E112" s="193">
        <v>223</v>
      </c>
      <c r="F112" s="193">
        <v>3</v>
      </c>
      <c r="K112" s="176">
        <v>8</v>
      </c>
      <c r="M112" s="197">
        <v>3.45</v>
      </c>
      <c r="N112" s="198">
        <v>41822</v>
      </c>
      <c r="S112" s="176">
        <f>(AE112*BS112)/100</f>
        <v>11.160429385429387</v>
      </c>
      <c r="T112" s="198"/>
      <c r="U112" s="176">
        <v>16.2</v>
      </c>
      <c r="Y112" s="200">
        <f>(AE112*BU112)/100</f>
        <v>3.6840252340252344</v>
      </c>
      <c r="Z112" s="198"/>
      <c r="AA112" s="200"/>
      <c r="AB112" s="198"/>
      <c r="AC112" s="378">
        <f t="shared" si="1"/>
        <v>19.720370370370372</v>
      </c>
      <c r="AE112" s="176">
        <f>(M112/U112)*((100-CC112)/(100-9))*100</f>
        <v>21.670736670736673</v>
      </c>
      <c r="AF112" s="198">
        <v>41822</v>
      </c>
      <c r="AG112" s="176">
        <v>4.9000000000000004</v>
      </c>
      <c r="AH112" s="196">
        <v>41927</v>
      </c>
      <c r="AI112" s="176">
        <v>145</v>
      </c>
      <c r="AM112" s="176">
        <v>78</v>
      </c>
      <c r="BG112" s="201">
        <v>0</v>
      </c>
      <c r="BI112" s="201">
        <v>4.5</v>
      </c>
      <c r="BK112" s="201">
        <v>1.6</v>
      </c>
      <c r="BM112" s="201">
        <v>62</v>
      </c>
      <c r="BO112" s="201">
        <v>19.2</v>
      </c>
      <c r="BQ112" s="201">
        <v>9.3000000000000007</v>
      </c>
      <c r="BS112" s="201">
        <v>51.5</v>
      </c>
      <c r="BU112" s="201">
        <v>17</v>
      </c>
      <c r="BW112" s="201">
        <v>16.899999999999999</v>
      </c>
      <c r="BY112" s="178">
        <v>7</v>
      </c>
      <c r="CC112" s="201">
        <v>7.4</v>
      </c>
      <c r="CD112" s="198">
        <v>41822</v>
      </c>
      <c r="CI112" s="174" t="s">
        <v>9339</v>
      </c>
      <c r="CL112" s="174">
        <v>1</v>
      </c>
    </row>
    <row r="113" spans="1:91">
      <c r="A113" s="191" t="s">
        <v>7719</v>
      </c>
      <c r="B113" s="192" t="s">
        <v>269</v>
      </c>
      <c r="C113" s="192" t="s">
        <v>417</v>
      </c>
      <c r="D113" s="192" t="s">
        <v>8569</v>
      </c>
      <c r="E113" s="193">
        <v>223</v>
      </c>
      <c r="F113" s="193">
        <v>4</v>
      </c>
      <c r="K113" s="176">
        <v>7</v>
      </c>
      <c r="M113" s="197">
        <v>2.25</v>
      </c>
      <c r="N113" s="198">
        <v>41822</v>
      </c>
      <c r="S113" s="176">
        <f>(AE113*BS113)/100</f>
        <v>7.2428113553113542</v>
      </c>
      <c r="T113" s="198"/>
      <c r="U113" s="176">
        <v>16.2</v>
      </c>
      <c r="Y113" s="200">
        <f>(AE113*BU113)/100</f>
        <v>2.4965201465201461</v>
      </c>
      <c r="Z113" s="198"/>
      <c r="AA113" s="200"/>
      <c r="AB113" s="198"/>
      <c r="AC113" s="378">
        <f t="shared" si="1"/>
        <v>13.208333333333334</v>
      </c>
      <c r="AE113" s="176">
        <f>(M113/U113)*((100-CC113)/(100-9))*100</f>
        <v>14.514652014652013</v>
      </c>
      <c r="AF113" s="198">
        <v>41822</v>
      </c>
      <c r="AG113" s="176">
        <v>4.5999999999999996</v>
      </c>
      <c r="AH113" s="196">
        <v>41927</v>
      </c>
      <c r="AI113" s="176">
        <v>120</v>
      </c>
      <c r="AM113" s="176">
        <v>80</v>
      </c>
      <c r="BG113" s="201">
        <v>4.0999999999999996</v>
      </c>
      <c r="BI113" s="201">
        <v>4.7</v>
      </c>
      <c r="BK113" s="201">
        <v>1.5</v>
      </c>
      <c r="BM113" s="201">
        <v>61.3</v>
      </c>
      <c r="BO113" s="201">
        <v>21.1</v>
      </c>
      <c r="BQ113" s="201">
        <v>9</v>
      </c>
      <c r="BS113" s="201">
        <v>49.9</v>
      </c>
      <c r="BU113" s="201">
        <v>17.2</v>
      </c>
      <c r="BW113" s="201">
        <v>19.600000000000001</v>
      </c>
      <c r="BY113" s="178">
        <v>6.4000000000000057</v>
      </c>
      <c r="CC113" s="201">
        <v>4.9000000000000004</v>
      </c>
      <c r="CD113" s="198">
        <v>41822</v>
      </c>
      <c r="CI113" s="174" t="s">
        <v>9382</v>
      </c>
      <c r="CL113" s="174">
        <v>6</v>
      </c>
    </row>
    <row r="114" spans="1:91" s="181" customFormat="1">
      <c r="A114" s="191" t="s">
        <v>7797</v>
      </c>
      <c r="B114" s="192" t="s">
        <v>269</v>
      </c>
      <c r="C114" s="192" t="s">
        <v>417</v>
      </c>
      <c r="D114" s="192" t="s">
        <v>8881</v>
      </c>
      <c r="E114" s="193">
        <v>223</v>
      </c>
      <c r="F114" s="193">
        <v>5</v>
      </c>
      <c r="G114" s="193"/>
      <c r="H114" s="193"/>
      <c r="I114" s="195"/>
      <c r="J114" s="195"/>
      <c r="K114" s="176">
        <v>7</v>
      </c>
      <c r="L114" s="196"/>
      <c r="M114" s="197">
        <v>4.6500000000000004</v>
      </c>
      <c r="N114" s="198">
        <v>41822</v>
      </c>
      <c r="O114" s="180"/>
      <c r="P114" s="199"/>
      <c r="Q114" s="180"/>
      <c r="R114" s="199"/>
      <c r="S114" s="176">
        <f>(AE114*BS114)/100</f>
        <v>15.115054945054949</v>
      </c>
      <c r="T114" s="198"/>
      <c r="U114" s="176">
        <v>16.2</v>
      </c>
      <c r="V114" s="199"/>
      <c r="W114" s="180"/>
      <c r="X114" s="199"/>
      <c r="Y114" s="200">
        <f>(AE114*BU114)/100</f>
        <v>4.5460989010989019</v>
      </c>
      <c r="Z114" s="198"/>
      <c r="AA114" s="200"/>
      <c r="AB114" s="198"/>
      <c r="AC114" s="378">
        <f t="shared" si="1"/>
        <v>26.350000000000005</v>
      </c>
      <c r="AD114" s="196"/>
      <c r="AE114" s="176">
        <f>(M114/U114)*((100-CC114)/(100-9))*100</f>
        <v>28.95604395604396</v>
      </c>
      <c r="AF114" s="198">
        <v>41822</v>
      </c>
      <c r="AG114" s="176">
        <v>4.5</v>
      </c>
      <c r="AH114" s="196">
        <v>41927</v>
      </c>
      <c r="AI114" s="176">
        <v>165</v>
      </c>
      <c r="AJ114" s="196"/>
      <c r="AK114" s="180"/>
      <c r="AL114" s="199"/>
      <c r="AM114" s="176">
        <v>79</v>
      </c>
      <c r="AN114" s="199"/>
      <c r="AO114" s="180"/>
      <c r="AP114" s="180"/>
      <c r="AQ114" s="180"/>
      <c r="AR114" s="180"/>
      <c r="AS114" s="180"/>
      <c r="AT114" s="180"/>
      <c r="AU114" s="180"/>
      <c r="AV114" s="180"/>
      <c r="AW114" s="180"/>
      <c r="AX114" s="180"/>
      <c r="AY114" s="180"/>
      <c r="AZ114" s="180"/>
      <c r="BA114" s="180"/>
      <c r="BB114" s="180"/>
      <c r="BC114" s="180"/>
      <c r="BD114" s="180"/>
      <c r="BE114" s="179"/>
      <c r="BF114" s="179"/>
      <c r="BG114" s="201">
        <v>0</v>
      </c>
      <c r="BH114" s="178"/>
      <c r="BI114" s="201">
        <v>4.9000000000000004</v>
      </c>
      <c r="BJ114" s="178"/>
      <c r="BK114" s="201">
        <v>1.7</v>
      </c>
      <c r="BL114" s="178"/>
      <c r="BM114" s="201">
        <v>65.2</v>
      </c>
      <c r="BN114" s="178"/>
      <c r="BO114" s="201">
        <v>20.7</v>
      </c>
      <c r="BP114" s="178"/>
      <c r="BQ114" s="201">
        <v>7.3</v>
      </c>
      <c r="BR114" s="178"/>
      <c r="BS114" s="201">
        <v>52.2</v>
      </c>
      <c r="BT114" s="178"/>
      <c r="BU114" s="201">
        <v>15.7</v>
      </c>
      <c r="BV114" s="178"/>
      <c r="BW114" s="201">
        <v>9.1999999999999993</v>
      </c>
      <c r="BX114" s="178"/>
      <c r="BY114" s="178">
        <v>7.5</v>
      </c>
      <c r="BZ114" s="178"/>
      <c r="CA114" s="179"/>
      <c r="CB114" s="179"/>
      <c r="CC114" s="201">
        <v>8.1999999999999993</v>
      </c>
      <c r="CD114" s="198">
        <v>41822</v>
      </c>
      <c r="CE114" s="178"/>
      <c r="CF114" s="178"/>
      <c r="CG114" s="179"/>
      <c r="CH114" s="179"/>
      <c r="CI114" s="174" t="s">
        <v>9362</v>
      </c>
      <c r="CJ114" s="178"/>
      <c r="CK114" s="178"/>
      <c r="CL114" s="174">
        <v>1</v>
      </c>
      <c r="CM114" s="174"/>
    </row>
    <row r="115" spans="1:91" s="181" customFormat="1">
      <c r="A115" s="191" t="s">
        <v>7720</v>
      </c>
      <c r="B115" s="192" t="s">
        <v>269</v>
      </c>
      <c r="C115" s="192" t="s">
        <v>417</v>
      </c>
      <c r="D115" s="192" t="s">
        <v>8573</v>
      </c>
      <c r="E115" s="193">
        <v>223</v>
      </c>
      <c r="F115" s="193">
        <v>6</v>
      </c>
      <c r="G115" s="193"/>
      <c r="H115" s="193"/>
      <c r="I115" s="195"/>
      <c r="J115" s="195"/>
      <c r="K115" s="176">
        <v>7</v>
      </c>
      <c r="L115" s="196"/>
      <c r="M115" s="197">
        <v>4.95</v>
      </c>
      <c r="N115" s="198">
        <v>41822</v>
      </c>
      <c r="O115" s="180"/>
      <c r="P115" s="199"/>
      <c r="Q115" s="180"/>
      <c r="R115" s="199"/>
      <c r="S115" s="176">
        <f>(AE115*BS115)/100</f>
        <v>16.053888888888888</v>
      </c>
      <c r="T115" s="198"/>
      <c r="U115" s="176">
        <v>16.2</v>
      </c>
      <c r="V115" s="199"/>
      <c r="W115" s="180"/>
      <c r="X115" s="199"/>
      <c r="Y115" s="200">
        <f>(AE115*BU115)/100</f>
        <v>5.0826984126984129</v>
      </c>
      <c r="Z115" s="198"/>
      <c r="AA115" s="200"/>
      <c r="AB115" s="198"/>
      <c r="AC115" s="378">
        <f t="shared" si="1"/>
        <v>28.202777777777779</v>
      </c>
      <c r="AD115" s="196"/>
      <c r="AE115" s="176">
        <f>(M115/U115)*((100-CC115)/(100-9))*100</f>
        <v>30.992063492063494</v>
      </c>
      <c r="AF115" s="198">
        <v>41822</v>
      </c>
      <c r="AG115" s="176">
        <v>4.9000000000000004</v>
      </c>
      <c r="AH115" s="196">
        <v>41927</v>
      </c>
      <c r="AI115" s="176">
        <v>130</v>
      </c>
      <c r="AJ115" s="196"/>
      <c r="AK115" s="180"/>
      <c r="AL115" s="199"/>
      <c r="AM115" s="176">
        <v>82</v>
      </c>
      <c r="AN115" s="199"/>
      <c r="AO115" s="180"/>
      <c r="AP115" s="180"/>
      <c r="AQ115" s="180"/>
      <c r="AR115" s="180"/>
      <c r="AS115" s="180"/>
      <c r="AT115" s="180"/>
      <c r="AU115" s="180"/>
      <c r="AV115" s="180"/>
      <c r="AW115" s="180"/>
      <c r="AX115" s="180"/>
      <c r="AY115" s="180"/>
      <c r="AZ115" s="180"/>
      <c r="BA115" s="180"/>
      <c r="BB115" s="180"/>
      <c r="BC115" s="180"/>
      <c r="BD115" s="180"/>
      <c r="BE115" s="179"/>
      <c r="BF115" s="179"/>
      <c r="BG115" s="201">
        <v>0</v>
      </c>
      <c r="BH115" s="178"/>
      <c r="BI115" s="201">
        <v>4.5999999999999996</v>
      </c>
      <c r="BJ115" s="178"/>
      <c r="BK115" s="201">
        <v>1.6</v>
      </c>
      <c r="BL115" s="178"/>
      <c r="BM115" s="201">
        <v>63.7</v>
      </c>
      <c r="BN115" s="178"/>
      <c r="BO115" s="201">
        <v>17.600000000000001</v>
      </c>
      <c r="BP115" s="178"/>
      <c r="BQ115" s="201">
        <v>8.3000000000000007</v>
      </c>
      <c r="BR115" s="178"/>
      <c r="BS115" s="201">
        <v>51.8</v>
      </c>
      <c r="BT115" s="178"/>
      <c r="BU115" s="201">
        <v>16.399999999999999</v>
      </c>
      <c r="BV115" s="178"/>
      <c r="BW115" s="201">
        <v>21</v>
      </c>
      <c r="BX115" s="178"/>
      <c r="BY115" s="178">
        <v>7</v>
      </c>
      <c r="BZ115" s="178"/>
      <c r="CA115" s="179"/>
      <c r="CB115" s="179"/>
      <c r="CC115" s="201">
        <v>7.7</v>
      </c>
      <c r="CD115" s="198">
        <v>41822</v>
      </c>
      <c r="CE115" s="178"/>
      <c r="CF115" s="178"/>
      <c r="CG115" s="179"/>
      <c r="CH115" s="179"/>
      <c r="CI115" s="174" t="s">
        <v>9375</v>
      </c>
      <c r="CJ115" s="178"/>
      <c r="CK115" s="178"/>
      <c r="CL115" s="174">
        <v>1</v>
      </c>
      <c r="CM115" s="174"/>
    </row>
    <row r="116" spans="1:91" s="181" customFormat="1">
      <c r="A116" s="191" t="s">
        <v>7719</v>
      </c>
      <c r="B116" s="192" t="s">
        <v>271</v>
      </c>
      <c r="C116" s="192" t="s">
        <v>8998</v>
      </c>
      <c r="D116" s="192" t="s">
        <v>8571</v>
      </c>
      <c r="E116" s="193">
        <v>223</v>
      </c>
      <c r="F116" s="193">
        <v>7</v>
      </c>
      <c r="G116" s="193"/>
      <c r="H116" s="193"/>
      <c r="I116" s="195"/>
      <c r="J116" s="195"/>
      <c r="K116" s="176">
        <v>8</v>
      </c>
      <c r="L116" s="196"/>
      <c r="M116" s="197">
        <v>4.55</v>
      </c>
      <c r="N116" s="198">
        <v>41822</v>
      </c>
      <c r="O116" s="180"/>
      <c r="P116" s="199"/>
      <c r="Q116" s="180"/>
      <c r="R116" s="199"/>
      <c r="S116" s="176">
        <f>(AE116*BS116)/100</f>
        <v>14.164382716049388</v>
      </c>
      <c r="T116" s="198"/>
      <c r="U116" s="176">
        <v>16.2</v>
      </c>
      <c r="V116" s="199"/>
      <c r="W116" s="180"/>
      <c r="X116" s="199"/>
      <c r="Y116" s="200">
        <f>(AE116*BU116)/100</f>
        <v>5.0750925925925943</v>
      </c>
      <c r="Z116" s="198"/>
      <c r="AA116" s="200"/>
      <c r="AB116" s="198"/>
      <c r="AC116" s="378">
        <f t="shared" si="1"/>
        <v>26.092283950617286</v>
      </c>
      <c r="AD116" s="196"/>
      <c r="AE116" s="176">
        <f>(M116/U116)*((100-CC116)/(100-9))*100</f>
        <v>28.672839506172849</v>
      </c>
      <c r="AF116" s="198">
        <v>41822</v>
      </c>
      <c r="AG116" s="176">
        <v>4.4000000000000004</v>
      </c>
      <c r="AH116" s="196">
        <v>41927</v>
      </c>
      <c r="AI116" s="176">
        <v>120</v>
      </c>
      <c r="AJ116" s="196"/>
      <c r="AK116" s="180"/>
      <c r="AL116" s="199"/>
      <c r="AM116" s="176">
        <v>82</v>
      </c>
      <c r="AN116" s="199"/>
      <c r="AO116" s="180"/>
      <c r="AP116" s="180"/>
      <c r="AQ116" s="180"/>
      <c r="AR116" s="180"/>
      <c r="AS116" s="180"/>
      <c r="AT116" s="180"/>
      <c r="AU116" s="180"/>
      <c r="AV116" s="180"/>
      <c r="AW116" s="180"/>
      <c r="AX116" s="180"/>
      <c r="AY116" s="180"/>
      <c r="AZ116" s="180"/>
      <c r="BA116" s="180"/>
      <c r="BB116" s="180"/>
      <c r="BC116" s="180"/>
      <c r="BD116" s="180"/>
      <c r="BE116" s="179"/>
      <c r="BF116" s="179"/>
      <c r="BG116" s="201">
        <v>0.5</v>
      </c>
      <c r="BH116" s="178"/>
      <c r="BI116" s="201">
        <v>4.5999999999999996</v>
      </c>
      <c r="BJ116" s="178"/>
      <c r="BK116" s="201">
        <v>1.6</v>
      </c>
      <c r="BL116" s="178"/>
      <c r="BM116" s="201">
        <v>63</v>
      </c>
      <c r="BN116" s="178"/>
      <c r="BO116" s="201">
        <v>22</v>
      </c>
      <c r="BP116" s="178"/>
      <c r="BQ116" s="201">
        <v>7.4</v>
      </c>
      <c r="BR116" s="178"/>
      <c r="BS116" s="201">
        <v>49.4</v>
      </c>
      <c r="BT116" s="178"/>
      <c r="BU116" s="201">
        <v>17.7</v>
      </c>
      <c r="BV116" s="178"/>
      <c r="BW116" s="201">
        <v>16.5</v>
      </c>
      <c r="BX116" s="178"/>
      <c r="BY116" s="178">
        <v>6.5</v>
      </c>
      <c r="BZ116" s="178"/>
      <c r="CA116" s="179"/>
      <c r="CB116" s="179"/>
      <c r="CC116" s="201">
        <v>7.1</v>
      </c>
      <c r="CD116" s="198">
        <v>41822</v>
      </c>
      <c r="CE116" s="178"/>
      <c r="CF116" s="178"/>
      <c r="CG116" s="179"/>
      <c r="CH116" s="179"/>
      <c r="CI116" s="174" t="s">
        <v>9349</v>
      </c>
      <c r="CJ116" s="178"/>
      <c r="CK116" s="178"/>
      <c r="CL116" s="174">
        <v>1</v>
      </c>
      <c r="CM116" s="174"/>
    </row>
    <row r="117" spans="1:91" s="181" customFormat="1">
      <c r="A117" s="191" t="s">
        <v>7640</v>
      </c>
      <c r="B117" s="192" t="s">
        <v>271</v>
      </c>
      <c r="C117" s="192" t="s">
        <v>8998</v>
      </c>
      <c r="D117" s="192" t="s">
        <v>8255</v>
      </c>
      <c r="E117" s="193">
        <v>223</v>
      </c>
      <c r="F117" s="193">
        <v>8</v>
      </c>
      <c r="G117" s="193"/>
      <c r="H117" s="193"/>
      <c r="I117" s="195"/>
      <c r="J117" s="195"/>
      <c r="K117" s="176">
        <v>8</v>
      </c>
      <c r="L117" s="196"/>
      <c r="M117" s="197">
        <v>6.7</v>
      </c>
      <c r="N117" s="198">
        <v>41822</v>
      </c>
      <c r="O117" s="180"/>
      <c r="P117" s="199"/>
      <c r="Q117" s="180"/>
      <c r="R117" s="199"/>
      <c r="S117" s="176">
        <f>(AE117*BS117)/100</f>
        <v>22.606932573599238</v>
      </c>
      <c r="T117" s="198"/>
      <c r="U117" s="176">
        <v>16.2</v>
      </c>
      <c r="V117" s="199"/>
      <c r="W117" s="180"/>
      <c r="X117" s="199"/>
      <c r="Y117" s="200">
        <f>(AE117*BU117)/100</f>
        <v>7.224019807353141</v>
      </c>
      <c r="Z117" s="198"/>
      <c r="AA117" s="200"/>
      <c r="AB117" s="198"/>
      <c r="AC117" s="378">
        <f t="shared" si="1"/>
        <v>38.669753086419753</v>
      </c>
      <c r="AD117" s="196"/>
      <c r="AE117" s="176">
        <f>(M117/U117)*((100-CC117)/(100-9))*100</f>
        <v>42.494234160900824</v>
      </c>
      <c r="AF117" s="198">
        <v>41822</v>
      </c>
      <c r="AG117" s="176">
        <v>5</v>
      </c>
      <c r="AH117" s="196">
        <v>41927</v>
      </c>
      <c r="AI117" s="176">
        <v>160</v>
      </c>
      <c r="AJ117" s="196"/>
      <c r="AK117" s="180"/>
      <c r="AL117" s="199"/>
      <c r="AM117" s="176">
        <v>83</v>
      </c>
      <c r="AN117" s="199"/>
      <c r="AO117" s="180"/>
      <c r="AP117" s="180"/>
      <c r="AQ117" s="180"/>
      <c r="AR117" s="180"/>
      <c r="AS117" s="180"/>
      <c r="AT117" s="180"/>
      <c r="AU117" s="180"/>
      <c r="AV117" s="180"/>
      <c r="AW117" s="180"/>
      <c r="AX117" s="180"/>
      <c r="AY117" s="180"/>
      <c r="AZ117" s="180"/>
      <c r="BA117" s="180"/>
      <c r="BB117" s="180"/>
      <c r="BC117" s="180"/>
      <c r="BD117" s="180"/>
      <c r="BE117" s="179"/>
      <c r="BF117" s="179"/>
      <c r="BG117" s="201">
        <v>50.5</v>
      </c>
      <c r="BH117" s="178"/>
      <c r="BI117" s="201">
        <v>3.9</v>
      </c>
      <c r="BJ117" s="178"/>
      <c r="BK117" s="201">
        <v>1</v>
      </c>
      <c r="BL117" s="178"/>
      <c r="BM117" s="201">
        <v>23</v>
      </c>
      <c r="BN117" s="178"/>
      <c r="BO117" s="201">
        <v>16.7</v>
      </c>
      <c r="BP117" s="178"/>
      <c r="BQ117" s="201">
        <v>7.1</v>
      </c>
      <c r="BR117" s="178"/>
      <c r="BS117" s="201">
        <v>53.2</v>
      </c>
      <c r="BT117" s="178"/>
      <c r="BU117" s="201">
        <v>17</v>
      </c>
      <c r="BV117" s="178"/>
      <c r="BW117" s="201">
        <v>15</v>
      </c>
      <c r="BX117" s="178"/>
      <c r="BY117" s="178">
        <v>5.7999999999999972</v>
      </c>
      <c r="BZ117" s="178"/>
      <c r="CA117" s="179"/>
      <c r="CB117" s="179"/>
      <c r="CC117" s="201">
        <v>6.5</v>
      </c>
      <c r="CD117" s="198">
        <v>41822</v>
      </c>
      <c r="CE117" s="178"/>
      <c r="CF117" s="178"/>
      <c r="CG117" s="179"/>
      <c r="CH117" s="179"/>
      <c r="CI117" s="174" t="s">
        <v>9349</v>
      </c>
      <c r="CJ117" s="178"/>
      <c r="CK117" s="178"/>
      <c r="CL117" s="174">
        <v>3</v>
      </c>
      <c r="CM117" s="174"/>
    </row>
    <row r="118" spans="1:91">
      <c r="A118" s="191" t="s">
        <v>7632</v>
      </c>
      <c r="B118" s="192" t="s">
        <v>271</v>
      </c>
      <c r="C118" s="192" t="s">
        <v>8998</v>
      </c>
      <c r="D118" s="192" t="s">
        <v>8223</v>
      </c>
      <c r="E118" s="193">
        <v>223</v>
      </c>
      <c r="F118" s="193">
        <v>9</v>
      </c>
      <c r="I118" s="184"/>
      <c r="K118" s="176">
        <v>8</v>
      </c>
      <c r="M118" s="197">
        <v>3.45</v>
      </c>
      <c r="N118" s="198">
        <v>41822</v>
      </c>
      <c r="O118" s="179"/>
      <c r="S118" s="176">
        <f>(AE118*BS118)/100</f>
        <v>10.185527065527065</v>
      </c>
      <c r="T118" s="198"/>
      <c r="U118" s="176">
        <v>16.2</v>
      </c>
      <c r="Y118" s="200">
        <f>(AE118*BU118)/100</f>
        <v>4.5172486772486771</v>
      </c>
      <c r="Z118" s="198"/>
      <c r="AA118" s="200"/>
      <c r="AB118" s="198"/>
      <c r="AC118" s="378">
        <f t="shared" si="1"/>
        <v>19.762962962962966</v>
      </c>
      <c r="AE118" s="176">
        <f>(M118/U118)*((100-CC118)/(100-9))*100</f>
        <v>21.717541717541717</v>
      </c>
      <c r="AF118" s="198">
        <v>41822</v>
      </c>
      <c r="AG118" s="176">
        <v>5</v>
      </c>
      <c r="AH118" s="196">
        <v>41927</v>
      </c>
      <c r="AI118" s="176">
        <v>140</v>
      </c>
      <c r="AM118" s="176">
        <v>85</v>
      </c>
      <c r="BG118" s="201">
        <v>8.1999999999999993</v>
      </c>
      <c r="BI118" s="201">
        <v>4.4000000000000004</v>
      </c>
      <c r="BK118" s="201">
        <v>1.4</v>
      </c>
      <c r="BM118" s="201">
        <v>66.099999999999994</v>
      </c>
      <c r="BO118" s="201">
        <v>18.8</v>
      </c>
      <c r="BQ118" s="201">
        <v>8.5</v>
      </c>
      <c r="BS118" s="201">
        <v>46.9</v>
      </c>
      <c r="BU118" s="201">
        <v>20.8</v>
      </c>
      <c r="BW118" s="201">
        <v>51.3</v>
      </c>
      <c r="BY118" s="178">
        <v>6.7999999999999972</v>
      </c>
      <c r="CC118" s="201">
        <v>7.2</v>
      </c>
      <c r="CD118" s="198">
        <v>41822</v>
      </c>
      <c r="CI118" s="174" t="s">
        <v>9355</v>
      </c>
      <c r="CL118" s="174">
        <v>1</v>
      </c>
    </row>
    <row r="119" spans="1:91">
      <c r="A119" s="191" t="s">
        <v>7658</v>
      </c>
      <c r="B119" s="192" t="s">
        <v>271</v>
      </c>
      <c r="C119" s="192" t="s">
        <v>8998</v>
      </c>
      <c r="D119" s="192" t="s">
        <v>8327</v>
      </c>
      <c r="E119" s="193">
        <v>223</v>
      </c>
      <c r="F119" s="193">
        <v>10</v>
      </c>
      <c r="K119" s="176">
        <v>6</v>
      </c>
      <c r="M119" s="197">
        <v>4.45</v>
      </c>
      <c r="N119" s="198">
        <v>41822</v>
      </c>
      <c r="S119" s="176">
        <f>(AE119*BS119)/100</f>
        <v>13.292737416904082</v>
      </c>
      <c r="T119" s="198"/>
      <c r="U119" s="176">
        <v>16.2</v>
      </c>
      <c r="Y119" s="200">
        <f>(AE119*BU119)/100</f>
        <v>5.3957834757834746</v>
      </c>
      <c r="Z119" s="198"/>
      <c r="AA119" s="200"/>
      <c r="AB119" s="198"/>
      <c r="AC119" s="378">
        <f t="shared" si="1"/>
        <v>25.573765432098764</v>
      </c>
      <c r="AE119" s="176">
        <f>(M119/U119)*((100-CC119)/(100-9))*100</f>
        <v>28.103038936372265</v>
      </c>
      <c r="AF119" s="198">
        <v>41822</v>
      </c>
      <c r="AG119" s="176">
        <v>4.9000000000000004</v>
      </c>
      <c r="AH119" s="196">
        <v>41927</v>
      </c>
      <c r="AI119" s="176">
        <v>125</v>
      </c>
      <c r="AM119" s="176">
        <v>78</v>
      </c>
      <c r="BG119" s="201">
        <v>4.8</v>
      </c>
      <c r="BI119" s="201">
        <v>4.7</v>
      </c>
      <c r="BK119" s="201">
        <v>1.5</v>
      </c>
      <c r="BM119" s="201">
        <v>64.3</v>
      </c>
      <c r="BO119" s="201">
        <v>20.399999999999999</v>
      </c>
      <c r="BQ119" s="201">
        <v>8.5</v>
      </c>
      <c r="BS119" s="201">
        <v>47.3</v>
      </c>
      <c r="BU119" s="201">
        <v>19.2</v>
      </c>
      <c r="BW119" s="201">
        <v>54.6</v>
      </c>
      <c r="BY119" s="178">
        <v>6.7000000000000028</v>
      </c>
      <c r="CC119" s="201">
        <v>6.9</v>
      </c>
      <c r="CD119" s="198">
        <v>41822</v>
      </c>
      <c r="CI119" s="174" t="s">
        <v>9351</v>
      </c>
      <c r="CL119" s="174">
        <v>2</v>
      </c>
    </row>
    <row r="120" spans="1:91">
      <c r="A120" s="191" t="s">
        <v>7615</v>
      </c>
      <c r="B120" s="192" t="s">
        <v>271</v>
      </c>
      <c r="C120" s="192" t="s">
        <v>8998</v>
      </c>
      <c r="D120" s="192" t="s">
        <v>8155</v>
      </c>
      <c r="E120" s="193">
        <v>223</v>
      </c>
      <c r="F120" s="193">
        <v>11</v>
      </c>
      <c r="I120" s="184"/>
      <c r="K120" s="176">
        <v>6</v>
      </c>
      <c r="M120" s="197">
        <v>2.5499999999999998</v>
      </c>
      <c r="N120" s="198">
        <v>41822</v>
      </c>
      <c r="O120" s="179"/>
      <c r="S120" s="176">
        <f>(AE120*BS120)/100</f>
        <v>7.2964387464387475</v>
      </c>
      <c r="T120" s="198"/>
      <c r="U120" s="176">
        <v>16.2</v>
      </c>
      <c r="Y120" s="200">
        <f>(AE120*BU120)/100</f>
        <v>3.4896011396011399</v>
      </c>
      <c r="Z120" s="198"/>
      <c r="AA120" s="200"/>
      <c r="AB120" s="198"/>
      <c r="AC120" s="378">
        <f t="shared" si="1"/>
        <v>14.43425925925926</v>
      </c>
      <c r="AE120" s="176">
        <f>(M120/U120)*((100-CC120)/(100-9))*100</f>
        <v>15.861823361823363</v>
      </c>
      <c r="AF120" s="198">
        <v>41822</v>
      </c>
      <c r="AG120" s="176">
        <v>5.2</v>
      </c>
      <c r="AH120" s="196">
        <v>41927</v>
      </c>
      <c r="AI120" s="176">
        <v>165</v>
      </c>
      <c r="AM120" s="176">
        <v>82</v>
      </c>
      <c r="BG120" s="201">
        <v>42.1</v>
      </c>
      <c r="BI120" s="201">
        <v>4.2</v>
      </c>
      <c r="BK120" s="201">
        <v>0.9</v>
      </c>
      <c r="BM120" s="201">
        <v>35.4</v>
      </c>
      <c r="BO120" s="201">
        <v>16.7</v>
      </c>
      <c r="BQ120" s="201">
        <v>9.3000000000000007</v>
      </c>
      <c r="BS120" s="201">
        <v>46</v>
      </c>
      <c r="BU120" s="201">
        <v>22</v>
      </c>
      <c r="BW120" s="201">
        <v>90</v>
      </c>
      <c r="BY120" s="178">
        <v>6.5999999999999943</v>
      </c>
      <c r="CC120" s="201">
        <v>8.3000000000000007</v>
      </c>
      <c r="CD120" s="198">
        <v>41822</v>
      </c>
      <c r="CI120" s="174" t="s">
        <v>9355</v>
      </c>
      <c r="CL120" s="174">
        <v>7</v>
      </c>
    </row>
    <row r="121" spans="1:91">
      <c r="A121" s="191" t="s">
        <v>7650</v>
      </c>
      <c r="B121" s="192" t="s">
        <v>271</v>
      </c>
      <c r="C121" s="192" t="s">
        <v>8998</v>
      </c>
      <c r="D121" s="192" t="s">
        <v>8295</v>
      </c>
      <c r="E121" s="193">
        <v>223</v>
      </c>
      <c r="F121" s="193">
        <v>12</v>
      </c>
      <c r="K121" s="176">
        <v>6</v>
      </c>
      <c r="M121" s="197">
        <v>3.2</v>
      </c>
      <c r="N121" s="198">
        <v>41822</v>
      </c>
      <c r="S121" s="176">
        <f>(AE121*BS121)/100</f>
        <v>8.877644824311492</v>
      </c>
      <c r="T121" s="198"/>
      <c r="U121" s="176">
        <v>16.2</v>
      </c>
      <c r="Y121" s="200">
        <f>(AE121*BU121)/100</f>
        <v>4.4587274453941124</v>
      </c>
      <c r="Z121" s="198"/>
      <c r="AA121" s="200"/>
      <c r="AB121" s="198"/>
      <c r="AC121" s="378">
        <f t="shared" si="1"/>
        <v>18.113580246913582</v>
      </c>
      <c r="AE121" s="176">
        <f>(M121/U121)*((100-CC121)/(100-9))*100</f>
        <v>19.905033238366574</v>
      </c>
      <c r="AF121" s="198">
        <v>41822</v>
      </c>
      <c r="AG121" s="176">
        <v>5.7</v>
      </c>
      <c r="AH121" s="196">
        <v>41927</v>
      </c>
      <c r="AI121" s="176">
        <v>120</v>
      </c>
      <c r="AM121" s="176">
        <v>78</v>
      </c>
      <c r="BG121" s="201">
        <v>1</v>
      </c>
      <c r="BI121" s="201">
        <v>4.3</v>
      </c>
      <c r="BK121" s="201">
        <v>1.5</v>
      </c>
      <c r="BM121" s="201">
        <v>61.4</v>
      </c>
      <c r="BO121" s="201">
        <v>20.8</v>
      </c>
      <c r="BQ121" s="201">
        <v>10.5</v>
      </c>
      <c r="BS121" s="201">
        <v>44.6</v>
      </c>
      <c r="BU121" s="201">
        <v>22.4</v>
      </c>
      <c r="BW121" s="201">
        <v>25.4</v>
      </c>
      <c r="BY121" s="178">
        <v>7</v>
      </c>
      <c r="CC121" s="201">
        <v>8.3000000000000007</v>
      </c>
      <c r="CD121" s="198">
        <v>41822</v>
      </c>
      <c r="CI121" s="174" t="s">
        <v>9347</v>
      </c>
      <c r="CL121" s="174">
        <v>9</v>
      </c>
    </row>
    <row r="122" spans="1:91">
      <c r="A122" s="191" t="s">
        <v>7792</v>
      </c>
      <c r="B122" s="192" t="s">
        <v>269</v>
      </c>
      <c r="C122" s="192" t="s">
        <v>417</v>
      </c>
      <c r="D122" s="192" t="s">
        <v>8861</v>
      </c>
      <c r="E122" s="193">
        <v>224</v>
      </c>
      <c r="F122" s="193">
        <v>1</v>
      </c>
      <c r="K122" s="176">
        <v>6</v>
      </c>
      <c r="M122" s="197">
        <v>4.9000000000000004</v>
      </c>
      <c r="N122" s="198">
        <v>41822</v>
      </c>
      <c r="S122" s="176">
        <f>(AE122*BS122)/100</f>
        <v>15.983034188034189</v>
      </c>
      <c r="T122" s="198"/>
      <c r="U122" s="176">
        <v>16.2</v>
      </c>
      <c r="Y122" s="200">
        <f>(AE122*BU122)/100</f>
        <v>5.0456837606837608</v>
      </c>
      <c r="Z122" s="198"/>
      <c r="AA122" s="200"/>
      <c r="AB122" s="198"/>
      <c r="AC122" s="378">
        <f t="shared" si="1"/>
        <v>27.494444444444447</v>
      </c>
      <c r="AE122" s="176">
        <f>(M122/U122)*((100-CC122)/(100-9))*100</f>
        <v>30.213675213675216</v>
      </c>
      <c r="AF122" s="198">
        <v>41822</v>
      </c>
      <c r="AG122" s="176">
        <v>4.5999999999999996</v>
      </c>
      <c r="AH122" s="196">
        <v>41927</v>
      </c>
      <c r="AI122" s="176">
        <v>145</v>
      </c>
      <c r="AM122" s="176">
        <v>86</v>
      </c>
      <c r="BG122" s="201">
        <v>2.4</v>
      </c>
      <c r="BI122" s="201">
        <v>4.5999999999999996</v>
      </c>
      <c r="BK122" s="201">
        <v>1.7</v>
      </c>
      <c r="BM122" s="201">
        <v>62.7</v>
      </c>
      <c r="BO122" s="201">
        <v>20.399999999999999</v>
      </c>
      <c r="BQ122" s="201">
        <v>8.6999999999999993</v>
      </c>
      <c r="BS122" s="201">
        <v>52.9</v>
      </c>
      <c r="BU122" s="201">
        <v>16.7</v>
      </c>
      <c r="BW122" s="201">
        <v>5.4</v>
      </c>
      <c r="BY122" s="178">
        <v>7.5</v>
      </c>
      <c r="CC122" s="201">
        <v>9.1</v>
      </c>
      <c r="CD122" s="198">
        <v>41822</v>
      </c>
      <c r="CI122" s="174" t="s">
        <v>9340</v>
      </c>
      <c r="CL122" s="174">
        <v>1</v>
      </c>
    </row>
    <row r="123" spans="1:91">
      <c r="A123" s="191" t="s">
        <v>7626</v>
      </c>
      <c r="B123" s="192" t="s">
        <v>269</v>
      </c>
      <c r="C123" s="192" t="s">
        <v>417</v>
      </c>
      <c r="D123" s="192" t="s">
        <v>8197</v>
      </c>
      <c r="E123" s="193">
        <v>224</v>
      </c>
      <c r="F123" s="193">
        <v>2</v>
      </c>
      <c r="I123" s="184"/>
      <c r="K123" s="176">
        <v>8</v>
      </c>
      <c r="M123" s="197">
        <v>3.1</v>
      </c>
      <c r="N123" s="198">
        <v>41822</v>
      </c>
      <c r="O123" s="179"/>
      <c r="S123" s="176">
        <f>(AE123*BS123)/100</f>
        <v>9.8471577804911146</v>
      </c>
      <c r="T123" s="198"/>
      <c r="U123" s="176">
        <v>16.2</v>
      </c>
      <c r="Y123" s="200">
        <f>(AE123*BU123)/100</f>
        <v>3.4049111382444721</v>
      </c>
      <c r="Z123" s="198"/>
      <c r="AA123" s="200"/>
      <c r="AB123" s="198"/>
      <c r="AC123" s="378">
        <f t="shared" si="1"/>
        <v>17.60493827160494</v>
      </c>
      <c r="AE123" s="176">
        <f>(M123/U123)*((100-CC123)/(100-9))*100</f>
        <v>19.346086012752682</v>
      </c>
      <c r="AF123" s="198">
        <v>41822</v>
      </c>
      <c r="AG123" s="176">
        <v>4.8</v>
      </c>
      <c r="AH123" s="196">
        <v>41927</v>
      </c>
      <c r="AI123" s="176">
        <v>155</v>
      </c>
      <c r="AM123" s="176">
        <v>82</v>
      </c>
      <c r="BG123" s="201">
        <v>25.2</v>
      </c>
      <c r="BI123" s="201">
        <v>4.5</v>
      </c>
      <c r="BK123" s="201">
        <v>1.1000000000000001</v>
      </c>
      <c r="BM123" s="201">
        <v>43.5</v>
      </c>
      <c r="BO123" s="201">
        <v>17.3</v>
      </c>
      <c r="BQ123" s="201">
        <v>9.4</v>
      </c>
      <c r="BS123" s="201">
        <v>50.9</v>
      </c>
      <c r="BU123" s="201">
        <v>17.600000000000001</v>
      </c>
      <c r="BW123" s="201">
        <v>54.2</v>
      </c>
      <c r="BY123" s="178">
        <v>7</v>
      </c>
      <c r="CC123" s="201">
        <v>8</v>
      </c>
      <c r="CD123" s="198">
        <v>41822</v>
      </c>
      <c r="CI123" s="174" t="s">
        <v>9355</v>
      </c>
      <c r="CL123" s="174">
        <v>5</v>
      </c>
    </row>
    <row r="124" spans="1:91">
      <c r="A124" s="191" t="s">
        <v>7618</v>
      </c>
      <c r="B124" s="192" t="s">
        <v>269</v>
      </c>
      <c r="C124" s="192" t="s">
        <v>417</v>
      </c>
      <c r="D124" s="192" t="s">
        <v>8165</v>
      </c>
      <c r="E124" s="193">
        <v>224</v>
      </c>
      <c r="F124" s="193">
        <v>3</v>
      </c>
      <c r="I124" s="184"/>
      <c r="K124" s="176">
        <v>8</v>
      </c>
      <c r="M124" s="197">
        <v>2</v>
      </c>
      <c r="N124" s="198">
        <v>41822</v>
      </c>
      <c r="O124" s="179"/>
      <c r="S124" s="176">
        <f>(AE124*BS124)/100</f>
        <v>6.05934065934066</v>
      </c>
      <c r="T124" s="198"/>
      <c r="U124" s="176">
        <v>16.2</v>
      </c>
      <c r="Y124" s="200">
        <f>(AE124*BU124)/100</f>
        <v>2.3813458146791486</v>
      </c>
      <c r="Z124" s="198"/>
      <c r="AA124" s="200"/>
      <c r="AB124" s="198"/>
      <c r="AC124" s="378">
        <f t="shared" si="1"/>
        <v>11.345679012345681</v>
      </c>
      <c r="AE124" s="176">
        <f>(M124/U124)*((100-CC124)/(100-9))*100</f>
        <v>12.467779134445802</v>
      </c>
      <c r="AF124" s="198">
        <v>41822</v>
      </c>
      <c r="AG124" s="176">
        <v>4.8</v>
      </c>
      <c r="AH124" s="196">
        <v>41927</v>
      </c>
      <c r="AI124" s="176">
        <v>100</v>
      </c>
      <c r="AM124" s="176">
        <v>79</v>
      </c>
      <c r="BG124" s="201">
        <v>22.6</v>
      </c>
      <c r="BI124" s="201">
        <v>4.5</v>
      </c>
      <c r="BK124" s="201">
        <v>1.2</v>
      </c>
      <c r="BM124" s="201">
        <v>46.3</v>
      </c>
      <c r="BO124" s="201">
        <v>16.5</v>
      </c>
      <c r="BQ124" s="201">
        <v>9.1999999999999993</v>
      </c>
      <c r="BS124" s="201">
        <v>48.6</v>
      </c>
      <c r="BU124" s="201">
        <v>19.100000000000001</v>
      </c>
      <c r="BW124" s="201">
        <v>50.5</v>
      </c>
      <c r="BY124" s="178">
        <v>7.0999999999999943</v>
      </c>
      <c r="CC124" s="201">
        <v>8.1</v>
      </c>
      <c r="CD124" s="198">
        <v>41822</v>
      </c>
      <c r="CI124" s="174" t="s">
        <v>9349</v>
      </c>
      <c r="CL124" s="174">
        <v>7</v>
      </c>
    </row>
    <row r="125" spans="1:91">
      <c r="A125" s="191" t="s">
        <v>7765</v>
      </c>
      <c r="B125" s="192" t="s">
        <v>269</v>
      </c>
      <c r="C125" s="192" t="s">
        <v>417</v>
      </c>
      <c r="D125" s="192" t="s">
        <v>8753</v>
      </c>
      <c r="E125" s="193">
        <v>224</v>
      </c>
      <c r="F125" s="193">
        <v>4</v>
      </c>
      <c r="K125" s="176">
        <v>6</v>
      </c>
      <c r="M125" s="197">
        <v>3.7</v>
      </c>
      <c r="N125" s="198">
        <v>41822</v>
      </c>
      <c r="S125" s="176">
        <f>(AE125*BS125)/100</f>
        <v>11.868511735178402</v>
      </c>
      <c r="T125" s="198"/>
      <c r="U125" s="176">
        <v>16.2</v>
      </c>
      <c r="Y125" s="200">
        <f>(AE125*BU125)/100</f>
        <v>3.9715642382309047</v>
      </c>
      <c r="Z125" s="198"/>
      <c r="AA125" s="200"/>
      <c r="AB125" s="198"/>
      <c r="AC125" s="378">
        <f t="shared" si="1"/>
        <v>21.012345679012348</v>
      </c>
      <c r="AE125" s="176">
        <f>(M125/U125)*((100-CC125)/(100-9))*100</f>
        <v>23.090489757156423</v>
      </c>
      <c r="AF125" s="198">
        <v>41822</v>
      </c>
      <c r="AG125" s="176">
        <v>5.2</v>
      </c>
      <c r="AH125" s="196">
        <v>41927</v>
      </c>
      <c r="AI125" s="176">
        <v>130</v>
      </c>
      <c r="AM125" s="176">
        <v>86</v>
      </c>
      <c r="BG125" s="201">
        <v>0</v>
      </c>
      <c r="BI125" s="201">
        <v>4.4000000000000004</v>
      </c>
      <c r="BK125" s="201">
        <v>1.7</v>
      </c>
      <c r="BM125" s="201">
        <v>62.5</v>
      </c>
      <c r="BO125" s="201">
        <v>19.5</v>
      </c>
      <c r="BQ125" s="201">
        <v>8.5</v>
      </c>
      <c r="BS125" s="201">
        <v>51.4</v>
      </c>
      <c r="BU125" s="201">
        <v>17.2</v>
      </c>
      <c r="BW125" s="201">
        <v>10.8</v>
      </c>
      <c r="BY125" s="178">
        <v>7</v>
      </c>
      <c r="CC125" s="201">
        <v>8</v>
      </c>
      <c r="CD125" s="198">
        <v>41822</v>
      </c>
      <c r="CI125" s="174" t="s">
        <v>9374</v>
      </c>
      <c r="CL125" s="174">
        <v>4</v>
      </c>
    </row>
    <row r="126" spans="1:91">
      <c r="A126" s="191" t="s">
        <v>7686</v>
      </c>
      <c r="B126" s="192" t="s">
        <v>269</v>
      </c>
      <c r="C126" s="192" t="s">
        <v>417</v>
      </c>
      <c r="D126" s="192" t="s">
        <v>8437</v>
      </c>
      <c r="E126" s="193">
        <v>224</v>
      </c>
      <c r="F126" s="193">
        <v>5</v>
      </c>
      <c r="K126" s="176">
        <v>7</v>
      </c>
      <c r="M126" s="197">
        <v>3.55</v>
      </c>
      <c r="N126" s="198">
        <v>41822</v>
      </c>
      <c r="S126" s="176">
        <f>(AE126*BS126)/100</f>
        <v>11.222305657305657</v>
      </c>
      <c r="T126" s="198"/>
      <c r="U126" s="176">
        <v>16.2</v>
      </c>
      <c r="Y126" s="200">
        <f>(AE126*BU126)/100</f>
        <v>3.8812321937321941</v>
      </c>
      <c r="Z126" s="198"/>
      <c r="AA126" s="200"/>
      <c r="AB126" s="198"/>
      <c r="AC126" s="378">
        <f t="shared" si="1"/>
        <v>20.182407407407407</v>
      </c>
      <c r="AE126" s="176">
        <f>(M126/U126)*((100-CC126)/(100-9))*100</f>
        <v>22.178469678469678</v>
      </c>
      <c r="AF126" s="198">
        <v>41822</v>
      </c>
      <c r="AG126" s="176">
        <v>5.2</v>
      </c>
      <c r="AH126" s="196">
        <v>41927</v>
      </c>
      <c r="AI126" s="176">
        <v>130</v>
      </c>
      <c r="AM126" s="176">
        <v>87</v>
      </c>
      <c r="BG126" s="201">
        <v>0</v>
      </c>
      <c r="BI126" s="201">
        <v>4.5</v>
      </c>
      <c r="BK126" s="201">
        <v>1.6</v>
      </c>
      <c r="BM126" s="201">
        <v>61.5</v>
      </c>
      <c r="BO126" s="201">
        <v>18.899999999999999</v>
      </c>
      <c r="BQ126" s="201">
        <v>9.1</v>
      </c>
      <c r="BS126" s="201">
        <v>50.6</v>
      </c>
      <c r="BU126" s="201">
        <v>17.5</v>
      </c>
      <c r="BW126" s="201">
        <v>24</v>
      </c>
      <c r="BY126" s="178">
        <v>7.0999999999999943</v>
      </c>
      <c r="CC126" s="201">
        <v>7.9</v>
      </c>
      <c r="CD126" s="198">
        <v>41822</v>
      </c>
      <c r="CI126" s="174" t="s">
        <v>9364</v>
      </c>
      <c r="CL126" s="174">
        <v>1</v>
      </c>
    </row>
    <row r="127" spans="1:91">
      <c r="A127" s="191" t="s">
        <v>7759</v>
      </c>
      <c r="B127" s="192" t="s">
        <v>269</v>
      </c>
      <c r="C127" s="192" t="s">
        <v>417</v>
      </c>
      <c r="D127" s="192" t="s">
        <v>8729</v>
      </c>
      <c r="E127" s="193">
        <v>224</v>
      </c>
      <c r="F127" s="193">
        <v>6</v>
      </c>
      <c r="K127" s="176">
        <v>7</v>
      </c>
      <c r="M127" s="197">
        <v>2.5499999999999998</v>
      </c>
      <c r="N127" s="198">
        <v>41822</v>
      </c>
      <c r="S127" s="176">
        <f>(AE127*BS127)/100</f>
        <v>7.9422588522588509</v>
      </c>
      <c r="T127" s="198"/>
      <c r="U127" s="176">
        <v>16.2</v>
      </c>
      <c r="Y127" s="200">
        <f>(AE127*BU127)/100</f>
        <v>2.7271611721611722</v>
      </c>
      <c r="Z127" s="198"/>
      <c r="AA127" s="200"/>
      <c r="AB127" s="198"/>
      <c r="AC127" s="378">
        <f t="shared" si="1"/>
        <v>14.512962962962964</v>
      </c>
      <c r="AE127" s="176">
        <f>(M127/U127)*((100-CC127)/(100-9))*100</f>
        <v>15.948310948310947</v>
      </c>
      <c r="AF127" s="198">
        <v>41822</v>
      </c>
      <c r="AG127" s="176">
        <v>4.4000000000000004</v>
      </c>
      <c r="AH127" s="196">
        <v>41927</v>
      </c>
      <c r="AI127" s="176">
        <v>110</v>
      </c>
      <c r="AM127" s="176">
        <v>84</v>
      </c>
      <c r="BG127" s="201">
        <v>0</v>
      </c>
      <c r="BI127" s="201">
        <v>4.9000000000000004</v>
      </c>
      <c r="BK127" s="201">
        <v>1.6</v>
      </c>
      <c r="BM127" s="201">
        <v>60</v>
      </c>
      <c r="BO127" s="201">
        <v>21.6</v>
      </c>
      <c r="BQ127" s="201">
        <v>9.1999999999999993</v>
      </c>
      <c r="BS127" s="201">
        <v>49.8</v>
      </c>
      <c r="BU127" s="201">
        <v>17.100000000000001</v>
      </c>
      <c r="BW127" s="201">
        <v>9.6999999999999993</v>
      </c>
      <c r="BY127" s="178">
        <v>7.0999999999999943</v>
      </c>
      <c r="CC127" s="201">
        <v>7.8</v>
      </c>
      <c r="CD127" s="198">
        <v>41822</v>
      </c>
      <c r="CI127" s="174" t="s">
        <v>9370</v>
      </c>
      <c r="CL127" s="174">
        <v>1</v>
      </c>
    </row>
    <row r="128" spans="1:91">
      <c r="A128" s="191" t="s">
        <v>7678</v>
      </c>
      <c r="B128" s="192" t="s">
        <v>271</v>
      </c>
      <c r="C128" s="192" t="s">
        <v>8998</v>
      </c>
      <c r="D128" s="192" t="s">
        <v>8407</v>
      </c>
      <c r="E128" s="193">
        <v>224</v>
      </c>
      <c r="F128" s="193">
        <v>7</v>
      </c>
      <c r="K128" s="176">
        <v>8</v>
      </c>
      <c r="M128" s="197">
        <v>5.2</v>
      </c>
      <c r="N128" s="198">
        <v>41822</v>
      </c>
      <c r="S128" s="176">
        <f>(AE128*BS128)/100</f>
        <v>16.361481481481487</v>
      </c>
      <c r="T128" s="198"/>
      <c r="U128" s="176">
        <v>16.2</v>
      </c>
      <c r="Y128" s="200">
        <f>(AE128*BU128)/100</f>
        <v>5.5733333333333359</v>
      </c>
      <c r="Z128" s="198"/>
      <c r="AA128" s="200"/>
      <c r="AB128" s="198"/>
      <c r="AC128" s="378">
        <f t="shared" si="1"/>
        <v>29.659259259259265</v>
      </c>
      <c r="AE128" s="176">
        <f>(M128/U128)*((100-CC128)/(100-9))*100</f>
        <v>32.592592592592602</v>
      </c>
      <c r="AF128" s="198">
        <v>41822</v>
      </c>
      <c r="AG128" s="176">
        <v>4.8</v>
      </c>
      <c r="AH128" s="196">
        <v>41927</v>
      </c>
      <c r="AI128" s="176">
        <v>125</v>
      </c>
      <c r="AM128" s="176">
        <v>84</v>
      </c>
      <c r="BG128" s="201">
        <v>2.7</v>
      </c>
      <c r="BI128" s="201">
        <v>4.8</v>
      </c>
      <c r="BK128" s="201">
        <v>1.6</v>
      </c>
      <c r="BM128" s="201">
        <v>60</v>
      </c>
      <c r="BO128" s="201">
        <v>22.1</v>
      </c>
      <c r="BQ128" s="201">
        <v>8.9</v>
      </c>
      <c r="BS128" s="201">
        <v>50.2</v>
      </c>
      <c r="BU128" s="201">
        <v>17.100000000000001</v>
      </c>
      <c r="BW128" s="201">
        <v>9.3000000000000007</v>
      </c>
      <c r="BY128" s="178">
        <v>6.2999999999999972</v>
      </c>
      <c r="CC128" s="201">
        <v>7.6</v>
      </c>
      <c r="CD128" s="198">
        <v>41822</v>
      </c>
      <c r="CI128" s="174" t="s">
        <v>9381</v>
      </c>
      <c r="CL128" s="174">
        <v>1</v>
      </c>
    </row>
    <row r="129" spans="1:90">
      <c r="A129" s="191" t="s">
        <v>9000</v>
      </c>
      <c r="B129" s="192" t="s">
        <v>271</v>
      </c>
      <c r="C129" s="192" t="s">
        <v>8998</v>
      </c>
      <c r="D129" s="192" t="s">
        <v>8299</v>
      </c>
      <c r="E129" s="193">
        <v>224</v>
      </c>
      <c r="F129" s="193">
        <v>8</v>
      </c>
      <c r="K129" s="176">
        <v>8</v>
      </c>
      <c r="M129" s="197">
        <v>6.4</v>
      </c>
      <c r="N129" s="198">
        <v>41822</v>
      </c>
      <c r="S129" s="176">
        <f>(AE129*BS129)/100</f>
        <v>21.345966625966629</v>
      </c>
      <c r="T129" s="198"/>
      <c r="U129" s="176">
        <v>16.2</v>
      </c>
      <c r="Y129" s="200">
        <f>(AE129*BU129)/100</f>
        <v>6.6022629222629234</v>
      </c>
      <c r="Z129" s="198"/>
      <c r="AA129" s="200"/>
      <c r="AB129" s="198"/>
      <c r="AC129" s="378">
        <f t="shared" si="1"/>
        <v>36.859259259259261</v>
      </c>
      <c r="AE129" s="176">
        <f>(M129/U129)*((100-CC129)/(100-9))*100</f>
        <v>40.504680504680508</v>
      </c>
      <c r="AF129" s="198">
        <v>41822</v>
      </c>
      <c r="AG129" s="176">
        <v>5.3</v>
      </c>
      <c r="AH129" s="196">
        <v>41927</v>
      </c>
      <c r="AI129" s="176">
        <v>160</v>
      </c>
      <c r="AM129" s="176">
        <v>82</v>
      </c>
      <c r="BG129" s="201">
        <v>0</v>
      </c>
      <c r="BI129" s="201">
        <v>4.7</v>
      </c>
      <c r="BK129" s="201">
        <v>1.7</v>
      </c>
      <c r="BM129" s="201">
        <v>65.5</v>
      </c>
      <c r="BO129" s="201">
        <v>22.1</v>
      </c>
      <c r="BQ129" s="201">
        <v>7.3</v>
      </c>
      <c r="BS129" s="201">
        <v>52.7</v>
      </c>
      <c r="BU129" s="201">
        <v>16.3</v>
      </c>
      <c r="BW129" s="201">
        <v>15.2</v>
      </c>
      <c r="BY129" s="178">
        <v>6.2000000000000028</v>
      </c>
      <c r="CC129" s="201">
        <v>6.7</v>
      </c>
      <c r="CD129" s="198">
        <v>41822</v>
      </c>
      <c r="CI129" s="174" t="s">
        <v>9358</v>
      </c>
      <c r="CL129" s="174">
        <v>1</v>
      </c>
    </row>
    <row r="130" spans="1:90">
      <c r="A130" s="191" t="s">
        <v>7656</v>
      </c>
      <c r="B130" s="192" t="s">
        <v>271</v>
      </c>
      <c r="C130" s="192" t="s">
        <v>8998</v>
      </c>
      <c r="D130" s="192" t="s">
        <v>8319</v>
      </c>
      <c r="E130" s="193">
        <v>224</v>
      </c>
      <c r="F130" s="193">
        <v>9</v>
      </c>
      <c r="K130" s="176">
        <v>8</v>
      </c>
      <c r="M130" s="197">
        <v>5.95</v>
      </c>
      <c r="N130" s="198">
        <v>41822</v>
      </c>
      <c r="S130" s="176">
        <f>(AE130*BS130)/100</f>
        <v>19.380726495726496</v>
      </c>
      <c r="T130" s="198"/>
      <c r="U130" s="176">
        <v>16.2</v>
      </c>
      <c r="Y130" s="200">
        <f>(AE130*BU130)/100</f>
        <v>6.5101282051282041</v>
      </c>
      <c r="Z130" s="198"/>
      <c r="AA130" s="200"/>
      <c r="AB130" s="198"/>
      <c r="AC130" s="378">
        <f t="shared" si="1"/>
        <v>34.047222222222224</v>
      </c>
      <c r="AE130" s="176">
        <f>(M130/U130)*((100-CC130)/(100-9))*100</f>
        <v>37.414529914529915</v>
      </c>
      <c r="AF130" s="198">
        <v>41822</v>
      </c>
      <c r="AG130" s="176">
        <v>4.2</v>
      </c>
      <c r="AH130" s="196">
        <v>41927</v>
      </c>
      <c r="AI130" s="176">
        <v>140</v>
      </c>
      <c r="AM130" s="176">
        <v>78</v>
      </c>
      <c r="BG130" s="201">
        <v>0.5</v>
      </c>
      <c r="BI130" s="201">
        <v>4.9000000000000004</v>
      </c>
      <c r="BK130" s="201">
        <v>1.5</v>
      </c>
      <c r="BM130" s="201">
        <v>62.4</v>
      </c>
      <c r="BO130" s="201">
        <v>20</v>
      </c>
      <c r="BQ130" s="201">
        <v>10.7</v>
      </c>
      <c r="BS130" s="201">
        <v>51.8</v>
      </c>
      <c r="BU130" s="201">
        <v>17.399999999999999</v>
      </c>
      <c r="BW130" s="201">
        <v>52.5</v>
      </c>
      <c r="BY130" s="178">
        <v>6.2999999999999972</v>
      </c>
      <c r="CC130" s="201">
        <v>7.3</v>
      </c>
      <c r="CD130" s="198">
        <v>41822</v>
      </c>
      <c r="CI130" s="174" t="s">
        <v>9376</v>
      </c>
      <c r="CL130" s="174">
        <v>1</v>
      </c>
    </row>
    <row r="131" spans="1:90">
      <c r="A131" s="191" t="s">
        <v>7805</v>
      </c>
      <c r="B131" s="192" t="s">
        <v>271</v>
      </c>
      <c r="C131" s="192" t="s">
        <v>8998</v>
      </c>
      <c r="D131" s="192" t="s">
        <v>8915</v>
      </c>
      <c r="E131" s="193">
        <v>224</v>
      </c>
      <c r="F131" s="193">
        <v>10</v>
      </c>
      <c r="K131" s="176">
        <v>9</v>
      </c>
      <c r="M131" s="197">
        <v>5.2</v>
      </c>
      <c r="N131" s="198">
        <v>41822</v>
      </c>
      <c r="S131" s="176">
        <f>(AE131*BS131)/100</f>
        <v>16.083315696649031</v>
      </c>
      <c r="T131" s="198"/>
      <c r="U131" s="176">
        <v>16.2</v>
      </c>
      <c r="Y131" s="200">
        <f>(AE131*BU131)/100</f>
        <v>5.8277601410934743</v>
      </c>
      <c r="Z131" s="198"/>
      <c r="AA131" s="200"/>
      <c r="AB131" s="198"/>
      <c r="AC131" s="378">
        <f t="shared" ref="AC131:AC194" si="2">(M131/16.2)*(100-CC131)</f>
        <v>29.627160493827162</v>
      </c>
      <c r="AE131" s="176">
        <f>(M131/U131)*((100-CC131)/(100-9))*100</f>
        <v>32.557319223985893</v>
      </c>
      <c r="AF131" s="198">
        <v>41822</v>
      </c>
      <c r="AG131" s="176">
        <v>5.0999999999999996</v>
      </c>
      <c r="AH131" s="196">
        <v>41927</v>
      </c>
      <c r="AI131" s="176">
        <v>155</v>
      </c>
      <c r="AM131" s="176">
        <v>77</v>
      </c>
      <c r="BG131" s="201">
        <v>0</v>
      </c>
      <c r="BI131" s="201">
        <v>4.4000000000000004</v>
      </c>
      <c r="BK131" s="201">
        <v>1.6</v>
      </c>
      <c r="BM131" s="201">
        <v>62.5</v>
      </c>
      <c r="BO131" s="201">
        <v>20.7</v>
      </c>
      <c r="BQ131" s="201">
        <v>7.6</v>
      </c>
      <c r="BS131" s="201">
        <v>49.4</v>
      </c>
      <c r="BU131" s="201">
        <v>17.899999999999999</v>
      </c>
      <c r="BW131" s="201">
        <v>8.3000000000000007</v>
      </c>
      <c r="BY131" s="178">
        <v>6.5</v>
      </c>
      <c r="CC131" s="201">
        <v>7.7</v>
      </c>
      <c r="CD131" s="198">
        <v>41822</v>
      </c>
      <c r="CI131" s="174" t="s">
        <v>9349</v>
      </c>
      <c r="CL131" s="174">
        <v>1</v>
      </c>
    </row>
    <row r="132" spans="1:90">
      <c r="A132" s="191" t="s">
        <v>7718</v>
      </c>
      <c r="B132" s="192" t="s">
        <v>271</v>
      </c>
      <c r="C132" s="192" t="s">
        <v>8998</v>
      </c>
      <c r="D132" s="192" t="s">
        <v>8567</v>
      </c>
      <c r="E132" s="193">
        <v>224</v>
      </c>
      <c r="F132" s="193">
        <v>11</v>
      </c>
      <c r="K132" s="176">
        <v>8</v>
      </c>
      <c r="M132" s="197">
        <v>6.1</v>
      </c>
      <c r="N132" s="198">
        <v>41822</v>
      </c>
      <c r="S132" s="176">
        <f>(AE132*BS132)/100</f>
        <v>19.464718491385156</v>
      </c>
      <c r="T132" s="198"/>
      <c r="U132" s="176">
        <v>16.2</v>
      </c>
      <c r="Y132" s="200">
        <f>(AE132*BU132)/100</f>
        <v>6.5137837471170803</v>
      </c>
      <c r="Z132" s="198"/>
      <c r="AA132" s="200"/>
      <c r="AB132" s="198"/>
      <c r="AC132" s="378">
        <f t="shared" si="2"/>
        <v>34.867901234567903</v>
      </c>
      <c r="AE132" s="176">
        <f>(M132/U132)*((100-CC132)/(100-9))*100</f>
        <v>38.316374983041648</v>
      </c>
      <c r="AF132" s="198">
        <v>41822</v>
      </c>
      <c r="AG132" s="176">
        <v>4.5</v>
      </c>
      <c r="AH132" s="196">
        <v>41927</v>
      </c>
      <c r="AI132" s="176">
        <v>150</v>
      </c>
      <c r="AM132" s="176">
        <v>78</v>
      </c>
      <c r="BG132" s="201">
        <v>8.1</v>
      </c>
      <c r="BI132" s="201">
        <v>4.7</v>
      </c>
      <c r="BK132" s="201">
        <v>1.5</v>
      </c>
      <c r="BM132" s="201">
        <v>56</v>
      </c>
      <c r="BO132" s="201">
        <v>22.5</v>
      </c>
      <c r="BQ132" s="201">
        <v>9.1999999999999993</v>
      </c>
      <c r="BS132" s="201">
        <v>50.8</v>
      </c>
      <c r="BU132" s="201">
        <v>17</v>
      </c>
      <c r="BW132" s="201">
        <v>16.600000000000001</v>
      </c>
      <c r="BY132" s="178">
        <v>6.5999999999999943</v>
      </c>
      <c r="CC132" s="201">
        <v>7.4</v>
      </c>
      <c r="CD132" s="198">
        <v>41822</v>
      </c>
      <c r="CI132" s="174" t="s">
        <v>9355</v>
      </c>
      <c r="CL132" s="174">
        <v>3</v>
      </c>
    </row>
    <row r="133" spans="1:90">
      <c r="A133" s="191" t="s">
        <v>7652</v>
      </c>
      <c r="B133" s="192" t="s">
        <v>271</v>
      </c>
      <c r="C133" s="192" t="s">
        <v>8998</v>
      </c>
      <c r="D133" s="192" t="s">
        <v>8303</v>
      </c>
      <c r="E133" s="193">
        <v>224</v>
      </c>
      <c r="F133" s="193">
        <v>12</v>
      </c>
      <c r="K133" s="176">
        <v>8</v>
      </c>
      <c r="M133" s="197">
        <v>2.7</v>
      </c>
      <c r="N133" s="198">
        <v>41822</v>
      </c>
      <c r="S133" s="176">
        <f>(AE133*BS133)/100</f>
        <v>7.8085714285714287</v>
      </c>
      <c r="T133" s="198"/>
      <c r="U133" s="176">
        <v>16.2</v>
      </c>
      <c r="Y133" s="200">
        <f>(AE133*BU133)/100</f>
        <v>3.5705860805860805</v>
      </c>
      <c r="Z133" s="198"/>
      <c r="AA133" s="200"/>
      <c r="AB133" s="198"/>
      <c r="AC133" s="378">
        <f t="shared" si="2"/>
        <v>15.183333333333334</v>
      </c>
      <c r="AE133" s="176">
        <f>(M133/U133)*((100-CC133)/(100-9))*100</f>
        <v>16.684981684981686</v>
      </c>
      <c r="AF133" s="198">
        <v>41822</v>
      </c>
      <c r="AG133" s="176">
        <v>4.7</v>
      </c>
      <c r="AH133" s="196">
        <v>41927</v>
      </c>
      <c r="AI133" s="176">
        <v>145</v>
      </c>
      <c r="AM133" s="176">
        <v>83</v>
      </c>
      <c r="BG133" s="201">
        <v>0</v>
      </c>
      <c r="BI133" s="201">
        <v>4.4000000000000004</v>
      </c>
      <c r="BK133" s="201">
        <v>1.4</v>
      </c>
      <c r="BM133" s="201">
        <v>62.5</v>
      </c>
      <c r="BO133" s="201">
        <v>20.7</v>
      </c>
      <c r="BQ133" s="201">
        <v>10.4</v>
      </c>
      <c r="BS133" s="201">
        <v>46.8</v>
      </c>
      <c r="BU133" s="201">
        <v>21.4</v>
      </c>
      <c r="BW133" s="201">
        <v>57.2</v>
      </c>
      <c r="BY133" s="178">
        <v>7</v>
      </c>
      <c r="CC133" s="201">
        <v>8.9</v>
      </c>
      <c r="CD133" s="198">
        <v>41822</v>
      </c>
      <c r="CI133" s="174" t="s">
        <v>9370</v>
      </c>
      <c r="CL133" s="174">
        <v>9</v>
      </c>
    </row>
    <row r="134" spans="1:90">
      <c r="A134" s="191" t="s">
        <v>7791</v>
      </c>
      <c r="B134" s="192" t="s">
        <v>269</v>
      </c>
      <c r="C134" s="192" t="s">
        <v>417</v>
      </c>
      <c r="D134" s="192" t="s">
        <v>8857</v>
      </c>
      <c r="E134" s="193">
        <v>225</v>
      </c>
      <c r="F134" s="193">
        <v>1</v>
      </c>
      <c r="K134" s="176">
        <v>7</v>
      </c>
      <c r="M134" s="197">
        <v>6.2</v>
      </c>
      <c r="N134" s="198">
        <v>41822</v>
      </c>
      <c r="S134" s="176">
        <f>(AE134*BS134)/100</f>
        <v>19.733007733007735</v>
      </c>
      <c r="T134" s="198"/>
      <c r="U134" s="176">
        <v>16.2</v>
      </c>
      <c r="Y134" s="200">
        <f>(AE134*BU134)/100</f>
        <v>6.8098222764889442</v>
      </c>
      <c r="Z134" s="198"/>
      <c r="AA134" s="200"/>
      <c r="AB134" s="198"/>
      <c r="AC134" s="378">
        <f t="shared" si="2"/>
        <v>35.20987654320988</v>
      </c>
      <c r="AE134" s="176">
        <f>(M134/U134)*((100-CC134)/(100-9))*100</f>
        <v>38.692172025505364</v>
      </c>
      <c r="AF134" s="198">
        <v>41822</v>
      </c>
      <c r="AG134" s="176">
        <v>5.6</v>
      </c>
      <c r="AH134" s="196">
        <v>41927</v>
      </c>
      <c r="AI134" s="176">
        <v>140</v>
      </c>
      <c r="AM134" s="176">
        <v>82</v>
      </c>
      <c r="BG134" s="201">
        <v>0</v>
      </c>
      <c r="BI134" s="201">
        <v>4.5</v>
      </c>
      <c r="BK134" s="201">
        <v>1.6</v>
      </c>
      <c r="BM134" s="201">
        <v>60.8</v>
      </c>
      <c r="BO134" s="201">
        <v>20.2</v>
      </c>
      <c r="BQ134" s="201">
        <v>9.5</v>
      </c>
      <c r="BS134" s="201">
        <v>51</v>
      </c>
      <c r="BU134" s="201">
        <v>17.600000000000001</v>
      </c>
      <c r="BW134" s="201">
        <v>10</v>
      </c>
      <c r="BY134" s="178">
        <v>7.2000000000000028</v>
      </c>
      <c r="CC134" s="201">
        <v>8</v>
      </c>
      <c r="CD134" s="198">
        <v>41822</v>
      </c>
      <c r="CI134" s="174" t="s">
        <v>9342</v>
      </c>
      <c r="CL134" s="174">
        <v>1</v>
      </c>
    </row>
    <row r="135" spans="1:90">
      <c r="A135" s="191" t="s">
        <v>7793</v>
      </c>
      <c r="B135" s="192" t="s">
        <v>269</v>
      </c>
      <c r="C135" s="192" t="s">
        <v>417</v>
      </c>
      <c r="D135" s="192" t="s">
        <v>8865</v>
      </c>
      <c r="E135" s="193">
        <v>225</v>
      </c>
      <c r="F135" s="193">
        <v>2</v>
      </c>
      <c r="K135" s="176">
        <v>8</v>
      </c>
      <c r="M135" s="197">
        <v>4.95</v>
      </c>
      <c r="N135" s="198">
        <v>41822</v>
      </c>
      <c r="S135" s="176">
        <f>(AE135*BS135)/100</f>
        <v>16.288461538461544</v>
      </c>
      <c r="T135" s="198"/>
      <c r="U135" s="176">
        <v>16.2</v>
      </c>
      <c r="Y135" s="200">
        <f>(AE135*BU135)/100</f>
        <v>4.933076923076924</v>
      </c>
      <c r="Z135" s="198"/>
      <c r="AA135" s="200"/>
      <c r="AB135" s="198"/>
      <c r="AC135" s="378">
        <f t="shared" si="2"/>
        <v>28.233333333333338</v>
      </c>
      <c r="AE135" s="176">
        <f>(M135/U135)*((100-CC135)/(100-9))*100</f>
        <v>31.025641025641033</v>
      </c>
      <c r="AF135" s="198">
        <v>41822</v>
      </c>
      <c r="AG135" s="176">
        <v>5.4</v>
      </c>
      <c r="AH135" s="196">
        <v>41927</v>
      </c>
      <c r="AI135" s="176">
        <v>145</v>
      </c>
      <c r="AM135" s="176">
        <v>79</v>
      </c>
      <c r="BG135" s="201">
        <v>1.4</v>
      </c>
      <c r="BI135" s="201">
        <v>4.8</v>
      </c>
      <c r="BK135" s="201">
        <v>1.5</v>
      </c>
      <c r="BM135" s="201">
        <v>60.6</v>
      </c>
      <c r="BO135" s="201">
        <v>20.5</v>
      </c>
      <c r="BQ135" s="201">
        <v>9.1</v>
      </c>
      <c r="BS135" s="201">
        <v>52.5</v>
      </c>
      <c r="BU135" s="201">
        <v>15.9</v>
      </c>
      <c r="BW135" s="201">
        <v>9.3000000000000007</v>
      </c>
      <c r="BY135" s="178">
        <v>7.2999999999999972</v>
      </c>
      <c r="CC135" s="201">
        <v>7.6</v>
      </c>
      <c r="CD135" s="198">
        <v>41822</v>
      </c>
      <c r="CI135" s="174" t="s">
        <v>9356</v>
      </c>
      <c r="CL135" s="174">
        <v>1</v>
      </c>
    </row>
    <row r="136" spans="1:90">
      <c r="A136" s="191" t="s">
        <v>7795</v>
      </c>
      <c r="B136" s="192" t="s">
        <v>269</v>
      </c>
      <c r="C136" s="192" t="s">
        <v>417</v>
      </c>
      <c r="D136" s="192" t="s">
        <v>8873</v>
      </c>
      <c r="E136" s="193">
        <v>225</v>
      </c>
      <c r="F136" s="193">
        <v>3</v>
      </c>
      <c r="K136" s="176">
        <v>7</v>
      </c>
      <c r="M136" s="197">
        <v>4.8</v>
      </c>
      <c r="N136" s="198">
        <v>41822</v>
      </c>
      <c r="S136" s="176">
        <f>(AE136*BS136)/100</f>
        <v>15.666585266585262</v>
      </c>
      <c r="T136" s="198"/>
      <c r="U136" s="176">
        <v>16.2</v>
      </c>
      <c r="Y136" s="200">
        <f>(AE136*BU136)/100</f>
        <v>4.8227920227920222</v>
      </c>
      <c r="Z136" s="198"/>
      <c r="AA136" s="200"/>
      <c r="AB136" s="198"/>
      <c r="AC136" s="378">
        <f t="shared" si="2"/>
        <v>27.25925925925926</v>
      </c>
      <c r="AE136" s="176">
        <f>(M136/U136)*((100-CC136)/(100-9))*100</f>
        <v>29.955229955229949</v>
      </c>
      <c r="AF136" s="198">
        <v>41822</v>
      </c>
      <c r="AG136" s="176">
        <v>5.6</v>
      </c>
      <c r="AH136" s="196">
        <v>41927</v>
      </c>
      <c r="AI136" s="176">
        <v>165</v>
      </c>
      <c r="AM136" s="176">
        <v>84</v>
      </c>
      <c r="BG136" s="201">
        <v>0</v>
      </c>
      <c r="BI136" s="201">
        <v>4.7</v>
      </c>
      <c r="BK136" s="201">
        <v>1.6</v>
      </c>
      <c r="BM136" s="201">
        <v>63.8</v>
      </c>
      <c r="BO136" s="201">
        <v>19.600000000000001</v>
      </c>
      <c r="BQ136" s="201">
        <v>9</v>
      </c>
      <c r="BS136" s="201">
        <v>52.3</v>
      </c>
      <c r="BU136" s="201">
        <v>16.100000000000001</v>
      </c>
      <c r="BW136" s="201">
        <v>11.9</v>
      </c>
      <c r="BY136" s="178">
        <v>7.4000000000000057</v>
      </c>
      <c r="CC136" s="201">
        <v>8</v>
      </c>
      <c r="CD136" s="198">
        <v>41822</v>
      </c>
      <c r="CI136" s="174" t="s">
        <v>9353</v>
      </c>
      <c r="CL136" s="174">
        <v>3</v>
      </c>
    </row>
    <row r="137" spans="1:90">
      <c r="A137" s="191" t="s">
        <v>7691</v>
      </c>
      <c r="B137" s="192" t="s">
        <v>269</v>
      </c>
      <c r="C137" s="192" t="s">
        <v>417</v>
      </c>
      <c r="D137" s="192" t="s">
        <v>8457</v>
      </c>
      <c r="E137" s="193">
        <v>225</v>
      </c>
      <c r="F137" s="193">
        <v>4</v>
      </c>
      <c r="K137" s="176">
        <v>7</v>
      </c>
      <c r="M137" s="197">
        <v>5.05</v>
      </c>
      <c r="N137" s="198">
        <v>41822</v>
      </c>
      <c r="S137" s="176">
        <f>(AE137*BS137)/100</f>
        <v>15.76037104870438</v>
      </c>
      <c r="T137" s="198"/>
      <c r="U137" s="176">
        <v>16.2</v>
      </c>
      <c r="Y137" s="200">
        <f>(AE137*BU137)/100</f>
        <v>5.621935965269298</v>
      </c>
      <c r="Z137" s="198"/>
      <c r="AA137" s="200"/>
      <c r="AB137" s="198"/>
      <c r="AC137" s="378">
        <f t="shared" si="2"/>
        <v>28.741358024691358</v>
      </c>
      <c r="AE137" s="176">
        <f>(M137/U137)*((100-CC137)/(100-9))*100</f>
        <v>31.583909917243247</v>
      </c>
      <c r="AF137" s="198">
        <v>41822</v>
      </c>
      <c r="AG137" s="176">
        <v>5.0999999999999996</v>
      </c>
      <c r="AH137" s="196">
        <v>41927</v>
      </c>
      <c r="AI137" s="176">
        <v>135</v>
      </c>
      <c r="AM137" s="176">
        <v>78</v>
      </c>
      <c r="BG137" s="201">
        <v>1.1000000000000001</v>
      </c>
      <c r="BI137" s="201">
        <v>4.3</v>
      </c>
      <c r="BK137" s="201">
        <v>1.6</v>
      </c>
      <c r="BM137" s="201">
        <v>63.2</v>
      </c>
      <c r="BO137" s="201">
        <v>18.100000000000001</v>
      </c>
      <c r="BQ137" s="201">
        <v>8.4</v>
      </c>
      <c r="BS137" s="201">
        <v>49.9</v>
      </c>
      <c r="BU137" s="201">
        <v>17.8</v>
      </c>
      <c r="BW137" s="201">
        <v>17</v>
      </c>
      <c r="BY137" s="178">
        <v>7.2000000000000028</v>
      </c>
      <c r="CC137" s="201">
        <v>7.8</v>
      </c>
      <c r="CD137" s="198">
        <v>41822</v>
      </c>
      <c r="CI137" s="174" t="s">
        <v>9362</v>
      </c>
      <c r="CL137" s="174">
        <v>1</v>
      </c>
    </row>
    <row r="138" spans="1:90">
      <c r="A138" s="191" t="s">
        <v>7769</v>
      </c>
      <c r="B138" s="192" t="s">
        <v>269</v>
      </c>
      <c r="C138" s="192" t="s">
        <v>417</v>
      </c>
      <c r="D138" s="192" t="s">
        <v>8769</v>
      </c>
      <c r="E138" s="193">
        <v>225</v>
      </c>
      <c r="F138" s="193">
        <v>5</v>
      </c>
      <c r="K138" s="176">
        <v>7</v>
      </c>
      <c r="M138" s="197">
        <v>5.2</v>
      </c>
      <c r="N138" s="198">
        <v>41822</v>
      </c>
      <c r="S138" s="176">
        <f>(AE138*BS138)/100</f>
        <v>16.865396825396829</v>
      </c>
      <c r="T138" s="198"/>
      <c r="U138" s="176">
        <v>16.2</v>
      </c>
      <c r="Y138" s="200">
        <f>(AE138*BU138)/100</f>
        <v>5.226349206349207</v>
      </c>
      <c r="Z138" s="198"/>
      <c r="AA138" s="200"/>
      <c r="AB138" s="198"/>
      <c r="AC138" s="378">
        <f t="shared" si="2"/>
        <v>29.177777777777784</v>
      </c>
      <c r="AE138" s="176">
        <f>(M138/U138)*((100-CC138)/(100-9))*100</f>
        <v>32.06349206349207</v>
      </c>
      <c r="AF138" s="198">
        <v>41822</v>
      </c>
      <c r="AG138" s="176">
        <v>5.3</v>
      </c>
      <c r="AH138" s="196">
        <v>41927</v>
      </c>
      <c r="AI138" s="176">
        <v>150</v>
      </c>
      <c r="AM138" s="176">
        <v>78</v>
      </c>
      <c r="BG138" s="201">
        <v>0</v>
      </c>
      <c r="BI138" s="201">
        <v>4.5</v>
      </c>
      <c r="BK138" s="201">
        <v>1.7</v>
      </c>
      <c r="BM138" s="201">
        <v>65.5</v>
      </c>
      <c r="BO138" s="201">
        <v>18.399999999999999</v>
      </c>
      <c r="BQ138" s="201">
        <v>7.3</v>
      </c>
      <c r="BS138" s="201">
        <v>52.6</v>
      </c>
      <c r="BU138" s="201">
        <v>16.3</v>
      </c>
      <c r="BW138" s="201">
        <v>10.9</v>
      </c>
      <c r="BY138" s="178">
        <v>7.2000000000000028</v>
      </c>
      <c r="CC138" s="201">
        <v>9.1</v>
      </c>
      <c r="CD138" s="198">
        <v>41822</v>
      </c>
      <c r="CI138" s="174" t="s">
        <v>9383</v>
      </c>
      <c r="CL138" s="174">
        <v>1</v>
      </c>
    </row>
    <row r="139" spans="1:90">
      <c r="A139" s="191" t="s">
        <v>7703</v>
      </c>
      <c r="B139" s="192" t="s">
        <v>269</v>
      </c>
      <c r="C139" s="192" t="s">
        <v>417</v>
      </c>
      <c r="D139" s="192" t="s">
        <v>8505</v>
      </c>
      <c r="E139" s="193">
        <v>225</v>
      </c>
      <c r="F139" s="193">
        <v>6</v>
      </c>
      <c r="K139" s="176">
        <v>7</v>
      </c>
      <c r="M139" s="197">
        <v>4.5</v>
      </c>
      <c r="N139" s="198">
        <v>41822</v>
      </c>
      <c r="S139" s="176">
        <f>(AE139*BS139)/100</f>
        <v>14.259004884004883</v>
      </c>
      <c r="T139" s="198"/>
      <c r="U139" s="176">
        <v>16.2</v>
      </c>
      <c r="Y139" s="200">
        <f>(AE139*BU139)/100</f>
        <v>4.8000610500610499</v>
      </c>
      <c r="Z139" s="198"/>
      <c r="AA139" s="200"/>
      <c r="AB139" s="198"/>
      <c r="AC139" s="378">
        <f t="shared" si="2"/>
        <v>25.694444444444446</v>
      </c>
      <c r="AE139" s="176">
        <f>(M139/U139)*((100-CC139)/(100-9))*100</f>
        <v>28.235653235653235</v>
      </c>
      <c r="AF139" s="198">
        <v>41822</v>
      </c>
      <c r="AG139" s="176">
        <v>4.5999999999999996</v>
      </c>
      <c r="AH139" s="196">
        <v>41927</v>
      </c>
      <c r="AI139" s="176">
        <v>145</v>
      </c>
      <c r="AM139" s="176">
        <v>82</v>
      </c>
      <c r="BG139" s="201">
        <v>2.5</v>
      </c>
      <c r="BI139" s="201">
        <v>4.5</v>
      </c>
      <c r="BK139" s="201">
        <v>1.5</v>
      </c>
      <c r="BM139" s="201">
        <v>63.4</v>
      </c>
      <c r="BO139" s="201">
        <v>20.100000000000001</v>
      </c>
      <c r="BQ139" s="201">
        <v>8.9</v>
      </c>
      <c r="BS139" s="201">
        <v>50.5</v>
      </c>
      <c r="BU139" s="201">
        <v>17</v>
      </c>
      <c r="BW139" s="201">
        <v>18.3</v>
      </c>
      <c r="BY139" s="178">
        <v>6.9000000000000057</v>
      </c>
      <c r="CC139" s="201">
        <v>7.5</v>
      </c>
      <c r="CD139" s="198">
        <v>41822</v>
      </c>
      <c r="CI139" s="174" t="s">
        <v>9376</v>
      </c>
      <c r="CL139" s="174">
        <v>1</v>
      </c>
    </row>
    <row r="140" spans="1:90">
      <c r="A140" s="191" t="s">
        <v>7633</v>
      </c>
      <c r="B140" s="192" t="s">
        <v>271</v>
      </c>
      <c r="C140" s="192" t="s">
        <v>8998</v>
      </c>
      <c r="D140" s="192" t="s">
        <v>8227</v>
      </c>
      <c r="E140" s="193">
        <v>225</v>
      </c>
      <c r="F140" s="193">
        <v>7</v>
      </c>
      <c r="K140" s="176">
        <v>9</v>
      </c>
      <c r="M140" s="197">
        <v>5.55</v>
      </c>
      <c r="N140" s="198">
        <v>41822</v>
      </c>
      <c r="S140" s="176">
        <f>(AE140*BS140)/100</f>
        <v>16.961043956043955</v>
      </c>
      <c r="T140" s="198"/>
      <c r="U140" s="176">
        <v>16.2</v>
      </c>
      <c r="Y140" s="200">
        <f>(AE140*BU140)/100</f>
        <v>6.3516666666666648</v>
      </c>
      <c r="Z140" s="198"/>
      <c r="AA140" s="200"/>
      <c r="AB140" s="198"/>
      <c r="AC140" s="378">
        <f t="shared" si="2"/>
        <v>31.758333333333336</v>
      </c>
      <c r="AE140" s="176">
        <f>(M140/U140)*((100-CC140)/(100-9))*100</f>
        <v>34.899267399267394</v>
      </c>
      <c r="AF140" s="198">
        <v>41822</v>
      </c>
      <c r="AG140" s="176">
        <v>4.8</v>
      </c>
      <c r="AH140" s="196">
        <v>41927</v>
      </c>
      <c r="AI140" s="176">
        <v>155</v>
      </c>
      <c r="AM140" s="176">
        <v>86</v>
      </c>
      <c r="BG140" s="201">
        <v>41.6</v>
      </c>
      <c r="BI140" s="201">
        <v>4.5</v>
      </c>
      <c r="BK140" s="201">
        <v>0.9</v>
      </c>
      <c r="BM140" s="201">
        <v>34.9</v>
      </c>
      <c r="BO140" s="201">
        <v>17.2</v>
      </c>
      <c r="BQ140" s="201">
        <v>9.4</v>
      </c>
      <c r="BS140" s="201">
        <v>48.6</v>
      </c>
      <c r="BU140" s="201">
        <v>18.2</v>
      </c>
      <c r="BW140" s="201">
        <v>58.7</v>
      </c>
      <c r="BY140" s="178">
        <v>6.2999999999999972</v>
      </c>
      <c r="CC140" s="201">
        <v>7.3</v>
      </c>
      <c r="CD140" s="198">
        <v>41822</v>
      </c>
      <c r="CI140" s="174" t="s">
        <v>9355</v>
      </c>
      <c r="CL140" s="174">
        <v>4</v>
      </c>
    </row>
    <row r="141" spans="1:90">
      <c r="A141" s="191" t="s">
        <v>7689</v>
      </c>
      <c r="B141" s="192" t="s">
        <v>271</v>
      </c>
      <c r="C141" s="192" t="s">
        <v>8998</v>
      </c>
      <c r="D141" s="192" t="s">
        <v>8451</v>
      </c>
      <c r="E141" s="193">
        <v>225</v>
      </c>
      <c r="F141" s="193">
        <v>8</v>
      </c>
      <c r="K141" s="176">
        <v>9</v>
      </c>
      <c r="M141" s="197">
        <v>5.65</v>
      </c>
      <c r="N141" s="198">
        <v>41822</v>
      </c>
      <c r="S141" s="176">
        <f>(AE141*BS141)/100</f>
        <v>17.774236195902862</v>
      </c>
      <c r="T141" s="198"/>
      <c r="U141" s="176">
        <v>16.2</v>
      </c>
      <c r="Y141" s="200">
        <f>(AE141*BU141)/100</f>
        <v>6.3252252068918731</v>
      </c>
      <c r="Z141" s="198"/>
      <c r="AA141" s="200"/>
      <c r="AB141" s="198"/>
      <c r="AC141" s="378">
        <f t="shared" si="2"/>
        <v>32.156172839506176</v>
      </c>
      <c r="AE141" s="176">
        <f>(M141/U141)*((100-CC141)/(100-9))*100</f>
        <v>35.336453669787005</v>
      </c>
      <c r="AF141" s="198">
        <v>41822</v>
      </c>
      <c r="AG141" s="176">
        <v>5</v>
      </c>
      <c r="AH141" s="196">
        <v>41927</v>
      </c>
      <c r="AI141" s="176">
        <v>155</v>
      </c>
      <c r="AM141" s="176">
        <v>80</v>
      </c>
      <c r="BG141" s="201">
        <v>3.4</v>
      </c>
      <c r="BI141" s="201">
        <v>4.4000000000000004</v>
      </c>
      <c r="BK141" s="201">
        <v>1.6</v>
      </c>
      <c r="BM141" s="201">
        <v>65.599999999999994</v>
      </c>
      <c r="BO141" s="201">
        <v>20</v>
      </c>
      <c r="BQ141" s="201">
        <v>8.6999999999999993</v>
      </c>
      <c r="BS141" s="201">
        <v>50.3</v>
      </c>
      <c r="BU141" s="201">
        <v>17.899999999999999</v>
      </c>
      <c r="BW141" s="201">
        <v>18.399999999999999</v>
      </c>
      <c r="BY141" s="178">
        <v>6.4000000000000057</v>
      </c>
      <c r="CC141" s="201">
        <v>7.8</v>
      </c>
      <c r="CD141" s="198">
        <v>41822</v>
      </c>
      <c r="CI141" s="174" t="s">
        <v>9355</v>
      </c>
      <c r="CL141" s="174">
        <v>3</v>
      </c>
    </row>
    <row r="142" spans="1:90">
      <c r="A142" s="191" t="s">
        <v>7611</v>
      </c>
      <c r="B142" s="192" t="s">
        <v>271</v>
      </c>
      <c r="C142" s="192" t="s">
        <v>8998</v>
      </c>
      <c r="D142" s="192" t="s">
        <v>8139</v>
      </c>
      <c r="E142" s="193">
        <v>225</v>
      </c>
      <c r="F142" s="193">
        <v>9</v>
      </c>
      <c r="I142" s="184"/>
      <c r="K142" s="176">
        <v>8</v>
      </c>
      <c r="M142" s="197">
        <v>3.8</v>
      </c>
      <c r="N142" s="198">
        <v>41822</v>
      </c>
      <c r="O142" s="179"/>
      <c r="S142" s="176">
        <f>(AE142*BS142)/100</f>
        <v>11.540225206891874</v>
      </c>
      <c r="T142" s="198"/>
      <c r="U142" s="176">
        <v>16.2</v>
      </c>
      <c r="Y142" s="200">
        <f>(AE142*BU142)/100</f>
        <v>4.4348799348799348</v>
      </c>
      <c r="Z142" s="198"/>
      <c r="AA142" s="200"/>
      <c r="AB142" s="198"/>
      <c r="AC142" s="378">
        <f t="shared" si="2"/>
        <v>21.697530864197528</v>
      </c>
      <c r="AE142" s="176">
        <f>(M142/U142)*((100-CC142)/(100-9))*100</f>
        <v>23.843440510107175</v>
      </c>
      <c r="AF142" s="198">
        <v>41822</v>
      </c>
      <c r="AG142" s="176">
        <v>4.9000000000000004</v>
      </c>
      <c r="AH142" s="196">
        <v>41927</v>
      </c>
      <c r="AI142" s="176">
        <v>125</v>
      </c>
      <c r="AM142" s="176">
        <v>86</v>
      </c>
      <c r="BG142" s="201">
        <v>50.1</v>
      </c>
      <c r="BI142" s="201">
        <v>4.3</v>
      </c>
      <c r="BK142" s="201">
        <v>0.9</v>
      </c>
      <c r="BM142" s="201">
        <v>30.6</v>
      </c>
      <c r="BO142" s="201">
        <v>19</v>
      </c>
      <c r="BQ142" s="201">
        <v>9.6999999999999993</v>
      </c>
      <c r="BS142" s="201">
        <v>48.4</v>
      </c>
      <c r="BU142" s="201">
        <v>18.600000000000001</v>
      </c>
      <c r="BW142" s="201">
        <v>58.1</v>
      </c>
      <c r="BY142" s="178">
        <v>6.4000000000000057</v>
      </c>
      <c r="CC142" s="201">
        <v>7.5</v>
      </c>
      <c r="CD142" s="198">
        <v>41822</v>
      </c>
      <c r="CI142" s="174" t="s">
        <v>9373</v>
      </c>
      <c r="CL142" s="174">
        <v>7</v>
      </c>
    </row>
    <row r="143" spans="1:90">
      <c r="A143" s="191" t="s">
        <v>7717</v>
      </c>
      <c r="B143" s="192" t="s">
        <v>271</v>
      </c>
      <c r="C143" s="192" t="s">
        <v>8998</v>
      </c>
      <c r="D143" s="192" t="s">
        <v>8563</v>
      </c>
      <c r="E143" s="193">
        <v>225</v>
      </c>
      <c r="F143" s="193">
        <v>10</v>
      </c>
      <c r="K143" s="176">
        <v>8</v>
      </c>
      <c r="M143" s="197">
        <v>4.05</v>
      </c>
      <c r="N143" s="198">
        <v>41822</v>
      </c>
      <c r="S143" s="176">
        <f>(AE143*BS143)/100</f>
        <v>12.173186813186812</v>
      </c>
      <c r="T143" s="198"/>
      <c r="U143" s="176">
        <v>16.2</v>
      </c>
      <c r="Y143" s="200">
        <f>(AE143*BU143)/100</f>
        <v>4.5150549450549455</v>
      </c>
      <c r="Z143" s="198"/>
      <c r="AA143" s="200"/>
      <c r="AB143" s="198"/>
      <c r="AC143" s="378">
        <f t="shared" si="2"/>
        <v>22.7</v>
      </c>
      <c r="AE143" s="176">
        <f>(M143/U143)*((100-CC143)/(100-9))*100</f>
        <v>24.945054945054945</v>
      </c>
      <c r="AF143" s="198">
        <v>41822</v>
      </c>
      <c r="AG143" s="176">
        <v>4.5</v>
      </c>
      <c r="AH143" s="196">
        <v>41927</v>
      </c>
      <c r="AI143" s="176">
        <v>160</v>
      </c>
      <c r="AM143" s="176">
        <v>88</v>
      </c>
      <c r="BG143" s="201">
        <v>0.3</v>
      </c>
      <c r="BI143" s="201">
        <v>4.7</v>
      </c>
      <c r="BK143" s="201">
        <v>1.8</v>
      </c>
      <c r="BM143" s="201">
        <v>66.099999999999994</v>
      </c>
      <c r="BO143" s="201">
        <v>19.3</v>
      </c>
      <c r="BQ143" s="201">
        <v>7.8</v>
      </c>
      <c r="BS143" s="201">
        <v>48.8</v>
      </c>
      <c r="BU143" s="201">
        <v>18.100000000000001</v>
      </c>
      <c r="BW143" s="201">
        <v>12.4</v>
      </c>
      <c r="BY143" s="178">
        <v>6.7999999999999972</v>
      </c>
      <c r="CC143" s="201">
        <v>9.1999999999999993</v>
      </c>
      <c r="CD143" s="198">
        <v>41822</v>
      </c>
      <c r="CI143" s="174" t="s">
        <v>9365</v>
      </c>
      <c r="CL143" s="174">
        <v>5</v>
      </c>
    </row>
    <row r="144" spans="1:90">
      <c r="A144" s="191" t="s">
        <v>7785</v>
      </c>
      <c r="B144" s="192" t="s">
        <v>271</v>
      </c>
      <c r="C144" s="192" t="s">
        <v>8998</v>
      </c>
      <c r="D144" s="192" t="s">
        <v>8835</v>
      </c>
      <c r="E144" s="193">
        <v>225</v>
      </c>
      <c r="F144" s="193">
        <v>11</v>
      </c>
      <c r="K144" s="176">
        <v>9</v>
      </c>
      <c r="M144" s="197">
        <v>6.6</v>
      </c>
      <c r="N144" s="198">
        <v>41822</v>
      </c>
      <c r="S144" s="176">
        <f>(AE144*BS144)/100</f>
        <v>21.041428571428568</v>
      </c>
      <c r="T144" s="198"/>
      <c r="U144" s="176">
        <v>16.2</v>
      </c>
      <c r="Y144" s="200">
        <f>(AE144*BU144)/100</f>
        <v>7.4288278388278375</v>
      </c>
      <c r="Z144" s="198"/>
      <c r="AA144" s="200"/>
      <c r="AB144" s="198"/>
      <c r="AC144" s="378">
        <f t="shared" si="2"/>
        <v>37.766666666666666</v>
      </c>
      <c r="AE144" s="176">
        <f>(M144/U144)*((100-CC144)/(100-9))*100</f>
        <v>41.501831501831496</v>
      </c>
      <c r="AF144" s="198">
        <v>41822</v>
      </c>
      <c r="AG144" s="176">
        <v>4.5999999999999996</v>
      </c>
      <c r="AH144" s="196">
        <v>41927</v>
      </c>
      <c r="AI144" s="176">
        <v>155</v>
      </c>
      <c r="AM144" s="176">
        <v>84</v>
      </c>
      <c r="BG144" s="201">
        <v>0</v>
      </c>
      <c r="BI144" s="201">
        <v>4.5999999999999996</v>
      </c>
      <c r="BK144" s="201">
        <v>1.6</v>
      </c>
      <c r="BM144" s="201">
        <v>60.8</v>
      </c>
      <c r="BO144" s="201">
        <v>21.4</v>
      </c>
      <c r="BQ144" s="201">
        <v>9.1999999999999993</v>
      </c>
      <c r="BS144" s="201">
        <v>50.7</v>
      </c>
      <c r="BU144" s="201">
        <v>17.899999999999999</v>
      </c>
      <c r="BW144" s="201">
        <v>7.4</v>
      </c>
      <c r="BY144" s="178">
        <v>6.4000000000000057</v>
      </c>
      <c r="CC144" s="201">
        <v>7.3</v>
      </c>
      <c r="CD144" s="198">
        <v>41822</v>
      </c>
      <c r="CI144" s="174" t="s">
        <v>9346</v>
      </c>
      <c r="CL144" s="174" t="s">
        <v>9001</v>
      </c>
    </row>
    <row r="145" spans="1:91">
      <c r="A145" s="191" t="s">
        <v>7803</v>
      </c>
      <c r="B145" s="192" t="s">
        <v>271</v>
      </c>
      <c r="C145" s="192" t="s">
        <v>8998</v>
      </c>
      <c r="D145" s="192" t="s">
        <v>8907</v>
      </c>
      <c r="E145" s="193">
        <v>225</v>
      </c>
      <c r="F145" s="193">
        <v>12</v>
      </c>
      <c r="K145" s="176">
        <v>8</v>
      </c>
      <c r="M145" s="197">
        <v>7.1</v>
      </c>
      <c r="N145" s="198">
        <v>41822</v>
      </c>
      <c r="S145" s="176">
        <f>(AE145*BS145)/100</f>
        <v>22.635476190476187</v>
      </c>
      <c r="T145" s="198"/>
      <c r="U145" s="176">
        <v>16.2</v>
      </c>
      <c r="Y145" s="200">
        <f>(AE145*BU145)/100</f>
        <v>7.6790964590964572</v>
      </c>
      <c r="Z145" s="198"/>
      <c r="AA145" s="200"/>
      <c r="AB145" s="198"/>
      <c r="AC145" s="378">
        <f t="shared" si="2"/>
        <v>40.62777777777778</v>
      </c>
      <c r="AE145" s="176">
        <f>(M145/U145)*((100-CC145)/(100-9))*100</f>
        <v>44.64590964590964</v>
      </c>
      <c r="AF145" s="198">
        <v>41822</v>
      </c>
      <c r="AG145" s="176">
        <v>4.9000000000000004</v>
      </c>
      <c r="AH145" s="196">
        <v>41927</v>
      </c>
      <c r="AI145" s="176">
        <v>155</v>
      </c>
      <c r="AM145" s="176">
        <v>80</v>
      </c>
      <c r="BG145" s="201">
        <v>0.9</v>
      </c>
      <c r="BI145" s="201">
        <v>4.7</v>
      </c>
      <c r="BK145" s="201">
        <v>1.6</v>
      </c>
      <c r="BM145" s="201">
        <v>63.1</v>
      </c>
      <c r="BO145" s="201">
        <v>20.3</v>
      </c>
      <c r="BQ145" s="201">
        <v>8.4</v>
      </c>
      <c r="BS145" s="201">
        <v>50.7</v>
      </c>
      <c r="BU145" s="201">
        <v>17.2</v>
      </c>
      <c r="BW145" s="201">
        <v>9.1999999999999993</v>
      </c>
      <c r="BY145" s="178">
        <v>6.5999999999999943</v>
      </c>
      <c r="CC145" s="201">
        <v>7.3</v>
      </c>
      <c r="CD145" s="198">
        <v>41822</v>
      </c>
      <c r="CI145" s="174" t="s">
        <v>9358</v>
      </c>
      <c r="CL145" s="174">
        <v>4</v>
      </c>
    </row>
    <row r="146" spans="1:91">
      <c r="A146" s="202" t="s">
        <v>7661</v>
      </c>
      <c r="B146" s="203" t="s">
        <v>269</v>
      </c>
      <c r="C146" s="203" t="s">
        <v>417</v>
      </c>
      <c r="D146" s="203" t="s">
        <v>8337</v>
      </c>
      <c r="E146" s="204">
        <v>226</v>
      </c>
      <c r="F146" s="204">
        <v>1</v>
      </c>
      <c r="G146" s="204"/>
      <c r="H146" s="204"/>
      <c r="I146" s="206"/>
      <c r="J146" s="206"/>
      <c r="K146" s="177">
        <v>7</v>
      </c>
      <c r="L146" s="207"/>
      <c r="M146" s="208">
        <v>1.85</v>
      </c>
      <c r="N146" s="209">
        <v>41822</v>
      </c>
      <c r="O146" s="183"/>
      <c r="P146" s="210"/>
      <c r="Q146" s="183"/>
      <c r="R146" s="210"/>
      <c r="S146" s="177">
        <f>(AE146*BS146)/100</f>
        <v>5.4899521774521771</v>
      </c>
      <c r="T146" s="209"/>
      <c r="U146" s="177">
        <v>16.2</v>
      </c>
      <c r="V146" s="210"/>
      <c r="W146" s="183"/>
      <c r="X146" s="210"/>
      <c r="Y146" s="213">
        <f>(AE146*BU146)/100</f>
        <v>2.4040211640211639</v>
      </c>
      <c r="Z146" s="209"/>
      <c r="AA146" s="213"/>
      <c r="AB146" s="209"/>
      <c r="AC146" s="378">
        <f t="shared" si="2"/>
        <v>10.517592592592592</v>
      </c>
      <c r="AD146" s="207"/>
      <c r="AE146" s="177">
        <f>(M146/U146)*((100-CC146)/(100-9))*100</f>
        <v>11.557794057794057</v>
      </c>
      <c r="AF146" s="209">
        <v>41822</v>
      </c>
      <c r="AG146" s="177">
        <v>5</v>
      </c>
      <c r="AH146" s="207">
        <v>41927</v>
      </c>
      <c r="AI146" s="177">
        <v>100</v>
      </c>
      <c r="AJ146" s="207"/>
      <c r="AK146" s="183"/>
      <c r="AL146" s="210"/>
      <c r="AM146" s="177">
        <v>87</v>
      </c>
      <c r="AN146" s="210"/>
      <c r="AO146" s="183"/>
      <c r="AP146" s="183"/>
      <c r="AQ146" s="183"/>
      <c r="AR146" s="183"/>
      <c r="AS146" s="183"/>
      <c r="AT146" s="183"/>
      <c r="AU146" s="183"/>
      <c r="AV146" s="183"/>
      <c r="AW146" s="183"/>
      <c r="AX146" s="183"/>
      <c r="AY146" s="183"/>
      <c r="AZ146" s="183"/>
      <c r="BA146" s="183"/>
      <c r="BB146" s="183"/>
      <c r="BC146" s="183"/>
      <c r="BD146" s="183"/>
      <c r="BE146" s="182"/>
      <c r="BF146" s="182"/>
      <c r="BG146" s="211">
        <v>0</v>
      </c>
      <c r="BH146" s="181"/>
      <c r="BI146" s="211">
        <v>4.9000000000000004</v>
      </c>
      <c r="BJ146" s="181"/>
      <c r="BK146" s="211">
        <v>1.4</v>
      </c>
      <c r="BL146" s="181"/>
      <c r="BM146" s="211">
        <v>62.5</v>
      </c>
      <c r="BN146" s="181"/>
      <c r="BO146" s="211">
        <v>19.5</v>
      </c>
      <c r="BP146" s="181"/>
      <c r="BQ146" s="211">
        <v>9.6999999999999993</v>
      </c>
      <c r="BR146" s="181"/>
      <c r="BS146" s="211">
        <v>47.5</v>
      </c>
      <c r="BT146" s="181"/>
      <c r="BU146" s="211">
        <v>20.8</v>
      </c>
      <c r="BV146" s="181"/>
      <c r="BW146" s="211">
        <v>64.5</v>
      </c>
      <c r="BX146" s="181"/>
      <c r="BY146" s="181">
        <v>6.9000000000000057</v>
      </c>
      <c r="BZ146" s="181"/>
      <c r="CA146" s="182"/>
      <c r="CB146" s="182"/>
      <c r="CC146" s="211">
        <v>7.9</v>
      </c>
      <c r="CD146" s="209">
        <v>41822</v>
      </c>
      <c r="CE146" s="181"/>
      <c r="CF146" s="181"/>
      <c r="CG146" s="182"/>
      <c r="CH146" s="182"/>
      <c r="CI146" s="175" t="s">
        <v>9337</v>
      </c>
      <c r="CJ146" s="181"/>
      <c r="CK146" s="181"/>
      <c r="CL146" s="175">
        <v>8</v>
      </c>
      <c r="CM146" s="175"/>
    </row>
    <row r="147" spans="1:91">
      <c r="A147" s="191" t="s">
        <v>7682</v>
      </c>
      <c r="B147" s="192" t="s">
        <v>269</v>
      </c>
      <c r="C147" s="192" t="s">
        <v>417</v>
      </c>
      <c r="D147" s="192" t="s">
        <v>8421</v>
      </c>
      <c r="E147" s="193">
        <v>226</v>
      </c>
      <c r="F147" s="193">
        <v>2</v>
      </c>
      <c r="K147" s="176">
        <v>7</v>
      </c>
      <c r="M147" s="197">
        <v>3.4</v>
      </c>
      <c r="N147" s="198">
        <v>41822</v>
      </c>
      <c r="S147" s="176">
        <f>(AE147*BS147)/100</f>
        <v>10.891785375118708</v>
      </c>
      <c r="T147" s="198"/>
      <c r="U147" s="176">
        <v>16.2</v>
      </c>
      <c r="Y147" s="200">
        <f>(AE147*BU147)/100</f>
        <v>3.5107502374169046</v>
      </c>
      <c r="Z147" s="198"/>
      <c r="AA147" s="200"/>
      <c r="AB147" s="198"/>
      <c r="AC147" s="378">
        <f t="shared" si="2"/>
        <v>19.245679012345683</v>
      </c>
      <c r="AE147" s="176">
        <f>(M147/U147)*((100-CC147)/(100-9))*100</f>
        <v>21.149097815764485</v>
      </c>
      <c r="AF147" s="198">
        <v>41822</v>
      </c>
      <c r="AG147" s="176">
        <v>4.5999999999999996</v>
      </c>
      <c r="AH147" s="196">
        <v>41927</v>
      </c>
      <c r="AI147" s="176">
        <v>150</v>
      </c>
      <c r="AM147" s="176">
        <v>78</v>
      </c>
      <c r="BG147" s="201">
        <v>1.6</v>
      </c>
      <c r="BI147" s="201">
        <v>4.8</v>
      </c>
      <c r="BK147" s="201">
        <v>1.4</v>
      </c>
      <c r="BM147" s="201">
        <v>64</v>
      </c>
      <c r="BO147" s="201">
        <v>20.100000000000001</v>
      </c>
      <c r="BQ147" s="201">
        <v>10.3</v>
      </c>
      <c r="BS147" s="201">
        <v>51.5</v>
      </c>
      <c r="BU147" s="201">
        <v>16.600000000000001</v>
      </c>
      <c r="BW147" s="201">
        <v>14.6</v>
      </c>
      <c r="BY147" s="178">
        <v>7</v>
      </c>
      <c r="CC147" s="201">
        <v>8.3000000000000007</v>
      </c>
      <c r="CD147" s="198">
        <v>41822</v>
      </c>
      <c r="CI147" s="174" t="s">
        <v>9352</v>
      </c>
      <c r="CL147" s="174">
        <v>1</v>
      </c>
    </row>
    <row r="148" spans="1:91">
      <c r="A148" s="191" t="s">
        <v>7808</v>
      </c>
      <c r="B148" s="192" t="s">
        <v>269</v>
      </c>
      <c r="C148" s="192" t="s">
        <v>417</v>
      </c>
      <c r="D148" s="192" t="s">
        <v>8925</v>
      </c>
      <c r="E148" s="193">
        <v>226</v>
      </c>
      <c r="F148" s="193">
        <v>3</v>
      </c>
      <c r="K148" s="176">
        <v>7</v>
      </c>
      <c r="M148" s="197">
        <v>4.9000000000000004</v>
      </c>
      <c r="N148" s="198">
        <v>41822</v>
      </c>
      <c r="S148" s="176">
        <f>(AE148*BS148)/100</f>
        <v>15.914496676163344</v>
      </c>
      <c r="T148" s="198"/>
      <c r="U148" s="176">
        <v>16.2</v>
      </c>
      <c r="Y148" s="200">
        <f>(AE148*BU148)/100</f>
        <v>5.0400997150997151</v>
      </c>
      <c r="Z148" s="198"/>
      <c r="AA148" s="200"/>
      <c r="AB148" s="198"/>
      <c r="AC148" s="378">
        <f t="shared" si="2"/>
        <v>27.796913580246915</v>
      </c>
      <c r="AE148" s="176">
        <f>(M148/U148)*((100-CC148)/(100-9))*100</f>
        <v>30.546058879392213</v>
      </c>
      <c r="AF148" s="198">
        <v>41822</v>
      </c>
      <c r="AG148" s="176">
        <v>5.2</v>
      </c>
      <c r="AH148" s="196">
        <v>41927</v>
      </c>
      <c r="AI148" s="176">
        <v>150</v>
      </c>
      <c r="AM148" s="176">
        <v>85</v>
      </c>
      <c r="BG148" s="201">
        <v>0</v>
      </c>
      <c r="BI148" s="201">
        <v>4.7</v>
      </c>
      <c r="BK148" s="201">
        <v>1.7</v>
      </c>
      <c r="BM148" s="201">
        <v>63.7</v>
      </c>
      <c r="BO148" s="201">
        <v>19.2</v>
      </c>
      <c r="BQ148" s="201">
        <v>8.5</v>
      </c>
      <c r="BS148" s="201">
        <v>52.1</v>
      </c>
      <c r="BU148" s="201">
        <v>16.5</v>
      </c>
      <c r="BW148" s="201">
        <v>18.7</v>
      </c>
      <c r="BY148" s="178">
        <v>7.2999999999999972</v>
      </c>
      <c r="CC148" s="201">
        <v>8.1</v>
      </c>
      <c r="CD148" s="198">
        <v>41822</v>
      </c>
      <c r="CI148" s="174" t="s">
        <v>9374</v>
      </c>
      <c r="CL148" s="174">
        <v>3</v>
      </c>
    </row>
    <row r="149" spans="1:91">
      <c r="A149" s="191" t="s">
        <v>7654</v>
      </c>
      <c r="B149" s="192" t="s">
        <v>269</v>
      </c>
      <c r="C149" s="192" t="s">
        <v>417</v>
      </c>
      <c r="D149" s="192" t="s">
        <v>8309</v>
      </c>
      <c r="E149" s="193">
        <v>226</v>
      </c>
      <c r="F149" s="193">
        <v>4</v>
      </c>
      <c r="K149" s="176">
        <v>7</v>
      </c>
      <c r="M149" s="197">
        <v>1.85</v>
      </c>
      <c r="N149" s="198">
        <v>41822</v>
      </c>
      <c r="S149" s="176">
        <f>(AE149*BS149)/100</f>
        <v>5.0991832858499526</v>
      </c>
      <c r="T149" s="198"/>
      <c r="U149" s="176">
        <v>16.2</v>
      </c>
      <c r="Y149" s="200">
        <f>(AE149*BU149)/100</f>
        <v>2.3560958485958485</v>
      </c>
      <c r="Z149" s="198"/>
      <c r="AA149" s="200"/>
      <c r="AB149" s="198"/>
      <c r="AC149" s="378">
        <f t="shared" si="2"/>
        <v>10.357716049382717</v>
      </c>
      <c r="AE149" s="176">
        <f>(M149/U149)*((100-CC149)/(100-9))*100</f>
        <v>11.382105548772216</v>
      </c>
      <c r="AF149" s="198">
        <v>41822</v>
      </c>
      <c r="AG149" s="176">
        <v>3.8</v>
      </c>
      <c r="AH149" s="196">
        <v>41927</v>
      </c>
      <c r="AI149" s="176">
        <v>110</v>
      </c>
      <c r="AM149" s="176">
        <v>80</v>
      </c>
      <c r="BG149" s="201">
        <v>1.4</v>
      </c>
      <c r="BI149" s="201">
        <v>4.8</v>
      </c>
      <c r="BK149" s="201">
        <v>1.3</v>
      </c>
      <c r="BM149" s="201">
        <v>57.9</v>
      </c>
      <c r="BO149" s="201">
        <v>19.600000000000001</v>
      </c>
      <c r="BQ149" s="201">
        <v>12.1</v>
      </c>
      <c r="BS149" s="201">
        <v>44.8</v>
      </c>
      <c r="BU149" s="201">
        <v>20.7</v>
      </c>
      <c r="BW149" s="201">
        <v>77.400000000000006</v>
      </c>
      <c r="BY149" s="178">
        <v>7.7999999999999972</v>
      </c>
      <c r="CC149" s="201">
        <v>9.3000000000000007</v>
      </c>
      <c r="CD149" s="198">
        <v>41822</v>
      </c>
      <c r="CI149" s="174" t="s">
        <v>9349</v>
      </c>
      <c r="CL149" s="174">
        <v>8</v>
      </c>
    </row>
    <row r="150" spans="1:91">
      <c r="A150" s="191" t="s">
        <v>7733</v>
      </c>
      <c r="B150" s="192" t="s">
        <v>269</v>
      </c>
      <c r="C150" s="192" t="s">
        <v>417</v>
      </c>
      <c r="D150" s="192" t="s">
        <v>8625</v>
      </c>
      <c r="E150" s="193">
        <v>226</v>
      </c>
      <c r="F150" s="193">
        <v>5</v>
      </c>
      <c r="K150" s="176">
        <v>6</v>
      </c>
      <c r="M150" s="197">
        <v>2.5</v>
      </c>
      <c r="N150" s="198">
        <v>41822</v>
      </c>
      <c r="S150" s="176">
        <f>(AE150*BS150)/100</f>
        <v>7.6531339031339032</v>
      </c>
      <c r="T150" s="198"/>
      <c r="U150" s="176">
        <v>16.2</v>
      </c>
      <c r="Y150" s="200">
        <f>(AE150*BU150)/100</f>
        <v>2.8269739519739523</v>
      </c>
      <c r="Z150" s="198"/>
      <c r="AA150" s="200"/>
      <c r="AB150" s="198"/>
      <c r="AC150" s="378">
        <f t="shared" si="2"/>
        <v>14.212962962962964</v>
      </c>
      <c r="AE150" s="176">
        <f>(M150/U150)*((100-CC150)/(100-9))*100</f>
        <v>15.618640618640619</v>
      </c>
      <c r="AF150" s="198">
        <v>41822</v>
      </c>
      <c r="AG150" s="176">
        <v>4.5</v>
      </c>
      <c r="AH150" s="196">
        <v>41927</v>
      </c>
      <c r="AI150" s="176">
        <v>135</v>
      </c>
      <c r="AM150" s="176">
        <v>87</v>
      </c>
      <c r="BG150" s="201">
        <v>0.9</v>
      </c>
      <c r="BI150" s="201">
        <v>4.4000000000000004</v>
      </c>
      <c r="BK150" s="201">
        <v>1.6</v>
      </c>
      <c r="BM150" s="201">
        <v>63.6</v>
      </c>
      <c r="BO150" s="201">
        <v>18.5</v>
      </c>
      <c r="BQ150" s="201">
        <v>9</v>
      </c>
      <c r="BS150" s="201">
        <v>49</v>
      </c>
      <c r="BU150" s="201">
        <v>18.100000000000001</v>
      </c>
      <c r="BW150" s="201">
        <v>16.399999999999999</v>
      </c>
      <c r="BY150" s="178">
        <v>6.7999999999999972</v>
      </c>
      <c r="CC150" s="201">
        <v>7.9</v>
      </c>
      <c r="CD150" s="198">
        <v>41822</v>
      </c>
      <c r="CI150" s="174" t="s">
        <v>9349</v>
      </c>
      <c r="CL150" s="174">
        <v>6</v>
      </c>
    </row>
    <row r="151" spans="1:91">
      <c r="A151" s="191" t="s">
        <v>7771</v>
      </c>
      <c r="B151" s="192" t="s">
        <v>269</v>
      </c>
      <c r="C151" s="192" t="s">
        <v>417</v>
      </c>
      <c r="D151" s="192" t="s">
        <v>8777</v>
      </c>
      <c r="E151" s="193">
        <v>226</v>
      </c>
      <c r="F151" s="193">
        <v>6</v>
      </c>
      <c r="K151" s="176">
        <v>8</v>
      </c>
      <c r="M151" s="197">
        <v>4.8</v>
      </c>
      <c r="N151" s="198">
        <v>41822</v>
      </c>
      <c r="S151" s="176">
        <f>(AE151*BS151)/100</f>
        <v>15.764786324786321</v>
      </c>
      <c r="T151" s="198"/>
      <c r="U151" s="176">
        <v>16.2</v>
      </c>
      <c r="Y151" s="200">
        <f>(AE151*BU151)/100</f>
        <v>4.5980626780626777</v>
      </c>
      <c r="Z151" s="198"/>
      <c r="AA151" s="200"/>
      <c r="AB151" s="198"/>
      <c r="AC151" s="378">
        <f t="shared" si="2"/>
        <v>27.170370370370371</v>
      </c>
      <c r="AE151" s="176">
        <f>(M151/U151)*((100-CC151)/(100-9))*100</f>
        <v>29.857549857549852</v>
      </c>
      <c r="AF151" s="198">
        <v>41822</v>
      </c>
      <c r="AG151" s="176">
        <v>4.7</v>
      </c>
      <c r="AH151" s="196">
        <v>41927</v>
      </c>
      <c r="AI151" s="176">
        <v>145</v>
      </c>
      <c r="AM151" s="176">
        <v>85</v>
      </c>
      <c r="BG151" s="201">
        <v>2.2999999999999998</v>
      </c>
      <c r="BI151" s="201">
        <v>5</v>
      </c>
      <c r="BK151" s="201">
        <v>1.7</v>
      </c>
      <c r="BM151" s="201">
        <v>66.2</v>
      </c>
      <c r="BO151" s="201">
        <v>19.3</v>
      </c>
      <c r="BQ151" s="201">
        <v>7.3</v>
      </c>
      <c r="BS151" s="201">
        <v>52.8</v>
      </c>
      <c r="BU151" s="201">
        <v>15.4</v>
      </c>
      <c r="BW151" s="201">
        <v>13.6</v>
      </c>
      <c r="BY151" s="178">
        <v>7.2999999999999972</v>
      </c>
      <c r="CC151" s="201">
        <v>8.3000000000000007</v>
      </c>
      <c r="CD151" s="198">
        <v>41822</v>
      </c>
      <c r="CI151" s="174" t="s">
        <v>9354</v>
      </c>
      <c r="CL151" s="174">
        <v>1</v>
      </c>
    </row>
    <row r="152" spans="1:91">
      <c r="A152" s="191" t="s">
        <v>7648</v>
      </c>
      <c r="B152" s="192" t="s">
        <v>271</v>
      </c>
      <c r="C152" s="192" t="s">
        <v>8998</v>
      </c>
      <c r="D152" s="192" t="s">
        <v>8287</v>
      </c>
      <c r="E152" s="193">
        <v>226</v>
      </c>
      <c r="F152" s="193">
        <v>7</v>
      </c>
      <c r="K152" s="176">
        <v>8</v>
      </c>
      <c r="M152" s="197">
        <v>5.15</v>
      </c>
      <c r="N152" s="198">
        <v>41822</v>
      </c>
      <c r="S152" s="176">
        <f>(AE152*BS152)/100</f>
        <v>14.928607041107043</v>
      </c>
      <c r="T152" s="198"/>
      <c r="U152" s="176">
        <v>16.2</v>
      </c>
      <c r="Y152" s="200">
        <f>(AE152*BU152)/100</f>
        <v>6.5172198480531822</v>
      </c>
      <c r="Z152" s="198"/>
      <c r="AA152" s="200"/>
      <c r="AB152" s="198"/>
      <c r="AC152" s="378">
        <f t="shared" si="2"/>
        <v>29.215123456790128</v>
      </c>
      <c r="AE152" s="176">
        <f>(M152/U152)*((100-CC152)/(100-9))*100</f>
        <v>32.104531271197942</v>
      </c>
      <c r="AF152" s="198">
        <v>41822</v>
      </c>
      <c r="AG152" s="176">
        <v>5.3</v>
      </c>
      <c r="AH152" s="196">
        <v>41927</v>
      </c>
      <c r="AI152" s="176">
        <v>170</v>
      </c>
      <c r="AM152" s="176">
        <v>85</v>
      </c>
      <c r="BG152" s="201">
        <v>2.7</v>
      </c>
      <c r="BI152" s="201">
        <v>4.5999999999999996</v>
      </c>
      <c r="BK152" s="201">
        <v>1.4</v>
      </c>
      <c r="BM152" s="201">
        <v>65.7</v>
      </c>
      <c r="BO152" s="201">
        <v>19.100000000000001</v>
      </c>
      <c r="BQ152" s="201">
        <v>7.9</v>
      </c>
      <c r="BS152" s="201">
        <v>46.5</v>
      </c>
      <c r="BU152" s="201">
        <v>20.3</v>
      </c>
      <c r="BW152" s="201">
        <v>75</v>
      </c>
      <c r="BY152" s="178">
        <v>6.7000000000000028</v>
      </c>
      <c r="CC152" s="201">
        <v>8.1</v>
      </c>
      <c r="CD152" s="198">
        <v>41822</v>
      </c>
      <c r="CI152" s="174" t="s">
        <v>9381</v>
      </c>
      <c r="CL152" s="174">
        <v>4</v>
      </c>
    </row>
    <row r="153" spans="1:91">
      <c r="A153" s="191" t="s">
        <v>7804</v>
      </c>
      <c r="B153" s="192" t="s">
        <v>271</v>
      </c>
      <c r="C153" s="192" t="s">
        <v>8998</v>
      </c>
      <c r="D153" s="192" t="s">
        <v>8911</v>
      </c>
      <c r="E153" s="193">
        <v>226</v>
      </c>
      <c r="F153" s="193">
        <v>8</v>
      </c>
      <c r="K153" s="176">
        <v>8</v>
      </c>
      <c r="M153" s="197">
        <v>7.5</v>
      </c>
      <c r="N153" s="198">
        <v>41822</v>
      </c>
      <c r="S153" s="176">
        <f>(AE153*BS153)/100</f>
        <v>23.410256410256405</v>
      </c>
      <c r="T153" s="198"/>
      <c r="U153" s="176">
        <v>16.2</v>
      </c>
      <c r="Y153" s="200">
        <f>(AE153*BU153)/100</f>
        <v>8.1750101750101756</v>
      </c>
      <c r="Z153" s="198"/>
      <c r="AA153" s="200"/>
      <c r="AB153" s="198"/>
      <c r="AC153" s="378">
        <f t="shared" si="2"/>
        <v>42.268518518518519</v>
      </c>
      <c r="AE153" s="176">
        <f>(M153/U153)*((100-CC153)/(100-9))*100</f>
        <v>46.448921448921446</v>
      </c>
      <c r="AF153" s="198">
        <v>41822</v>
      </c>
      <c r="AG153" s="176">
        <v>4.8</v>
      </c>
      <c r="AH153" s="196">
        <v>41927</v>
      </c>
      <c r="AI153" s="176">
        <v>170</v>
      </c>
      <c r="AM153" s="176">
        <v>86</v>
      </c>
      <c r="BG153" s="201">
        <v>0</v>
      </c>
      <c r="BI153" s="201">
        <v>4.4000000000000004</v>
      </c>
      <c r="BK153" s="201">
        <v>1.6</v>
      </c>
      <c r="BM153" s="201">
        <v>65.2</v>
      </c>
      <c r="BO153" s="201">
        <v>19.100000000000001</v>
      </c>
      <c r="BQ153" s="201">
        <v>8.1</v>
      </c>
      <c r="BS153" s="201">
        <v>50.4</v>
      </c>
      <c r="BU153" s="201">
        <v>17.600000000000001</v>
      </c>
      <c r="BW153" s="201">
        <v>9.4</v>
      </c>
      <c r="BY153" s="178">
        <v>7.2999999999999972</v>
      </c>
      <c r="CC153" s="201">
        <v>8.6999999999999993</v>
      </c>
      <c r="CD153" s="198">
        <v>41822</v>
      </c>
      <c r="CI153" s="174" t="s">
        <v>9381</v>
      </c>
      <c r="CL153" s="174">
        <v>2</v>
      </c>
    </row>
    <row r="154" spans="1:91" s="181" customFormat="1">
      <c r="A154" s="191" t="s">
        <v>7777</v>
      </c>
      <c r="B154" s="192" t="s">
        <v>271</v>
      </c>
      <c r="C154" s="192" t="s">
        <v>8998</v>
      </c>
      <c r="D154" s="192" t="s">
        <v>8803</v>
      </c>
      <c r="E154" s="193">
        <v>226</v>
      </c>
      <c r="F154" s="193">
        <v>9</v>
      </c>
      <c r="G154" s="193"/>
      <c r="H154" s="193"/>
      <c r="I154" s="195"/>
      <c r="J154" s="195"/>
      <c r="K154" s="176">
        <v>9</v>
      </c>
      <c r="L154" s="196"/>
      <c r="M154" s="197">
        <v>7.4</v>
      </c>
      <c r="N154" s="198">
        <v>41822</v>
      </c>
      <c r="O154" s="180"/>
      <c r="P154" s="199"/>
      <c r="Q154" s="180"/>
      <c r="R154" s="199"/>
      <c r="S154" s="176">
        <f>(AE154*BS154)/100</f>
        <v>24.217205263871929</v>
      </c>
      <c r="T154" s="198"/>
      <c r="U154" s="176">
        <v>16.2</v>
      </c>
      <c r="V154" s="199"/>
      <c r="W154" s="180"/>
      <c r="X154" s="199"/>
      <c r="Y154" s="200">
        <f>(AE154*BU154)/100</f>
        <v>7.8554850088183414</v>
      </c>
      <c r="Z154" s="198"/>
      <c r="AA154" s="200"/>
      <c r="AB154" s="198"/>
      <c r="AC154" s="378">
        <f t="shared" si="2"/>
        <v>42.298765432098769</v>
      </c>
      <c r="AD154" s="196"/>
      <c r="AE154" s="176">
        <f>(M154/U154)*((100-CC154)/(100-9))*100</f>
        <v>46.482159815493148</v>
      </c>
      <c r="AF154" s="198">
        <v>41822</v>
      </c>
      <c r="AG154" s="176">
        <v>4.3</v>
      </c>
      <c r="AH154" s="196">
        <v>41927</v>
      </c>
      <c r="AI154" s="176">
        <v>160</v>
      </c>
      <c r="AJ154" s="196"/>
      <c r="AK154" s="180"/>
      <c r="AL154" s="199"/>
      <c r="AM154" s="176">
        <v>76</v>
      </c>
      <c r="AN154" s="199"/>
      <c r="AO154" s="180"/>
      <c r="AP154" s="180"/>
      <c r="AQ154" s="180"/>
      <c r="AR154" s="180"/>
      <c r="AS154" s="180"/>
      <c r="AT154" s="180"/>
      <c r="AU154" s="180"/>
      <c r="AV154" s="180"/>
      <c r="AW154" s="180"/>
      <c r="AX154" s="180"/>
      <c r="AY154" s="180"/>
      <c r="AZ154" s="180"/>
      <c r="BA154" s="180"/>
      <c r="BB154" s="180"/>
      <c r="BC154" s="180"/>
      <c r="BD154" s="180"/>
      <c r="BE154" s="179"/>
      <c r="BF154" s="179"/>
      <c r="BG154" s="201">
        <v>0</v>
      </c>
      <c r="BH154" s="178"/>
      <c r="BI154" s="201">
        <v>4.7</v>
      </c>
      <c r="BJ154" s="178"/>
      <c r="BK154" s="201">
        <v>1.6</v>
      </c>
      <c r="BL154" s="178"/>
      <c r="BM154" s="201">
        <v>63.6</v>
      </c>
      <c r="BN154" s="178"/>
      <c r="BO154" s="201">
        <v>19.899999999999999</v>
      </c>
      <c r="BP154" s="178"/>
      <c r="BQ154" s="201">
        <v>9.4</v>
      </c>
      <c r="BR154" s="178"/>
      <c r="BS154" s="201">
        <v>52.1</v>
      </c>
      <c r="BT154" s="178"/>
      <c r="BU154" s="201">
        <v>16.899999999999999</v>
      </c>
      <c r="BV154" s="178"/>
      <c r="BW154" s="201">
        <v>13</v>
      </c>
      <c r="BX154" s="178"/>
      <c r="BY154" s="178">
        <v>6.7000000000000028</v>
      </c>
      <c r="BZ154" s="178"/>
      <c r="CA154" s="179"/>
      <c r="CB154" s="179"/>
      <c r="CC154" s="201">
        <v>7.4</v>
      </c>
      <c r="CD154" s="198">
        <v>41822</v>
      </c>
      <c r="CE154" s="178"/>
      <c r="CF154" s="178"/>
      <c r="CG154" s="179"/>
      <c r="CH154" s="179"/>
      <c r="CI154" s="174" t="s">
        <v>9347</v>
      </c>
      <c r="CJ154" s="178"/>
      <c r="CK154" s="178"/>
      <c r="CL154" s="174">
        <v>1</v>
      </c>
      <c r="CM154" s="174"/>
    </row>
    <row r="155" spans="1:91" s="181" customFormat="1">
      <c r="A155" s="202" t="s">
        <v>7655</v>
      </c>
      <c r="B155" s="203" t="s">
        <v>271</v>
      </c>
      <c r="C155" s="203" t="s">
        <v>8998</v>
      </c>
      <c r="D155" s="203" t="s">
        <v>8315</v>
      </c>
      <c r="E155" s="204">
        <v>226</v>
      </c>
      <c r="F155" s="204">
        <v>10</v>
      </c>
      <c r="G155" s="204"/>
      <c r="H155" s="204"/>
      <c r="I155" s="206"/>
      <c r="J155" s="206"/>
      <c r="K155" s="177">
        <v>9</v>
      </c>
      <c r="L155" s="207"/>
      <c r="M155" s="208">
        <v>0.85</v>
      </c>
      <c r="N155" s="209">
        <v>41822</v>
      </c>
      <c r="O155" s="183"/>
      <c r="P155" s="210"/>
      <c r="Q155" s="183"/>
      <c r="R155" s="210"/>
      <c r="S155" s="177">
        <f>(AE155*BS155)/100</f>
        <v>2.4280986297652962</v>
      </c>
      <c r="T155" s="209"/>
      <c r="U155" s="177">
        <v>16.2</v>
      </c>
      <c r="V155" s="210"/>
      <c r="W155" s="183"/>
      <c r="X155" s="210"/>
      <c r="Y155" s="213">
        <f>(AE155*BU155)/100</f>
        <v>1.0007017365350697</v>
      </c>
      <c r="Z155" s="209"/>
      <c r="AA155" s="213"/>
      <c r="AB155" s="209"/>
      <c r="AC155" s="378">
        <f t="shared" si="2"/>
        <v>4.6225308641975307</v>
      </c>
      <c r="AD155" s="207"/>
      <c r="AE155" s="177">
        <f>(M155/U155)*((100-CC155)/(100-9))*100</f>
        <v>5.0797042463709126</v>
      </c>
      <c r="AF155" s="209">
        <v>41822</v>
      </c>
      <c r="AG155" s="177">
        <v>4.2</v>
      </c>
      <c r="AH155" s="207">
        <v>41927</v>
      </c>
      <c r="AI155" s="177">
        <v>20</v>
      </c>
      <c r="AJ155" s="207"/>
      <c r="AK155" s="183"/>
      <c r="AL155" s="210"/>
      <c r="AM155" s="177">
        <v>86</v>
      </c>
      <c r="AN155" s="210"/>
      <c r="AO155" s="183"/>
      <c r="AP155" s="183"/>
      <c r="AQ155" s="183"/>
      <c r="AR155" s="183"/>
      <c r="AS155" s="183"/>
      <c r="AT155" s="183"/>
      <c r="AU155" s="183"/>
      <c r="AV155" s="183"/>
      <c r="AW155" s="183"/>
      <c r="AX155" s="183"/>
      <c r="AY155" s="183"/>
      <c r="AZ155" s="183"/>
      <c r="BA155" s="183"/>
      <c r="BB155" s="183"/>
      <c r="BC155" s="183"/>
      <c r="BD155" s="183"/>
      <c r="BE155" s="182"/>
      <c r="BF155" s="182"/>
      <c r="BG155" s="211">
        <v>3.7</v>
      </c>
      <c r="BI155" s="211">
        <v>4.3</v>
      </c>
      <c r="BK155" s="211">
        <v>1.5</v>
      </c>
      <c r="BM155" s="211">
        <v>64.5</v>
      </c>
      <c r="BO155" s="211">
        <v>19.100000000000001</v>
      </c>
      <c r="BQ155" s="211">
        <v>9.4</v>
      </c>
      <c r="BS155" s="211">
        <v>47.8</v>
      </c>
      <c r="BU155" s="211">
        <v>19.7</v>
      </c>
      <c r="BW155" s="211">
        <v>25.3</v>
      </c>
      <c r="BY155" s="181">
        <v>7.2000000000000028</v>
      </c>
      <c r="CA155" s="182"/>
      <c r="CB155" s="182"/>
      <c r="CC155" s="211">
        <v>11.9</v>
      </c>
      <c r="CD155" s="209">
        <v>41822</v>
      </c>
      <c r="CG155" s="182"/>
      <c r="CH155" s="182"/>
      <c r="CI155" s="175" t="s">
        <v>9349</v>
      </c>
      <c r="CL155" s="175">
        <v>9</v>
      </c>
      <c r="CM155" s="175"/>
    </row>
    <row r="156" spans="1:91" s="181" customFormat="1">
      <c r="A156" s="191" t="s">
        <v>7800</v>
      </c>
      <c r="B156" s="192" t="s">
        <v>271</v>
      </c>
      <c r="C156" s="192" t="s">
        <v>8998</v>
      </c>
      <c r="D156" s="192" t="s">
        <v>8895</v>
      </c>
      <c r="E156" s="193">
        <v>226</v>
      </c>
      <c r="F156" s="193">
        <v>11</v>
      </c>
      <c r="G156" s="193"/>
      <c r="H156" s="193"/>
      <c r="I156" s="195"/>
      <c r="J156" s="195"/>
      <c r="K156" s="176">
        <v>9</v>
      </c>
      <c r="L156" s="196"/>
      <c r="M156" s="197">
        <v>5.85</v>
      </c>
      <c r="N156" s="198">
        <v>41822</v>
      </c>
      <c r="O156" s="180"/>
      <c r="P156" s="199"/>
      <c r="Q156" s="180"/>
      <c r="R156" s="199"/>
      <c r="S156" s="176">
        <f>(AE156*BS156)/100</f>
        <v>18.663333333333334</v>
      </c>
      <c r="T156" s="198"/>
      <c r="U156" s="176">
        <v>16.2</v>
      </c>
      <c r="V156" s="199"/>
      <c r="W156" s="180"/>
      <c r="X156" s="199"/>
      <c r="Y156" s="200">
        <f>(AE156*BU156)/100</f>
        <v>6.7100000000000009</v>
      </c>
      <c r="Z156" s="198"/>
      <c r="AA156" s="200"/>
      <c r="AB156" s="198"/>
      <c r="AC156" s="378">
        <f t="shared" si="2"/>
        <v>33.366666666666667</v>
      </c>
      <c r="AD156" s="196"/>
      <c r="AE156" s="176">
        <f>(M156/U156)*((100-CC156)/(100-9))*100</f>
        <v>36.666666666666671</v>
      </c>
      <c r="AF156" s="198">
        <v>41822</v>
      </c>
      <c r="AG156" s="176">
        <v>4.4000000000000004</v>
      </c>
      <c r="AH156" s="196">
        <v>41927</v>
      </c>
      <c r="AI156" s="176">
        <v>155</v>
      </c>
      <c r="AJ156" s="196"/>
      <c r="AK156" s="180"/>
      <c r="AL156" s="199"/>
      <c r="AM156" s="176">
        <v>85</v>
      </c>
      <c r="AN156" s="199"/>
      <c r="AO156" s="180"/>
      <c r="AP156" s="180"/>
      <c r="AQ156" s="180"/>
      <c r="AR156" s="180"/>
      <c r="AS156" s="180"/>
      <c r="AT156" s="180"/>
      <c r="AU156" s="180"/>
      <c r="AV156" s="180"/>
      <c r="AW156" s="180"/>
      <c r="AX156" s="180"/>
      <c r="AY156" s="180"/>
      <c r="AZ156" s="180"/>
      <c r="BA156" s="180"/>
      <c r="BB156" s="180"/>
      <c r="BC156" s="180"/>
      <c r="BD156" s="180"/>
      <c r="BE156" s="179"/>
      <c r="BF156" s="179"/>
      <c r="BG156" s="201">
        <v>0.8</v>
      </c>
      <c r="BH156" s="178"/>
      <c r="BI156" s="201">
        <v>4.4000000000000004</v>
      </c>
      <c r="BJ156" s="178"/>
      <c r="BK156" s="201">
        <v>1.5</v>
      </c>
      <c r="BL156" s="178"/>
      <c r="BM156" s="201">
        <v>64.7</v>
      </c>
      <c r="BN156" s="178"/>
      <c r="BO156" s="201">
        <v>20.2</v>
      </c>
      <c r="BP156" s="178"/>
      <c r="BQ156" s="201">
        <v>8.6</v>
      </c>
      <c r="BR156" s="178"/>
      <c r="BS156" s="201">
        <v>50.9</v>
      </c>
      <c r="BT156" s="178"/>
      <c r="BU156" s="201">
        <v>18.3</v>
      </c>
      <c r="BV156" s="178"/>
      <c r="BW156" s="201">
        <v>9.8000000000000007</v>
      </c>
      <c r="BX156" s="178"/>
      <c r="BY156" s="178">
        <v>6.4000000000000057</v>
      </c>
      <c r="BZ156" s="178"/>
      <c r="CA156" s="179"/>
      <c r="CB156" s="179"/>
      <c r="CC156" s="201">
        <v>7.6</v>
      </c>
      <c r="CD156" s="198">
        <v>41822</v>
      </c>
      <c r="CE156" s="178"/>
      <c r="CF156" s="178"/>
      <c r="CG156" s="179"/>
      <c r="CH156" s="179"/>
      <c r="CI156" s="174" t="s">
        <v>9381</v>
      </c>
      <c r="CJ156" s="178"/>
      <c r="CK156" s="178"/>
      <c r="CL156" s="174">
        <v>1</v>
      </c>
      <c r="CM156" s="174"/>
    </row>
    <row r="157" spans="1:91" s="181" customFormat="1">
      <c r="A157" s="191" t="s">
        <v>7659</v>
      </c>
      <c r="B157" s="192" t="s">
        <v>271</v>
      </c>
      <c r="C157" s="192" t="s">
        <v>8998</v>
      </c>
      <c r="D157" s="192" t="s">
        <v>8331</v>
      </c>
      <c r="E157" s="193">
        <v>226</v>
      </c>
      <c r="F157" s="193">
        <v>12</v>
      </c>
      <c r="G157" s="193"/>
      <c r="H157" s="193"/>
      <c r="I157" s="195"/>
      <c r="J157" s="195"/>
      <c r="K157" s="176">
        <v>9</v>
      </c>
      <c r="L157" s="196"/>
      <c r="M157" s="197">
        <v>4.05</v>
      </c>
      <c r="N157" s="198">
        <v>41822</v>
      </c>
      <c r="O157" s="180"/>
      <c r="P157" s="199"/>
      <c r="Q157" s="180"/>
      <c r="R157" s="199"/>
      <c r="S157" s="176">
        <f>(AE157*BS157)/100</f>
        <v>11.816620879120878</v>
      </c>
      <c r="T157" s="198"/>
      <c r="U157" s="176">
        <v>16.2</v>
      </c>
      <c r="V157" s="199"/>
      <c r="W157" s="180"/>
      <c r="X157" s="199"/>
      <c r="Y157" s="200">
        <f>(AE157*BU157)/100</f>
        <v>5.3111263736263732</v>
      </c>
      <c r="Z157" s="198"/>
      <c r="AA157" s="200"/>
      <c r="AB157" s="198"/>
      <c r="AC157" s="378">
        <f t="shared" si="2"/>
        <v>23.125</v>
      </c>
      <c r="AD157" s="196"/>
      <c r="AE157" s="176">
        <f>(M157/U157)*((100-CC157)/(100-9))*100</f>
        <v>25.412087912087912</v>
      </c>
      <c r="AF157" s="198">
        <v>41822</v>
      </c>
      <c r="AG157" s="176">
        <v>5.6</v>
      </c>
      <c r="AH157" s="196">
        <v>41927</v>
      </c>
      <c r="AI157" s="176">
        <v>150</v>
      </c>
      <c r="AJ157" s="196"/>
      <c r="AK157" s="180"/>
      <c r="AL157" s="199"/>
      <c r="AM157" s="176">
        <v>80</v>
      </c>
      <c r="AN157" s="199"/>
      <c r="AO157" s="180"/>
      <c r="AP157" s="180"/>
      <c r="AQ157" s="180"/>
      <c r="AR157" s="180"/>
      <c r="AS157" s="180"/>
      <c r="AT157" s="180"/>
      <c r="AU157" s="180"/>
      <c r="AV157" s="180"/>
      <c r="AW157" s="180"/>
      <c r="AX157" s="180"/>
      <c r="AY157" s="180"/>
      <c r="AZ157" s="180"/>
      <c r="BA157" s="180"/>
      <c r="BB157" s="180"/>
      <c r="BC157" s="180"/>
      <c r="BD157" s="180"/>
      <c r="BE157" s="179"/>
      <c r="BF157" s="179"/>
      <c r="BG157" s="201">
        <v>2</v>
      </c>
      <c r="BH157" s="178"/>
      <c r="BI157" s="201">
        <v>4.5999999999999996</v>
      </c>
      <c r="BJ157" s="178"/>
      <c r="BK157" s="201">
        <v>1.5</v>
      </c>
      <c r="BL157" s="178"/>
      <c r="BM157" s="201">
        <v>57.1</v>
      </c>
      <c r="BN157" s="178"/>
      <c r="BO157" s="201">
        <v>22.3</v>
      </c>
      <c r="BP157" s="178"/>
      <c r="BQ157" s="201">
        <v>11</v>
      </c>
      <c r="BR157" s="178"/>
      <c r="BS157" s="201">
        <v>46.5</v>
      </c>
      <c r="BT157" s="178"/>
      <c r="BU157" s="201">
        <v>20.9</v>
      </c>
      <c r="BV157" s="178"/>
      <c r="BW157" s="201">
        <v>21</v>
      </c>
      <c r="BX157" s="178"/>
      <c r="BY157" s="178">
        <v>6.5999999999999943</v>
      </c>
      <c r="BZ157" s="178"/>
      <c r="CA157" s="179"/>
      <c r="CB157" s="179"/>
      <c r="CC157" s="201">
        <v>7.5</v>
      </c>
      <c r="CD157" s="198">
        <v>41822</v>
      </c>
      <c r="CE157" s="178"/>
      <c r="CF157" s="178"/>
      <c r="CG157" s="179"/>
      <c r="CH157" s="179"/>
      <c r="CI157" s="174" t="s">
        <v>9358</v>
      </c>
      <c r="CJ157" s="178"/>
      <c r="CK157" s="178"/>
      <c r="CL157" s="174">
        <v>5</v>
      </c>
      <c r="CM157" s="174"/>
    </row>
    <row r="158" spans="1:91">
      <c r="A158" s="191" t="s">
        <v>7729</v>
      </c>
      <c r="B158" s="192" t="s">
        <v>269</v>
      </c>
      <c r="C158" s="192" t="s">
        <v>417</v>
      </c>
      <c r="D158" s="192" t="s">
        <v>8609</v>
      </c>
      <c r="E158" s="193">
        <v>227</v>
      </c>
      <c r="F158" s="193">
        <v>1</v>
      </c>
      <c r="K158" s="176">
        <v>7</v>
      </c>
      <c r="M158" s="197">
        <v>3.75</v>
      </c>
      <c r="N158" s="198">
        <v>41822</v>
      </c>
      <c r="S158" s="176">
        <f>(AE158*BS158)/100</f>
        <v>11.540598290598293</v>
      </c>
      <c r="T158" s="198"/>
      <c r="U158" s="176">
        <v>16.2</v>
      </c>
      <c r="Y158" s="200">
        <f>(AE158*BU158)/100</f>
        <v>4.3012820512820529</v>
      </c>
      <c r="Z158" s="198"/>
      <c r="AA158" s="200"/>
      <c r="AB158" s="198"/>
      <c r="AC158" s="378">
        <f t="shared" si="2"/>
        <v>21.388888888888889</v>
      </c>
      <c r="AE158" s="176">
        <f>(M158/U158)*((100-CC158)/(100-9))*100</f>
        <v>23.50427350427351</v>
      </c>
      <c r="AF158" s="198">
        <v>41822</v>
      </c>
      <c r="AG158" s="176">
        <v>5</v>
      </c>
      <c r="AH158" s="196">
        <v>41927</v>
      </c>
      <c r="AI158" s="176">
        <v>135</v>
      </c>
      <c r="AM158" s="176">
        <v>88</v>
      </c>
      <c r="BG158" s="201">
        <v>0.9</v>
      </c>
      <c r="BI158" s="201">
        <v>4.5</v>
      </c>
      <c r="BK158" s="201">
        <v>1.5</v>
      </c>
      <c r="BM158" s="201">
        <v>58.5</v>
      </c>
      <c r="BO158" s="201">
        <v>20.7</v>
      </c>
      <c r="BQ158" s="201">
        <v>9.6</v>
      </c>
      <c r="BS158" s="201">
        <v>49.1</v>
      </c>
      <c r="BU158" s="201">
        <v>18.3</v>
      </c>
      <c r="BW158" s="201">
        <v>14.8</v>
      </c>
      <c r="BY158" s="178">
        <v>6.7999999999999972</v>
      </c>
      <c r="CC158" s="201">
        <v>7.6</v>
      </c>
      <c r="CD158" s="198">
        <v>41822</v>
      </c>
      <c r="CI158" s="174" t="s">
        <v>9343</v>
      </c>
      <c r="CL158" s="174">
        <v>5</v>
      </c>
    </row>
    <row r="159" spans="1:91">
      <c r="A159" s="191" t="s">
        <v>7727</v>
      </c>
      <c r="B159" s="192" t="s">
        <v>269</v>
      </c>
      <c r="C159" s="192" t="s">
        <v>417</v>
      </c>
      <c r="D159" s="192" t="s">
        <v>8601</v>
      </c>
      <c r="E159" s="193">
        <v>227</v>
      </c>
      <c r="F159" s="193">
        <v>2</v>
      </c>
      <c r="K159" s="176">
        <v>6</v>
      </c>
      <c r="M159" s="197">
        <v>4.3</v>
      </c>
      <c r="N159" s="198">
        <v>41822</v>
      </c>
      <c r="S159" s="176">
        <f>(AE159*BS159)/100</f>
        <v>14.045149911816576</v>
      </c>
      <c r="T159" s="198"/>
      <c r="U159" s="176">
        <v>16.2</v>
      </c>
      <c r="Y159" s="200">
        <f>(AE159*BU159)/100</f>
        <v>4.3756043956043946</v>
      </c>
      <c r="Z159" s="198"/>
      <c r="AA159" s="200"/>
      <c r="AB159" s="198"/>
      <c r="AC159" s="378">
        <f t="shared" si="2"/>
        <v>24.579012345679011</v>
      </c>
      <c r="AE159" s="176">
        <f>(M159/U159)*((100-CC159)/(100-9))*100</f>
        <v>27.009903676570339</v>
      </c>
      <c r="AF159" s="198">
        <v>41822</v>
      </c>
      <c r="AG159" s="176">
        <v>5.3</v>
      </c>
      <c r="AH159" s="196">
        <v>41927</v>
      </c>
      <c r="AI159" s="176">
        <v>130</v>
      </c>
      <c r="AM159" s="176">
        <v>79</v>
      </c>
      <c r="BG159" s="201">
        <v>0</v>
      </c>
      <c r="BI159" s="201">
        <v>4.5</v>
      </c>
      <c r="BK159" s="201">
        <v>1.6</v>
      </c>
      <c r="BM159" s="201">
        <v>63</v>
      </c>
      <c r="BO159" s="201">
        <v>19.3</v>
      </c>
      <c r="BQ159" s="201">
        <v>8.4</v>
      </c>
      <c r="BS159" s="201">
        <v>52</v>
      </c>
      <c r="BU159" s="201">
        <v>16.2</v>
      </c>
      <c r="BW159" s="201">
        <v>13</v>
      </c>
      <c r="BY159" s="178">
        <v>6.7000000000000028</v>
      </c>
      <c r="CC159" s="201">
        <v>7.4</v>
      </c>
      <c r="CD159" s="198">
        <v>41822</v>
      </c>
      <c r="CI159" s="174" t="s">
        <v>9357</v>
      </c>
      <c r="CL159" s="174">
        <v>3</v>
      </c>
    </row>
    <row r="160" spans="1:91">
      <c r="A160" s="191" t="s">
        <v>7693</v>
      </c>
      <c r="B160" s="192" t="s">
        <v>269</v>
      </c>
      <c r="C160" s="192" t="s">
        <v>417</v>
      </c>
      <c r="D160" s="192" t="s">
        <v>8465</v>
      </c>
      <c r="E160" s="193">
        <v>227</v>
      </c>
      <c r="F160" s="193">
        <v>3</v>
      </c>
      <c r="K160" s="176">
        <v>7</v>
      </c>
      <c r="M160" s="197">
        <v>4.9000000000000004</v>
      </c>
      <c r="N160" s="198">
        <v>41822</v>
      </c>
      <c r="S160" s="176">
        <f>(AE160*BS160)/100</f>
        <v>15.473124406457739</v>
      </c>
      <c r="T160" s="198"/>
      <c r="U160" s="176">
        <v>16.2</v>
      </c>
      <c r="Y160" s="200">
        <f>(AE160*BU160)/100</f>
        <v>5.4736942070275392</v>
      </c>
      <c r="Z160" s="198"/>
      <c r="AA160" s="200"/>
      <c r="AB160" s="198"/>
      <c r="AC160" s="378">
        <f t="shared" si="2"/>
        <v>27.827160493827162</v>
      </c>
      <c r="AE160" s="176">
        <f>(M160/U160)*((100-CC160)/(100-9))*100</f>
        <v>30.579297245963911</v>
      </c>
      <c r="AF160" s="198">
        <v>41822</v>
      </c>
      <c r="AG160" s="176">
        <v>5</v>
      </c>
      <c r="AH160" s="196">
        <v>41927</v>
      </c>
      <c r="AI160" s="176">
        <v>140</v>
      </c>
      <c r="AM160" s="176">
        <v>77</v>
      </c>
      <c r="BG160" s="201">
        <v>0</v>
      </c>
      <c r="BI160" s="201">
        <v>4.5</v>
      </c>
      <c r="BK160" s="201">
        <v>1.6</v>
      </c>
      <c r="BM160" s="201">
        <v>63.1</v>
      </c>
      <c r="BO160" s="201">
        <v>20.399999999999999</v>
      </c>
      <c r="BQ160" s="201">
        <v>8.9</v>
      </c>
      <c r="BS160" s="201">
        <v>50.6</v>
      </c>
      <c r="BU160" s="201">
        <v>17.899999999999999</v>
      </c>
      <c r="BW160" s="201">
        <v>18.100000000000001</v>
      </c>
      <c r="BY160" s="178">
        <v>7.0999999999999943</v>
      </c>
      <c r="CC160" s="201">
        <v>8</v>
      </c>
      <c r="CD160" s="198">
        <v>41822</v>
      </c>
      <c r="CI160" s="174" t="s">
        <v>9347</v>
      </c>
      <c r="CL160" s="174">
        <v>1</v>
      </c>
    </row>
    <row r="161" spans="1:91">
      <c r="A161" s="191" t="s">
        <v>7725</v>
      </c>
      <c r="B161" s="192" t="s">
        <v>269</v>
      </c>
      <c r="C161" s="192" t="s">
        <v>417</v>
      </c>
      <c r="D161" s="192" t="s">
        <v>8593</v>
      </c>
      <c r="E161" s="193">
        <v>227</v>
      </c>
      <c r="F161" s="193">
        <v>4</v>
      </c>
      <c r="K161" s="176">
        <v>7</v>
      </c>
      <c r="M161" s="197">
        <v>4.1500000000000004</v>
      </c>
      <c r="N161" s="198">
        <v>41822</v>
      </c>
      <c r="S161" s="176">
        <f>(AE161*BS161)/100</f>
        <v>12.835723104056438</v>
      </c>
      <c r="T161" s="198"/>
      <c r="U161" s="176">
        <v>16.2</v>
      </c>
      <c r="Y161" s="200">
        <f>(AE161*BU161)/100</f>
        <v>4.6510008818342143</v>
      </c>
      <c r="Z161" s="198"/>
      <c r="AA161" s="200"/>
      <c r="AB161" s="198"/>
      <c r="AC161" s="378">
        <f t="shared" si="2"/>
        <v>23.644753086419755</v>
      </c>
      <c r="AE161" s="176">
        <f>(M161/U161)*((100-CC161)/(100-9))*100</f>
        <v>25.983245149911816</v>
      </c>
      <c r="AF161" s="198">
        <v>41822</v>
      </c>
      <c r="AG161" s="176">
        <v>4.9000000000000004</v>
      </c>
      <c r="AH161" s="196">
        <v>41927</v>
      </c>
      <c r="AI161" s="176">
        <v>125</v>
      </c>
      <c r="AM161" s="176">
        <v>79</v>
      </c>
      <c r="BG161" s="201">
        <v>0</v>
      </c>
      <c r="BI161" s="201">
        <v>4.5999999999999996</v>
      </c>
      <c r="BK161" s="201">
        <v>1.5</v>
      </c>
      <c r="BM161" s="201">
        <v>60.4</v>
      </c>
      <c r="BO161" s="201">
        <v>19.8</v>
      </c>
      <c r="BQ161" s="201">
        <v>9.4</v>
      </c>
      <c r="BS161" s="201">
        <v>49.4</v>
      </c>
      <c r="BU161" s="201">
        <v>17.899999999999999</v>
      </c>
      <c r="BW161" s="201">
        <v>16.399999999999999</v>
      </c>
      <c r="BY161" s="178">
        <v>6.9000000000000057</v>
      </c>
      <c r="CC161" s="201">
        <v>7.7</v>
      </c>
      <c r="CD161" s="198">
        <v>41822</v>
      </c>
      <c r="CI161" s="174" t="s">
        <v>9355</v>
      </c>
      <c r="CL161" s="174">
        <v>3</v>
      </c>
    </row>
    <row r="162" spans="1:91">
      <c r="A162" s="191" t="s">
        <v>7742</v>
      </c>
      <c r="B162" s="192" t="s">
        <v>269</v>
      </c>
      <c r="C162" s="192" t="s">
        <v>417</v>
      </c>
      <c r="D162" s="192" t="s">
        <v>8661</v>
      </c>
      <c r="E162" s="193">
        <v>227</v>
      </c>
      <c r="F162" s="193">
        <v>5</v>
      </c>
      <c r="K162" s="176">
        <v>9</v>
      </c>
      <c r="M162" s="197">
        <v>2.25</v>
      </c>
      <c r="N162" s="198">
        <v>41822</v>
      </c>
      <c r="S162" s="176">
        <f>(AE162*BS162)/100</f>
        <v>6.7912087912087911</v>
      </c>
      <c r="T162" s="198"/>
      <c r="U162" s="176">
        <v>16.2</v>
      </c>
      <c r="Y162" s="200">
        <f>(AE162*BU162)/100</f>
        <v>2.6174450549450547</v>
      </c>
      <c r="Z162" s="198"/>
      <c r="AA162" s="200"/>
      <c r="AB162" s="198"/>
      <c r="AC162" s="378">
        <f t="shared" si="2"/>
        <v>12.875000000000002</v>
      </c>
      <c r="AE162" s="176">
        <f>(M162/U162)*((100-CC162)/(100-9))*100</f>
        <v>14.148351648351648</v>
      </c>
      <c r="AF162" s="198">
        <v>41822</v>
      </c>
      <c r="AG162" s="176">
        <v>4.5999999999999996</v>
      </c>
      <c r="AH162" s="196">
        <v>41927</v>
      </c>
      <c r="AI162" s="176">
        <v>100</v>
      </c>
      <c r="AM162" s="176">
        <v>87</v>
      </c>
      <c r="BG162" s="201">
        <v>50.5</v>
      </c>
      <c r="BI162" s="201">
        <v>4.4000000000000004</v>
      </c>
      <c r="BK162" s="201">
        <v>0.7</v>
      </c>
      <c r="BM162" s="201">
        <v>27.9</v>
      </c>
      <c r="BO162" s="201">
        <v>15.3</v>
      </c>
      <c r="BQ162" s="201">
        <v>9.4</v>
      </c>
      <c r="BS162" s="201">
        <v>48</v>
      </c>
      <c r="BU162" s="201">
        <v>18.5</v>
      </c>
      <c r="BW162" s="201">
        <v>72.8</v>
      </c>
      <c r="BY162" s="178">
        <v>7</v>
      </c>
      <c r="CC162" s="201">
        <v>7.3</v>
      </c>
      <c r="CD162" s="198">
        <v>41822</v>
      </c>
      <c r="CI162" s="174" t="s">
        <v>9349</v>
      </c>
      <c r="CL162" s="174">
        <v>8</v>
      </c>
    </row>
    <row r="163" spans="1:91">
      <c r="A163" s="202" t="s">
        <v>7639</v>
      </c>
      <c r="B163" s="203" t="s">
        <v>269</v>
      </c>
      <c r="C163" s="203" t="s">
        <v>417</v>
      </c>
      <c r="D163" s="203" t="s">
        <v>8249</v>
      </c>
      <c r="E163" s="204">
        <v>227</v>
      </c>
      <c r="F163" s="204">
        <v>6</v>
      </c>
      <c r="G163" s="204"/>
      <c r="H163" s="204"/>
      <c r="I163" s="206"/>
      <c r="J163" s="206"/>
      <c r="K163" s="177">
        <v>9</v>
      </c>
      <c r="L163" s="207"/>
      <c r="M163" s="208">
        <v>1.95</v>
      </c>
      <c r="N163" s="209">
        <v>41822</v>
      </c>
      <c r="O163" s="183"/>
      <c r="P163" s="210"/>
      <c r="Q163" s="183"/>
      <c r="R163" s="210"/>
      <c r="S163" s="177">
        <f>(AE163*BS163)/100</f>
        <v>6.0263492063492059</v>
      </c>
      <c r="T163" s="209"/>
      <c r="U163" s="177">
        <v>16.2</v>
      </c>
      <c r="V163" s="210"/>
      <c r="W163" s="183"/>
      <c r="X163" s="210"/>
      <c r="Y163" s="213">
        <f>(AE163*BU163)/100</f>
        <v>2.2415079365079364</v>
      </c>
      <c r="Z163" s="209"/>
      <c r="AA163" s="213"/>
      <c r="AB163" s="209"/>
      <c r="AC163" s="378">
        <f t="shared" si="2"/>
        <v>11.146296296296295</v>
      </c>
      <c r="AD163" s="207"/>
      <c r="AE163" s="177">
        <f>(M163/U163)*((100-CC163)/(100-9))*100</f>
        <v>12.248677248677248</v>
      </c>
      <c r="AF163" s="209">
        <v>41822</v>
      </c>
      <c r="AG163" s="177">
        <v>3.9</v>
      </c>
      <c r="AH163" s="207">
        <v>41927</v>
      </c>
      <c r="AI163" s="177">
        <v>100</v>
      </c>
      <c r="AJ163" s="207"/>
      <c r="AK163" s="183"/>
      <c r="AL163" s="210"/>
      <c r="AM163" s="177">
        <v>74</v>
      </c>
      <c r="AN163" s="210"/>
      <c r="AO163" s="183"/>
      <c r="AP163" s="183"/>
      <c r="AQ163" s="183"/>
      <c r="AR163" s="183"/>
      <c r="AS163" s="183"/>
      <c r="AT163" s="183"/>
      <c r="AU163" s="183"/>
      <c r="AV163" s="183"/>
      <c r="AW163" s="183"/>
      <c r="AX163" s="183"/>
      <c r="AY163" s="183"/>
      <c r="AZ163" s="183"/>
      <c r="BA163" s="183"/>
      <c r="BB163" s="183"/>
      <c r="BC163" s="183"/>
      <c r="BD163" s="183"/>
      <c r="BE163" s="182"/>
      <c r="BF163" s="182"/>
      <c r="BG163" s="211">
        <v>54.3</v>
      </c>
      <c r="BH163" s="181"/>
      <c r="BI163" s="211">
        <v>4.4000000000000004</v>
      </c>
      <c r="BJ163" s="181"/>
      <c r="BK163" s="211">
        <v>0.7</v>
      </c>
      <c r="BL163" s="181"/>
      <c r="BM163" s="211">
        <v>22.4</v>
      </c>
      <c r="BN163" s="181"/>
      <c r="BO163" s="211">
        <v>15.8</v>
      </c>
      <c r="BP163" s="181"/>
      <c r="BQ163" s="211">
        <v>11.1</v>
      </c>
      <c r="BR163" s="181"/>
      <c r="BS163" s="211">
        <v>49.2</v>
      </c>
      <c r="BT163" s="181"/>
      <c r="BU163" s="211">
        <v>18.3</v>
      </c>
      <c r="BV163" s="181"/>
      <c r="BW163" s="211">
        <v>71.8</v>
      </c>
      <c r="BX163" s="181"/>
      <c r="BY163" s="181">
        <v>6.7999999999999972</v>
      </c>
      <c r="BZ163" s="181"/>
      <c r="CA163" s="182"/>
      <c r="CB163" s="182"/>
      <c r="CC163" s="211">
        <v>7.4</v>
      </c>
      <c r="CD163" s="209">
        <v>41822</v>
      </c>
      <c r="CE163" s="181"/>
      <c r="CF163" s="181"/>
      <c r="CG163" s="182"/>
      <c r="CH163" s="182"/>
      <c r="CI163" s="175" t="s">
        <v>9349</v>
      </c>
      <c r="CJ163" s="181"/>
      <c r="CK163" s="181"/>
      <c r="CL163" s="175">
        <v>8</v>
      </c>
      <c r="CM163" s="175"/>
    </row>
    <row r="164" spans="1:91">
      <c r="A164" s="191" t="s">
        <v>7646</v>
      </c>
      <c r="B164" s="192" t="s">
        <v>271</v>
      </c>
      <c r="C164" s="192" t="s">
        <v>8998</v>
      </c>
      <c r="D164" s="192" t="s">
        <v>8279</v>
      </c>
      <c r="E164" s="193">
        <v>227</v>
      </c>
      <c r="F164" s="193">
        <v>7</v>
      </c>
      <c r="K164" s="176">
        <v>7</v>
      </c>
      <c r="M164" s="197">
        <v>2.95</v>
      </c>
      <c r="N164" s="198">
        <v>41822</v>
      </c>
      <c r="S164" s="176">
        <f>(AE164*BS164)/100</f>
        <v>8.6706227106227125</v>
      </c>
      <c r="T164" s="198"/>
      <c r="U164" s="176">
        <v>16.2</v>
      </c>
      <c r="Y164" s="200">
        <f>(AE164*BU164)/100</f>
        <v>3.600512820512821</v>
      </c>
      <c r="Z164" s="198"/>
      <c r="AA164" s="200"/>
      <c r="AB164" s="198"/>
      <c r="AC164" s="378">
        <f t="shared" si="2"/>
        <v>16.716666666666669</v>
      </c>
      <c r="AE164" s="176">
        <f>(M164/U164)*((100-CC164)/(100-9))*100</f>
        <v>18.369963369963372</v>
      </c>
      <c r="AF164" s="198">
        <v>41822</v>
      </c>
      <c r="AG164" s="176">
        <v>4.3</v>
      </c>
      <c r="AH164" s="196">
        <v>41927</v>
      </c>
      <c r="AI164" s="176">
        <v>125</v>
      </c>
      <c r="AM164" s="176">
        <v>80</v>
      </c>
      <c r="BG164" s="201">
        <v>14.3</v>
      </c>
      <c r="BI164" s="201">
        <v>4.5999999999999996</v>
      </c>
      <c r="BK164" s="201">
        <v>1.3</v>
      </c>
      <c r="BM164" s="201">
        <v>56.9</v>
      </c>
      <c r="BO164" s="201">
        <v>20.2</v>
      </c>
      <c r="BQ164" s="201">
        <v>10.199999999999999</v>
      </c>
      <c r="BS164" s="201">
        <v>47.2</v>
      </c>
      <c r="BU164" s="201">
        <v>19.600000000000001</v>
      </c>
      <c r="BW164" s="201">
        <v>62.6</v>
      </c>
      <c r="BY164" s="178">
        <v>6.9000000000000057</v>
      </c>
      <c r="CC164" s="201">
        <v>8.1999999999999993</v>
      </c>
      <c r="CD164" s="198">
        <v>41822</v>
      </c>
      <c r="CI164" s="174" t="s">
        <v>9349</v>
      </c>
      <c r="CL164" s="174">
        <v>8</v>
      </c>
    </row>
    <row r="165" spans="1:91">
      <c r="A165" s="191" t="s">
        <v>7897</v>
      </c>
      <c r="B165" s="192" t="s">
        <v>271</v>
      </c>
      <c r="C165" s="192" t="s">
        <v>8998</v>
      </c>
      <c r="D165" s="192" t="s">
        <v>8967</v>
      </c>
      <c r="E165" s="193">
        <v>227</v>
      </c>
      <c r="F165" s="193">
        <v>8</v>
      </c>
      <c r="K165" s="176">
        <v>8</v>
      </c>
      <c r="M165" s="197">
        <v>6.1</v>
      </c>
      <c r="N165" s="198">
        <v>41822</v>
      </c>
      <c r="S165" s="176">
        <f>(AE165*BS165)/100</f>
        <v>19.545737349070681</v>
      </c>
      <c r="T165" s="198"/>
      <c r="U165" s="176">
        <v>16.2</v>
      </c>
      <c r="Y165" s="200">
        <f>(AE165*BU165)/100</f>
        <v>6.3884900284900281</v>
      </c>
      <c r="Z165" s="198"/>
      <c r="AA165" s="200"/>
      <c r="AB165" s="198"/>
      <c r="AC165" s="378">
        <f t="shared" si="2"/>
        <v>34.604320987654326</v>
      </c>
      <c r="AE165" s="176">
        <f>(M165/U165)*((100-CC165)/(100-9))*100</f>
        <v>38.026726360059691</v>
      </c>
      <c r="AF165" s="198">
        <v>41822</v>
      </c>
      <c r="AG165" s="176">
        <v>4.3</v>
      </c>
      <c r="AH165" s="196">
        <v>41927</v>
      </c>
      <c r="AI165" s="176">
        <v>155</v>
      </c>
      <c r="AM165" s="176">
        <v>77</v>
      </c>
      <c r="BG165" s="201">
        <v>1.4</v>
      </c>
      <c r="BI165" s="201">
        <v>4.5999999999999996</v>
      </c>
      <c r="BK165" s="201">
        <v>1.5</v>
      </c>
      <c r="BM165" s="201">
        <v>63.3</v>
      </c>
      <c r="BO165" s="201">
        <v>20.8</v>
      </c>
      <c r="BQ165" s="201">
        <v>8.9</v>
      </c>
      <c r="BS165" s="201">
        <v>51.4</v>
      </c>
      <c r="BU165" s="201">
        <v>16.8</v>
      </c>
      <c r="BW165" s="201">
        <v>17.399999999999999</v>
      </c>
      <c r="BY165" s="178">
        <v>6.7999999999999972</v>
      </c>
      <c r="CC165" s="201">
        <v>8.1</v>
      </c>
      <c r="CD165" s="198">
        <v>41822</v>
      </c>
      <c r="CI165" s="174" t="s">
        <v>9360</v>
      </c>
      <c r="CL165" s="174">
        <v>1</v>
      </c>
    </row>
    <row r="166" spans="1:91">
      <c r="A166" s="191" t="s">
        <v>7697</v>
      </c>
      <c r="B166" s="192" t="s">
        <v>271</v>
      </c>
      <c r="C166" s="192" t="s">
        <v>8998</v>
      </c>
      <c r="D166" s="192" t="s">
        <v>8483</v>
      </c>
      <c r="E166" s="193">
        <v>227</v>
      </c>
      <c r="F166" s="193">
        <v>9</v>
      </c>
      <c r="K166" s="176">
        <v>9</v>
      </c>
      <c r="M166" s="197">
        <v>5.55</v>
      </c>
      <c r="N166" s="198">
        <v>41822</v>
      </c>
      <c r="S166" s="176">
        <f>(AE166*BS166)/100</f>
        <v>18.140240130240134</v>
      </c>
      <c r="T166" s="198"/>
      <c r="U166" s="176">
        <v>16.2</v>
      </c>
      <c r="Y166" s="200">
        <f>(AE166*BU166)/100</f>
        <v>5.8947008547008553</v>
      </c>
      <c r="Z166" s="198"/>
      <c r="AA166" s="200"/>
      <c r="AB166" s="198"/>
      <c r="AC166" s="378">
        <f t="shared" si="2"/>
        <v>31.929629629629634</v>
      </c>
      <c r="AE166" s="176">
        <f>(M166/U166)*((100-CC166)/(100-9))*100</f>
        <v>35.087505087505093</v>
      </c>
      <c r="AF166" s="198">
        <v>41822</v>
      </c>
      <c r="AG166" s="176">
        <v>4.0999999999999996</v>
      </c>
      <c r="AH166" s="196">
        <v>41927</v>
      </c>
      <c r="AI166" s="176">
        <v>165</v>
      </c>
      <c r="AM166" s="176">
        <v>89</v>
      </c>
      <c r="BG166" s="201">
        <v>23.4</v>
      </c>
      <c r="BI166" s="201">
        <v>4.2</v>
      </c>
      <c r="BK166" s="201">
        <v>1.4</v>
      </c>
      <c r="BM166" s="201">
        <v>46.6</v>
      </c>
      <c r="BO166" s="201">
        <v>17.7</v>
      </c>
      <c r="BQ166" s="201">
        <v>5.0999999999999996</v>
      </c>
      <c r="BS166" s="201">
        <v>51.7</v>
      </c>
      <c r="BU166" s="201">
        <v>16.8</v>
      </c>
      <c r="BW166" s="201">
        <v>9.1999999999999993</v>
      </c>
      <c r="BY166" s="178">
        <v>5.9000000000000057</v>
      </c>
      <c r="CC166" s="201">
        <v>6.8</v>
      </c>
      <c r="CD166" s="198">
        <v>41822</v>
      </c>
      <c r="CI166" s="174" t="s">
        <v>9358</v>
      </c>
      <c r="CL166" s="174">
        <v>1</v>
      </c>
    </row>
    <row r="167" spans="1:91">
      <c r="A167" s="191" t="s">
        <v>7623</v>
      </c>
      <c r="B167" s="192" t="s">
        <v>271</v>
      </c>
      <c r="C167" s="192" t="s">
        <v>8998</v>
      </c>
      <c r="D167" s="192" t="s">
        <v>8187</v>
      </c>
      <c r="E167" s="193">
        <v>227</v>
      </c>
      <c r="F167" s="193">
        <v>10</v>
      </c>
      <c r="I167" s="184"/>
      <c r="K167" s="176">
        <v>8</v>
      </c>
      <c r="M167" s="197">
        <v>2.0499999999999998</v>
      </c>
      <c r="N167" s="198">
        <v>41822</v>
      </c>
      <c r="O167" s="179"/>
      <c r="S167" s="176">
        <f>(AE167*BS167)/100</f>
        <v>5.73338081671415</v>
      </c>
      <c r="T167" s="198"/>
      <c r="U167" s="176">
        <v>16.2</v>
      </c>
      <c r="Y167" s="200">
        <f>(AE167*BU167)/100</f>
        <v>2.522687559354226</v>
      </c>
      <c r="Z167" s="198"/>
      <c r="AA167" s="200"/>
      <c r="AB167" s="198"/>
      <c r="AC167" s="378">
        <f t="shared" si="2"/>
        <v>10.98395061728395</v>
      </c>
      <c r="AE167" s="176">
        <f>(M167/U167)*((100-CC167)/(100-9))*100</f>
        <v>12.070275403608736</v>
      </c>
      <c r="AF167" s="198">
        <v>41822</v>
      </c>
      <c r="AG167" s="176">
        <v>3.7</v>
      </c>
      <c r="AH167" s="196">
        <v>41927</v>
      </c>
      <c r="AI167" s="176">
        <v>90</v>
      </c>
      <c r="AM167" s="176">
        <v>77</v>
      </c>
      <c r="BG167" s="201">
        <v>32.200000000000003</v>
      </c>
      <c r="BI167" s="201">
        <v>4</v>
      </c>
      <c r="BK167" s="201">
        <v>1.2</v>
      </c>
      <c r="BM167" s="201">
        <v>41.6</v>
      </c>
      <c r="BO167" s="201">
        <v>17.399999999999999</v>
      </c>
      <c r="BQ167" s="201">
        <v>9.6</v>
      </c>
      <c r="BS167" s="201">
        <v>47.5</v>
      </c>
      <c r="BU167" s="201">
        <v>20.9</v>
      </c>
      <c r="BW167" s="201">
        <v>37.9</v>
      </c>
      <c r="BY167" s="178">
        <v>7.0999999999999943</v>
      </c>
      <c r="CC167" s="201">
        <v>13.2</v>
      </c>
      <c r="CD167" s="198">
        <v>41822</v>
      </c>
      <c r="CI167" s="174" t="s">
        <v>9349</v>
      </c>
      <c r="CL167" s="174">
        <v>9</v>
      </c>
    </row>
    <row r="168" spans="1:91">
      <c r="A168" s="191" t="s">
        <v>7792</v>
      </c>
      <c r="B168" s="192" t="s">
        <v>271</v>
      </c>
      <c r="C168" s="192" t="s">
        <v>8998</v>
      </c>
      <c r="D168" s="192" t="s">
        <v>8863</v>
      </c>
      <c r="E168" s="193">
        <v>227</v>
      </c>
      <c r="F168" s="193">
        <v>11</v>
      </c>
      <c r="K168" s="176">
        <v>9</v>
      </c>
      <c r="M168" s="197">
        <v>7.05</v>
      </c>
      <c r="N168" s="198">
        <v>41822</v>
      </c>
      <c r="S168" s="176">
        <f>(AE168*BS168)/100</f>
        <v>23.090160765160764</v>
      </c>
      <c r="T168" s="198"/>
      <c r="U168" s="176">
        <v>16.2</v>
      </c>
      <c r="Y168" s="200">
        <f>(AE168*BU168)/100</f>
        <v>7.40627798127798</v>
      </c>
      <c r="Z168" s="198"/>
      <c r="AA168" s="200"/>
      <c r="AB168" s="198"/>
      <c r="AC168" s="378">
        <f t="shared" si="2"/>
        <v>39.645370370370365</v>
      </c>
      <c r="AE168" s="176">
        <f>(M168/U168)*((100-CC168)/(100-9))*100</f>
        <v>43.56634106634106</v>
      </c>
      <c r="AF168" s="198">
        <v>41822</v>
      </c>
      <c r="AG168" s="176">
        <v>4.5</v>
      </c>
      <c r="AH168" s="196">
        <v>41927</v>
      </c>
      <c r="AI168" s="176">
        <v>160</v>
      </c>
      <c r="AM168" s="176">
        <v>85</v>
      </c>
      <c r="BG168" s="201">
        <v>0</v>
      </c>
      <c r="BI168" s="201">
        <v>4.8</v>
      </c>
      <c r="BK168" s="201">
        <v>1.6</v>
      </c>
      <c r="BM168" s="201">
        <v>63.3</v>
      </c>
      <c r="BO168" s="201">
        <v>21.3</v>
      </c>
      <c r="BQ168" s="201">
        <v>8.6</v>
      </c>
      <c r="BS168" s="201">
        <v>53</v>
      </c>
      <c r="BU168" s="201">
        <v>17</v>
      </c>
      <c r="BW168" s="201">
        <v>11.4</v>
      </c>
      <c r="BY168" s="178">
        <v>6.2999999999999972</v>
      </c>
      <c r="CC168" s="201">
        <v>8.9</v>
      </c>
      <c r="CD168" s="198">
        <v>41822</v>
      </c>
      <c r="CI168" s="174" t="s">
        <v>9347</v>
      </c>
      <c r="CL168" s="174">
        <v>1</v>
      </c>
    </row>
    <row r="169" spans="1:91">
      <c r="A169" s="191" t="s">
        <v>7710</v>
      </c>
      <c r="B169" s="192" t="s">
        <v>271</v>
      </c>
      <c r="C169" s="192" t="s">
        <v>8998</v>
      </c>
      <c r="D169" s="192" t="s">
        <v>8535</v>
      </c>
      <c r="E169" s="193">
        <v>227</v>
      </c>
      <c r="F169" s="193">
        <v>12</v>
      </c>
      <c r="K169" s="176">
        <v>9</v>
      </c>
      <c r="M169" s="197">
        <v>6.2</v>
      </c>
      <c r="N169" s="198">
        <v>41822</v>
      </c>
      <c r="S169" s="176">
        <f>(AE169*BS169)/100</f>
        <v>19.441975308641975</v>
      </c>
      <c r="T169" s="198"/>
      <c r="U169" s="176">
        <v>16.2</v>
      </c>
      <c r="Y169" s="200">
        <f>(AE169*BU169)/100</f>
        <v>6.7358024691358036</v>
      </c>
      <c r="Z169" s="198"/>
      <c r="AA169" s="200"/>
      <c r="AB169" s="198"/>
      <c r="AC169" s="378">
        <f t="shared" si="2"/>
        <v>34.827160493827165</v>
      </c>
      <c r="AE169" s="176">
        <f>(M169/U169)*((100-CC169)/(100-9))*100</f>
        <v>38.271604938271608</v>
      </c>
      <c r="AF169" s="198">
        <v>41822</v>
      </c>
      <c r="AG169" s="176">
        <v>4.3</v>
      </c>
      <c r="AH169" s="196">
        <v>41927</v>
      </c>
      <c r="AI169" s="176">
        <v>155</v>
      </c>
      <c r="AM169" s="176">
        <v>86</v>
      </c>
      <c r="BG169" s="201">
        <v>0</v>
      </c>
      <c r="BI169" s="201">
        <v>4.5</v>
      </c>
      <c r="BK169" s="201">
        <v>1.6</v>
      </c>
      <c r="BM169" s="201">
        <v>63.8</v>
      </c>
      <c r="BO169" s="201">
        <v>20</v>
      </c>
      <c r="BQ169" s="201">
        <v>9.8000000000000007</v>
      </c>
      <c r="BS169" s="201">
        <v>50.8</v>
      </c>
      <c r="BU169" s="201">
        <v>17.600000000000001</v>
      </c>
      <c r="BW169" s="201">
        <v>20</v>
      </c>
      <c r="BY169" s="178">
        <v>6.9000000000000057</v>
      </c>
      <c r="CC169" s="201">
        <v>9</v>
      </c>
      <c r="CD169" s="198">
        <v>41822</v>
      </c>
      <c r="CI169" s="174" t="s">
        <v>9347</v>
      </c>
      <c r="CL169" s="174">
        <v>4</v>
      </c>
    </row>
    <row r="170" spans="1:91">
      <c r="A170" s="191" t="s">
        <v>7666</v>
      </c>
      <c r="B170" s="192" t="s">
        <v>269</v>
      </c>
      <c r="C170" s="192" t="s">
        <v>417</v>
      </c>
      <c r="D170" s="192" t="s">
        <v>8357</v>
      </c>
      <c r="E170" s="193">
        <v>228</v>
      </c>
      <c r="F170" s="193">
        <v>1</v>
      </c>
      <c r="K170" s="176">
        <v>6</v>
      </c>
      <c r="M170" s="197">
        <v>4.4000000000000004</v>
      </c>
      <c r="N170" s="198">
        <v>41822</v>
      </c>
      <c r="S170" s="176">
        <f>(AE170*BS170)/100</f>
        <v>13.674562474562475</v>
      </c>
      <c r="T170" s="198"/>
      <c r="U170" s="176">
        <v>16.2</v>
      </c>
      <c r="Y170" s="200">
        <f>(AE170*BU170)/100</f>
        <v>4.7229412562745896</v>
      </c>
      <c r="Z170" s="198"/>
      <c r="AA170" s="200"/>
      <c r="AB170" s="198"/>
      <c r="AC170" s="378">
        <f t="shared" si="2"/>
        <v>24.987654320987659</v>
      </c>
      <c r="AE170" s="176">
        <f>(M170/U170)*((100-CC170)/(100-9))*100</f>
        <v>27.458960792294128</v>
      </c>
      <c r="AF170" s="198">
        <v>41822</v>
      </c>
      <c r="AG170" s="176">
        <v>4.5</v>
      </c>
      <c r="AH170" s="196">
        <v>41927</v>
      </c>
      <c r="AI170" s="176">
        <v>140</v>
      </c>
      <c r="AM170" s="176">
        <v>78</v>
      </c>
      <c r="BG170" s="201">
        <v>1.6</v>
      </c>
      <c r="BI170" s="201">
        <v>4.3</v>
      </c>
      <c r="BK170" s="201">
        <v>1.6</v>
      </c>
      <c r="BM170" s="201">
        <v>65.3</v>
      </c>
      <c r="BO170" s="201">
        <v>18.100000000000001</v>
      </c>
      <c r="BQ170" s="201">
        <v>8.5</v>
      </c>
      <c r="BS170" s="201">
        <v>49.8</v>
      </c>
      <c r="BU170" s="201">
        <v>17.2</v>
      </c>
      <c r="BW170" s="201">
        <v>11.4</v>
      </c>
      <c r="BY170" s="178">
        <v>7</v>
      </c>
      <c r="CC170" s="201">
        <v>8</v>
      </c>
      <c r="CD170" s="198">
        <v>41822</v>
      </c>
      <c r="CI170" s="174" t="s">
        <v>9339</v>
      </c>
      <c r="CL170" s="174">
        <v>3</v>
      </c>
    </row>
    <row r="171" spans="1:91">
      <c r="A171" s="191" t="s">
        <v>7697</v>
      </c>
      <c r="B171" s="192" t="s">
        <v>269</v>
      </c>
      <c r="C171" s="192" t="s">
        <v>417</v>
      </c>
      <c r="D171" s="192" t="s">
        <v>8481</v>
      </c>
      <c r="E171" s="193">
        <v>228</v>
      </c>
      <c r="F171" s="193">
        <v>2</v>
      </c>
      <c r="K171" s="176">
        <v>7</v>
      </c>
      <c r="M171" s="197">
        <v>3.2</v>
      </c>
      <c r="N171" s="198">
        <v>41822</v>
      </c>
      <c r="S171" s="176">
        <f>(AE171*BS171)/100</f>
        <v>10.655661375661374</v>
      </c>
      <c r="T171" s="198"/>
      <c r="U171" s="176">
        <v>16.2</v>
      </c>
      <c r="Y171" s="200">
        <f>(AE171*BU171)/100</f>
        <v>3.2786650386650389</v>
      </c>
      <c r="Z171" s="198"/>
      <c r="AA171" s="200"/>
      <c r="AB171" s="198"/>
      <c r="AC171" s="378">
        <f t="shared" si="2"/>
        <v>18.192592592592593</v>
      </c>
      <c r="AE171" s="176">
        <f>(M171/U171)*((100-CC171)/(100-9))*100</f>
        <v>19.991859991859993</v>
      </c>
      <c r="AF171" s="198">
        <v>41822</v>
      </c>
      <c r="AG171" s="176">
        <v>4.5</v>
      </c>
      <c r="AH171" s="196">
        <v>41927</v>
      </c>
      <c r="AI171" s="176">
        <v>150</v>
      </c>
      <c r="AM171" s="176">
        <v>89</v>
      </c>
      <c r="BG171" s="201">
        <v>26.7</v>
      </c>
      <c r="BI171" s="201">
        <v>4.2</v>
      </c>
      <c r="BK171" s="201">
        <v>1.4</v>
      </c>
      <c r="BM171" s="201">
        <v>41.2</v>
      </c>
      <c r="BO171" s="201">
        <v>16.3</v>
      </c>
      <c r="BQ171" s="201">
        <v>6.7</v>
      </c>
      <c r="BS171" s="201">
        <v>53.3</v>
      </c>
      <c r="BU171" s="201">
        <v>16.399999999999999</v>
      </c>
      <c r="BW171" s="201">
        <v>10.199999999999999</v>
      </c>
      <c r="BY171" s="178">
        <v>6.5</v>
      </c>
      <c r="CC171" s="201">
        <v>7.9</v>
      </c>
      <c r="CD171" s="198">
        <v>41822</v>
      </c>
      <c r="CI171" s="174" t="s">
        <v>9347</v>
      </c>
      <c r="CL171" s="174">
        <v>1</v>
      </c>
    </row>
    <row r="172" spans="1:91">
      <c r="A172" s="202" t="s">
        <v>7762</v>
      </c>
      <c r="B172" s="203" t="s">
        <v>269</v>
      </c>
      <c r="C172" s="203" t="s">
        <v>417</v>
      </c>
      <c r="D172" s="203" t="s">
        <v>8741</v>
      </c>
      <c r="E172" s="204">
        <v>228</v>
      </c>
      <c r="F172" s="204">
        <v>3</v>
      </c>
      <c r="G172" s="204"/>
      <c r="H172" s="204"/>
      <c r="I172" s="206"/>
      <c r="J172" s="206"/>
      <c r="K172" s="177">
        <v>9</v>
      </c>
      <c r="L172" s="207"/>
      <c r="M172" s="208">
        <v>1.35</v>
      </c>
      <c r="N172" s="209">
        <v>41822</v>
      </c>
      <c r="O172" s="183"/>
      <c r="P172" s="210"/>
      <c r="Q172" s="183"/>
      <c r="R172" s="210"/>
      <c r="S172" s="177">
        <f>(AE172*BS172)/100</f>
        <v>3.7078937728937729</v>
      </c>
      <c r="T172" s="209"/>
      <c r="U172" s="177">
        <v>16.2</v>
      </c>
      <c r="V172" s="210"/>
      <c r="W172" s="183"/>
      <c r="X172" s="210"/>
      <c r="Y172" s="213">
        <f>(AE172*BU172)/100</f>
        <v>1.7576923076923077</v>
      </c>
      <c r="Z172" s="209"/>
      <c r="AA172" s="213"/>
      <c r="AB172" s="209"/>
      <c r="AC172" s="378">
        <f t="shared" si="2"/>
        <v>7.616666666666668</v>
      </c>
      <c r="AD172" s="207"/>
      <c r="AE172" s="177">
        <f>(M172/U172)*((100-CC172)/(100-9))*100</f>
        <v>8.3699633699633704</v>
      </c>
      <c r="AF172" s="209">
        <v>41822</v>
      </c>
      <c r="AG172" s="177">
        <v>4.5999999999999996</v>
      </c>
      <c r="AH172" s="207">
        <v>41927</v>
      </c>
      <c r="AI172" s="177">
        <v>30</v>
      </c>
      <c r="AJ172" s="207"/>
      <c r="AK172" s="183"/>
      <c r="AL172" s="210"/>
      <c r="AM172" s="177">
        <v>86</v>
      </c>
      <c r="AN172" s="210"/>
      <c r="AO172" s="183"/>
      <c r="AP172" s="183"/>
      <c r="AQ172" s="183"/>
      <c r="AR172" s="183"/>
      <c r="AS172" s="183"/>
      <c r="AT172" s="183"/>
      <c r="AU172" s="183"/>
      <c r="AV172" s="183"/>
      <c r="AW172" s="183"/>
      <c r="AX172" s="183"/>
      <c r="AY172" s="183"/>
      <c r="AZ172" s="183"/>
      <c r="BA172" s="183"/>
      <c r="BB172" s="183"/>
      <c r="BC172" s="183"/>
      <c r="BD172" s="183"/>
      <c r="BE172" s="182"/>
      <c r="BF172" s="182"/>
      <c r="BG172" s="211">
        <v>2.2000000000000002</v>
      </c>
      <c r="BH172" s="181"/>
      <c r="BI172" s="211">
        <v>4.4000000000000004</v>
      </c>
      <c r="BJ172" s="181"/>
      <c r="BK172" s="211">
        <v>1.4</v>
      </c>
      <c r="BL172" s="181"/>
      <c r="BM172" s="211">
        <v>59.8</v>
      </c>
      <c r="BN172" s="181"/>
      <c r="BO172" s="211">
        <v>19.399999999999999</v>
      </c>
      <c r="BP172" s="181"/>
      <c r="BQ172" s="211">
        <v>11.2</v>
      </c>
      <c r="BR172" s="181"/>
      <c r="BS172" s="211">
        <v>44.3</v>
      </c>
      <c r="BT172" s="181"/>
      <c r="BU172" s="211">
        <v>21</v>
      </c>
      <c r="BV172" s="181"/>
      <c r="BW172" s="211">
        <v>67.7</v>
      </c>
      <c r="BX172" s="181"/>
      <c r="BY172" s="181">
        <v>7.7999999999999972</v>
      </c>
      <c r="BZ172" s="181"/>
      <c r="CA172" s="182"/>
      <c r="CB172" s="182"/>
      <c r="CC172" s="211">
        <v>8.6</v>
      </c>
      <c r="CD172" s="209">
        <v>41822</v>
      </c>
      <c r="CE172" s="181"/>
      <c r="CF172" s="181"/>
      <c r="CG172" s="182"/>
      <c r="CH172" s="182"/>
      <c r="CI172" s="175" t="s">
        <v>9349</v>
      </c>
      <c r="CJ172" s="181"/>
      <c r="CK172" s="181"/>
      <c r="CL172" s="175">
        <v>9</v>
      </c>
      <c r="CM172" s="175"/>
    </row>
    <row r="173" spans="1:91">
      <c r="A173" s="191" t="s">
        <v>7659</v>
      </c>
      <c r="B173" s="192" t="s">
        <v>269</v>
      </c>
      <c r="C173" s="192" t="s">
        <v>417</v>
      </c>
      <c r="D173" s="192" t="s">
        <v>8329</v>
      </c>
      <c r="E173" s="193">
        <v>228</v>
      </c>
      <c r="F173" s="193">
        <v>4</v>
      </c>
      <c r="K173" s="176">
        <v>7</v>
      </c>
      <c r="M173" s="197">
        <v>2.75</v>
      </c>
      <c r="N173" s="198">
        <v>41822</v>
      </c>
      <c r="S173" s="176">
        <f>(AE173*BS173)/100</f>
        <v>8.291412291412291</v>
      </c>
      <c r="T173" s="198"/>
      <c r="U173" s="176">
        <v>16.2</v>
      </c>
      <c r="Y173" s="200">
        <f>(AE173*BU173)/100</f>
        <v>3.3856600189933528</v>
      </c>
      <c r="Z173" s="198"/>
      <c r="AA173" s="200"/>
      <c r="AB173" s="198"/>
      <c r="AC173" s="378">
        <f t="shared" si="2"/>
        <v>15.719135802469136</v>
      </c>
      <c r="AE173" s="176">
        <f>(M173/U173)*((100-CC173)/(100-9))*100</f>
        <v>17.273775607108941</v>
      </c>
      <c r="AF173" s="198">
        <v>41822</v>
      </c>
      <c r="AG173" s="176">
        <v>5.6</v>
      </c>
      <c r="AH173" s="196">
        <v>41927</v>
      </c>
      <c r="AI173" s="176">
        <v>145</v>
      </c>
      <c r="AM173" s="176">
        <v>78</v>
      </c>
      <c r="BG173" s="201">
        <v>7.3</v>
      </c>
      <c r="BI173" s="201">
        <v>4.3</v>
      </c>
      <c r="BK173" s="201">
        <v>1.4</v>
      </c>
      <c r="BM173" s="201">
        <v>54.4</v>
      </c>
      <c r="BO173" s="201">
        <v>19.3</v>
      </c>
      <c r="BQ173" s="201">
        <v>12.5</v>
      </c>
      <c r="BS173" s="201">
        <v>48</v>
      </c>
      <c r="BU173" s="201">
        <v>19.600000000000001</v>
      </c>
      <c r="BW173" s="201">
        <v>27.4</v>
      </c>
      <c r="BY173" s="178">
        <v>6.7999999999999972</v>
      </c>
      <c r="CC173" s="201">
        <v>7.4</v>
      </c>
      <c r="CD173" s="198">
        <v>41822</v>
      </c>
      <c r="CI173" s="174" t="s">
        <v>9349</v>
      </c>
      <c r="CL173" s="174">
        <v>5</v>
      </c>
    </row>
    <row r="174" spans="1:91">
      <c r="A174" s="191" t="s">
        <v>7747</v>
      </c>
      <c r="B174" s="192" t="s">
        <v>269</v>
      </c>
      <c r="C174" s="192" t="s">
        <v>417</v>
      </c>
      <c r="D174" s="192" t="s">
        <v>8681</v>
      </c>
      <c r="E174" s="193">
        <v>228</v>
      </c>
      <c r="F174" s="193">
        <v>5</v>
      </c>
      <c r="K174" s="176">
        <v>9</v>
      </c>
      <c r="M174" s="197">
        <v>1.4</v>
      </c>
      <c r="N174" s="198">
        <v>41822</v>
      </c>
      <c r="S174" s="176">
        <f>(AE174*BS174)/100</f>
        <v>4.1018993352326678</v>
      </c>
      <c r="T174" s="198"/>
      <c r="U174" s="176">
        <v>16.2</v>
      </c>
      <c r="Y174" s="200">
        <f>(AE174*BU174)/100</f>
        <v>1.7193067426400757</v>
      </c>
      <c r="Z174" s="198"/>
      <c r="AA174" s="200"/>
      <c r="AB174" s="198"/>
      <c r="AC174" s="378">
        <f t="shared" si="2"/>
        <v>7.9419753086419753</v>
      </c>
      <c r="AE174" s="176">
        <f>(M174/U174)*((100-CC174)/(100-9))*100</f>
        <v>8.7274453941120598</v>
      </c>
      <c r="AF174" s="198">
        <v>41822</v>
      </c>
      <c r="AG174" s="176">
        <v>4.5999999999999996</v>
      </c>
      <c r="AH174" s="196">
        <v>41927</v>
      </c>
      <c r="AI174" s="176">
        <v>105</v>
      </c>
      <c r="AM174" s="176">
        <v>80</v>
      </c>
      <c r="BG174" s="201">
        <v>45.9</v>
      </c>
      <c r="BI174" s="201">
        <v>4.4000000000000004</v>
      </c>
      <c r="BK174" s="201">
        <v>0.9</v>
      </c>
      <c r="BM174" s="201">
        <v>28.8</v>
      </c>
      <c r="BO174" s="201">
        <v>14.2</v>
      </c>
      <c r="BQ174" s="201">
        <v>11</v>
      </c>
      <c r="BS174" s="201">
        <v>47</v>
      </c>
      <c r="BU174" s="201">
        <v>19.7</v>
      </c>
      <c r="BW174" s="201">
        <v>81.400000000000006</v>
      </c>
      <c r="BY174" s="178">
        <v>7.0999999999999943</v>
      </c>
      <c r="CC174" s="201">
        <v>8.1</v>
      </c>
      <c r="CD174" s="198">
        <v>41822</v>
      </c>
      <c r="CI174" s="174" t="s">
        <v>9349</v>
      </c>
      <c r="CL174" s="174">
        <v>9</v>
      </c>
    </row>
    <row r="175" spans="1:91">
      <c r="A175" s="191" t="s">
        <v>7676</v>
      </c>
      <c r="B175" s="192" t="s">
        <v>269</v>
      </c>
      <c r="C175" s="192" t="s">
        <v>417</v>
      </c>
      <c r="D175" s="192" t="s">
        <v>8397</v>
      </c>
      <c r="E175" s="193">
        <v>228</v>
      </c>
      <c r="F175" s="193">
        <v>6</v>
      </c>
      <c r="K175" s="176">
        <v>8</v>
      </c>
      <c r="M175" s="197">
        <v>4.3</v>
      </c>
      <c r="N175" s="198">
        <v>41822</v>
      </c>
      <c r="S175" s="176">
        <f>(AE175*BS175)/100</f>
        <v>13.985063085063086</v>
      </c>
      <c r="T175" s="198"/>
      <c r="U175" s="176">
        <v>16.2</v>
      </c>
      <c r="Y175" s="200">
        <f>(AE175*BU175)/100</f>
        <v>4.4570716320716324</v>
      </c>
      <c r="Z175" s="198"/>
      <c r="AA175" s="200"/>
      <c r="AB175" s="198"/>
      <c r="AC175" s="378">
        <f t="shared" si="2"/>
        <v>24.287037037037038</v>
      </c>
      <c r="AE175" s="176">
        <f>(M175/U175)*((100-CC175)/(100-9))*100</f>
        <v>26.689051689051691</v>
      </c>
      <c r="AF175" s="198">
        <v>41822</v>
      </c>
      <c r="AG175" s="176">
        <v>4.7</v>
      </c>
      <c r="AH175" s="196">
        <v>41927</v>
      </c>
      <c r="AI175" s="176">
        <v>130</v>
      </c>
      <c r="AM175" s="176">
        <v>85</v>
      </c>
      <c r="BG175" s="201">
        <v>0.4</v>
      </c>
      <c r="BI175" s="201">
        <v>4.2</v>
      </c>
      <c r="BK175" s="201">
        <v>1.6</v>
      </c>
      <c r="BM175" s="201">
        <v>62.5</v>
      </c>
      <c r="BO175" s="201">
        <v>18.8</v>
      </c>
      <c r="BQ175" s="201">
        <v>9</v>
      </c>
      <c r="BS175" s="201">
        <v>52.4</v>
      </c>
      <c r="BU175" s="201">
        <v>16.7</v>
      </c>
      <c r="BW175" s="201">
        <v>13.7</v>
      </c>
      <c r="BY175" s="178">
        <v>7</v>
      </c>
      <c r="CC175" s="201">
        <v>8.5</v>
      </c>
      <c r="CD175" s="198">
        <v>41822</v>
      </c>
      <c r="CI175" s="174" t="s">
        <v>9391</v>
      </c>
      <c r="CL175" s="174">
        <v>1</v>
      </c>
    </row>
    <row r="176" spans="1:91">
      <c r="A176" s="191" t="s">
        <v>7788</v>
      </c>
      <c r="B176" s="192" t="s">
        <v>271</v>
      </c>
      <c r="C176" s="192" t="s">
        <v>8998</v>
      </c>
      <c r="D176" s="192" t="s">
        <v>8847</v>
      </c>
      <c r="E176" s="193">
        <v>228</v>
      </c>
      <c r="F176" s="193">
        <v>7</v>
      </c>
      <c r="K176" s="176">
        <v>8</v>
      </c>
      <c r="M176" s="197">
        <v>6.05</v>
      </c>
      <c r="N176" s="198">
        <v>41822</v>
      </c>
      <c r="S176" s="176">
        <f>(AE176*BS176)/100</f>
        <v>19.104571971238638</v>
      </c>
      <c r="T176" s="198"/>
      <c r="U176" s="176">
        <v>16.2</v>
      </c>
      <c r="Y176" s="200">
        <f>(AE176*BU176)/100</f>
        <v>6.7960927960927959</v>
      </c>
      <c r="Z176" s="198"/>
      <c r="AA176" s="200"/>
      <c r="AB176" s="198"/>
      <c r="AC176" s="378">
        <f t="shared" si="2"/>
        <v>34.358024691358025</v>
      </c>
      <c r="AE176" s="176">
        <f>(M176/U176)*((100-CC176)/(100-9))*100</f>
        <v>37.756071089404422</v>
      </c>
      <c r="AF176" s="198">
        <v>41822</v>
      </c>
      <c r="AG176" s="176">
        <v>4.8</v>
      </c>
      <c r="AH176" s="196">
        <v>41927</v>
      </c>
      <c r="AI176" s="176">
        <v>150</v>
      </c>
      <c r="AM176" s="176">
        <v>78</v>
      </c>
      <c r="BG176" s="201">
        <v>0</v>
      </c>
      <c r="BI176" s="201">
        <v>4.4000000000000004</v>
      </c>
      <c r="BK176" s="201">
        <v>1.5</v>
      </c>
      <c r="BM176" s="201">
        <v>63.6</v>
      </c>
      <c r="BO176" s="201">
        <v>19.8</v>
      </c>
      <c r="BQ176" s="201">
        <v>9.4</v>
      </c>
      <c r="BS176" s="201">
        <v>50.6</v>
      </c>
      <c r="BU176" s="201">
        <v>18</v>
      </c>
      <c r="BW176" s="201">
        <v>16.8</v>
      </c>
      <c r="BY176" s="178">
        <v>6.7000000000000028</v>
      </c>
      <c r="CC176" s="201">
        <v>8</v>
      </c>
      <c r="CD176" s="198">
        <v>41822</v>
      </c>
      <c r="CI176" s="174" t="s">
        <v>9396</v>
      </c>
      <c r="CL176" s="174">
        <v>1</v>
      </c>
    </row>
    <row r="177" spans="1:90">
      <c r="A177" s="191" t="s">
        <v>7694</v>
      </c>
      <c r="B177" s="192" t="s">
        <v>271</v>
      </c>
      <c r="C177" s="192" t="s">
        <v>8998</v>
      </c>
      <c r="D177" s="192" t="s">
        <v>8471</v>
      </c>
      <c r="E177" s="193">
        <v>228</v>
      </c>
      <c r="F177" s="193">
        <v>8</v>
      </c>
      <c r="K177" s="176">
        <v>9</v>
      </c>
      <c r="M177" s="197">
        <v>5.4</v>
      </c>
      <c r="N177" s="198">
        <v>41822</v>
      </c>
      <c r="S177" s="176">
        <f>(AE177*BS177)/100</f>
        <v>16.975274725274726</v>
      </c>
      <c r="T177" s="198"/>
      <c r="U177" s="176">
        <v>16.2</v>
      </c>
      <c r="Y177" s="200">
        <f>(AE177*BU177)/100</f>
        <v>5.7939560439560447</v>
      </c>
      <c r="Z177" s="198"/>
      <c r="AA177" s="200"/>
      <c r="AB177" s="198"/>
      <c r="AC177" s="378">
        <f t="shared" si="2"/>
        <v>30.833333333333336</v>
      </c>
      <c r="AE177" s="176">
        <f>(M177/U177)*((100-CC177)/(100-9))*100</f>
        <v>33.882783882783883</v>
      </c>
      <c r="AF177" s="198">
        <v>41822</v>
      </c>
      <c r="AG177" s="176">
        <v>4.0999999999999996</v>
      </c>
      <c r="AH177" s="196">
        <v>41927</v>
      </c>
      <c r="AI177" s="176">
        <v>150</v>
      </c>
      <c r="AM177" s="176">
        <v>86</v>
      </c>
      <c r="BG177" s="201">
        <v>0</v>
      </c>
      <c r="BI177" s="201">
        <v>4.3</v>
      </c>
      <c r="BK177" s="201">
        <v>1.8</v>
      </c>
      <c r="BM177" s="201">
        <v>64.8</v>
      </c>
      <c r="BO177" s="201">
        <v>19.7</v>
      </c>
      <c r="BQ177" s="201">
        <v>7</v>
      </c>
      <c r="BS177" s="201">
        <v>50.1</v>
      </c>
      <c r="BU177" s="201">
        <v>17.100000000000001</v>
      </c>
      <c r="BW177" s="201">
        <v>15.4</v>
      </c>
      <c r="BY177" s="178">
        <v>6.2999999999999972</v>
      </c>
      <c r="CC177" s="201">
        <v>7.5</v>
      </c>
      <c r="CD177" s="198">
        <v>41822</v>
      </c>
      <c r="CI177" s="174" t="s">
        <v>9355</v>
      </c>
      <c r="CL177" s="174">
        <v>3</v>
      </c>
    </row>
    <row r="178" spans="1:90">
      <c r="A178" s="191" t="s">
        <v>7765</v>
      </c>
      <c r="B178" s="192" t="s">
        <v>271</v>
      </c>
      <c r="C178" s="192" t="s">
        <v>8998</v>
      </c>
      <c r="D178" s="192" t="s">
        <v>8755</v>
      </c>
      <c r="E178" s="193">
        <v>228</v>
      </c>
      <c r="F178" s="193">
        <v>9</v>
      </c>
      <c r="K178" s="176">
        <v>8</v>
      </c>
      <c r="M178" s="197">
        <v>5.85</v>
      </c>
      <c r="N178" s="198">
        <v>41822</v>
      </c>
      <c r="S178" s="176">
        <f>(AE178*BS178)/100</f>
        <v>18.834285714285716</v>
      </c>
      <c r="T178" s="198"/>
      <c r="U178" s="176">
        <v>16.2</v>
      </c>
      <c r="Y178" s="200">
        <f>(AE178*BU178)/100</f>
        <v>6.2903571428571432</v>
      </c>
      <c r="Z178" s="198"/>
      <c r="AA178" s="200"/>
      <c r="AB178" s="198"/>
      <c r="AC178" s="378">
        <f t="shared" si="2"/>
        <v>33.475000000000001</v>
      </c>
      <c r="AE178" s="176">
        <f>(M178/U178)*((100-CC178)/(100-9))*100</f>
        <v>36.785714285714285</v>
      </c>
      <c r="AF178" s="198">
        <v>41822</v>
      </c>
      <c r="AG178" s="176">
        <v>4.9000000000000004</v>
      </c>
      <c r="AH178" s="196">
        <v>41927</v>
      </c>
      <c r="AI178" s="176">
        <v>140</v>
      </c>
      <c r="AM178" s="176">
        <v>85</v>
      </c>
      <c r="BG178" s="201">
        <v>0</v>
      </c>
      <c r="BI178" s="201">
        <v>4.7</v>
      </c>
      <c r="BK178" s="201">
        <v>1.7</v>
      </c>
      <c r="BM178" s="201">
        <v>63.7</v>
      </c>
      <c r="BO178" s="201">
        <v>20.6</v>
      </c>
      <c r="BQ178" s="201">
        <v>8</v>
      </c>
      <c r="BS178" s="201">
        <v>51.2</v>
      </c>
      <c r="BU178" s="201">
        <v>17.100000000000001</v>
      </c>
      <c r="BW178" s="201">
        <v>14.2</v>
      </c>
      <c r="BY178" s="178">
        <v>6.4000000000000057</v>
      </c>
      <c r="CC178" s="201">
        <v>7.3</v>
      </c>
      <c r="CD178" s="198">
        <v>41822</v>
      </c>
      <c r="CI178" s="174" t="s">
        <v>9349</v>
      </c>
      <c r="CL178" s="174">
        <v>1</v>
      </c>
    </row>
    <row r="179" spans="1:90">
      <c r="A179" s="191" t="s">
        <v>7728</v>
      </c>
      <c r="B179" s="192" t="s">
        <v>271</v>
      </c>
      <c r="C179" s="192" t="s">
        <v>8998</v>
      </c>
      <c r="D179" s="192" t="s">
        <v>8607</v>
      </c>
      <c r="E179" s="193">
        <v>228</v>
      </c>
      <c r="F179" s="193">
        <v>10</v>
      </c>
      <c r="K179" s="176">
        <v>9</v>
      </c>
      <c r="M179" s="197">
        <v>7.1</v>
      </c>
      <c r="N179" s="198">
        <v>41822</v>
      </c>
      <c r="S179" s="176">
        <f>(AE179*BS179)/100</f>
        <v>22.508955365622032</v>
      </c>
      <c r="T179" s="198"/>
      <c r="U179" s="176">
        <v>16.2</v>
      </c>
      <c r="Y179" s="200">
        <f>(AE179*BU179)/100</f>
        <v>7.8467473884140544</v>
      </c>
      <c r="Z179" s="198"/>
      <c r="AA179" s="200"/>
      <c r="AB179" s="198"/>
      <c r="AC179" s="378">
        <f t="shared" si="2"/>
        <v>40.803086419753086</v>
      </c>
      <c r="AE179" s="176">
        <f>(M179/U179)*((100-CC179)/(100-9))*100</f>
        <v>44.838556505223167</v>
      </c>
      <c r="AF179" s="198">
        <v>41822</v>
      </c>
      <c r="AG179" s="176">
        <v>4.3</v>
      </c>
      <c r="AH179" s="196">
        <v>41927</v>
      </c>
      <c r="AI179" s="176">
        <v>160</v>
      </c>
      <c r="AM179" s="176">
        <v>85</v>
      </c>
      <c r="BG179" s="201">
        <v>0</v>
      </c>
      <c r="BI179" s="201">
        <v>4.5</v>
      </c>
      <c r="BK179" s="201">
        <v>1.6</v>
      </c>
      <c r="BM179" s="201">
        <v>63</v>
      </c>
      <c r="BO179" s="201">
        <v>20.100000000000001</v>
      </c>
      <c r="BQ179" s="201">
        <v>8.3000000000000007</v>
      </c>
      <c r="BS179" s="201">
        <v>50.2</v>
      </c>
      <c r="BU179" s="201">
        <v>17.5</v>
      </c>
      <c r="BW179" s="201">
        <v>20.3</v>
      </c>
      <c r="BY179" s="178">
        <v>6.4000000000000057</v>
      </c>
      <c r="CC179" s="201">
        <v>6.9</v>
      </c>
      <c r="CD179" s="198">
        <v>41822</v>
      </c>
      <c r="CI179" s="174" t="s">
        <v>9349</v>
      </c>
      <c r="CL179" s="174">
        <v>1</v>
      </c>
    </row>
    <row r="180" spans="1:90">
      <c r="A180" s="191" t="s">
        <v>7747</v>
      </c>
      <c r="B180" s="192" t="s">
        <v>271</v>
      </c>
      <c r="C180" s="192" t="s">
        <v>8998</v>
      </c>
      <c r="D180" s="192" t="s">
        <v>8683</v>
      </c>
      <c r="E180" s="193">
        <v>228</v>
      </c>
      <c r="F180" s="193">
        <v>11</v>
      </c>
      <c r="K180" s="176">
        <v>8</v>
      </c>
      <c r="M180" s="197">
        <v>2.75</v>
      </c>
      <c r="N180" s="198">
        <v>41822</v>
      </c>
      <c r="S180" s="176">
        <f>(AE180*BS180)/100</f>
        <v>7.8601275267941926</v>
      </c>
      <c r="T180" s="198"/>
      <c r="U180" s="176">
        <v>16.2</v>
      </c>
      <c r="Y180" s="200">
        <f>(AE180*BU180)/100</f>
        <v>3.6554741554741552</v>
      </c>
      <c r="Z180" s="198"/>
      <c r="AA180" s="200"/>
      <c r="AB180" s="198"/>
      <c r="AC180" s="378">
        <f t="shared" si="2"/>
        <v>15.617283950617285</v>
      </c>
      <c r="AE180" s="176">
        <f>(M180/U180)*((100-CC180)/(100-9))*100</f>
        <v>17.161850495183828</v>
      </c>
      <c r="AF180" s="198">
        <v>41822</v>
      </c>
      <c r="AG180" s="176">
        <v>4.5</v>
      </c>
      <c r="AH180" s="196">
        <v>41927</v>
      </c>
      <c r="AI180" s="176">
        <v>130</v>
      </c>
      <c r="AM180" s="176">
        <v>82</v>
      </c>
      <c r="BG180" s="201">
        <v>48</v>
      </c>
      <c r="BI180" s="201">
        <v>4</v>
      </c>
      <c r="BK180" s="201">
        <v>0.9</v>
      </c>
      <c r="BM180" s="201">
        <v>30.6</v>
      </c>
      <c r="BO180" s="201">
        <v>13.8</v>
      </c>
      <c r="BQ180" s="201">
        <v>10.9</v>
      </c>
      <c r="BS180" s="201">
        <v>45.8</v>
      </c>
      <c r="BU180" s="201">
        <v>21.3</v>
      </c>
      <c r="BW180" s="201">
        <v>102.8</v>
      </c>
      <c r="BY180" s="178">
        <v>6.7999999999999972</v>
      </c>
      <c r="CC180" s="201">
        <v>8</v>
      </c>
      <c r="CD180" s="198">
        <v>41822</v>
      </c>
      <c r="CI180" s="174" t="s">
        <v>9355</v>
      </c>
      <c r="CL180" s="174">
        <v>8</v>
      </c>
    </row>
    <row r="181" spans="1:90">
      <c r="A181" s="191" t="s">
        <v>7657</v>
      </c>
      <c r="B181" s="192" t="s">
        <v>271</v>
      </c>
      <c r="C181" s="192" t="s">
        <v>8998</v>
      </c>
      <c r="D181" s="192" t="s">
        <v>8323</v>
      </c>
      <c r="E181" s="193">
        <v>228</v>
      </c>
      <c r="F181" s="193">
        <v>12</v>
      </c>
      <c r="K181" s="176">
        <v>9</v>
      </c>
      <c r="M181" s="197">
        <v>1.8</v>
      </c>
      <c r="N181" s="198">
        <v>41822</v>
      </c>
      <c r="S181" s="176">
        <f>(AE181*BS181)/100</f>
        <v>5.3470085470085476</v>
      </c>
      <c r="T181" s="198"/>
      <c r="U181" s="176">
        <v>16.2</v>
      </c>
      <c r="Y181" s="200">
        <f>(AE181*BU181)/100</f>
        <v>2.2017094017094023</v>
      </c>
      <c r="Z181" s="198"/>
      <c r="AA181" s="200"/>
      <c r="AB181" s="198"/>
      <c r="AC181" s="378">
        <f t="shared" si="2"/>
        <v>10.222222222222223</v>
      </c>
      <c r="AE181" s="176">
        <f>(M181/U181)*((100-CC181)/(100-9))*100</f>
        <v>11.233211233211234</v>
      </c>
      <c r="AF181" s="198">
        <v>41822</v>
      </c>
      <c r="AG181" s="176">
        <v>4</v>
      </c>
      <c r="AH181" s="196">
        <v>41927</v>
      </c>
      <c r="AI181" s="176">
        <v>90</v>
      </c>
      <c r="AM181" s="176">
        <v>80</v>
      </c>
      <c r="BG181" s="201">
        <v>2.4</v>
      </c>
      <c r="BI181" s="201">
        <v>4.5</v>
      </c>
      <c r="BK181" s="201">
        <v>1.5</v>
      </c>
      <c r="BM181" s="201">
        <v>62.6</v>
      </c>
      <c r="BO181" s="201">
        <v>19.8</v>
      </c>
      <c r="BQ181" s="201">
        <v>9.9</v>
      </c>
      <c r="BS181" s="201">
        <v>47.6</v>
      </c>
      <c r="BU181" s="201">
        <v>19.600000000000001</v>
      </c>
      <c r="BW181" s="201">
        <v>50.9</v>
      </c>
      <c r="BY181" s="178">
        <v>7</v>
      </c>
      <c r="CC181" s="201">
        <v>8</v>
      </c>
      <c r="CD181" s="198">
        <v>41822</v>
      </c>
      <c r="CI181" s="174" t="s">
        <v>9349</v>
      </c>
      <c r="CL181" s="174">
        <v>9</v>
      </c>
    </row>
    <row r="182" spans="1:90">
      <c r="A182" s="191" t="s">
        <v>7624</v>
      </c>
      <c r="B182" s="192" t="s">
        <v>269</v>
      </c>
      <c r="C182" s="192" t="s">
        <v>417</v>
      </c>
      <c r="D182" s="192" t="s">
        <v>8189</v>
      </c>
      <c r="E182" s="193">
        <v>229</v>
      </c>
      <c r="F182" s="193">
        <v>1</v>
      </c>
      <c r="I182" s="184"/>
      <c r="K182" s="176">
        <v>8</v>
      </c>
      <c r="M182" s="197">
        <v>3.05</v>
      </c>
      <c r="N182" s="198">
        <v>41822</v>
      </c>
      <c r="O182" s="179"/>
      <c r="S182" s="176">
        <f>(AE182*BS182)/100</f>
        <v>9.4097734364401049</v>
      </c>
      <c r="T182" s="198"/>
      <c r="U182" s="176">
        <v>16.2</v>
      </c>
      <c r="Y182" s="200">
        <f>(AE182*BU182)/100</f>
        <v>3.8950291683625022</v>
      </c>
      <c r="Z182" s="198"/>
      <c r="AA182" s="200"/>
      <c r="AB182" s="198"/>
      <c r="AC182" s="378">
        <f t="shared" si="2"/>
        <v>17.546913580246915</v>
      </c>
      <c r="AE182" s="176">
        <f>(M182/U182)*((100-CC182)/(100-9))*100</f>
        <v>19.282322615655954</v>
      </c>
      <c r="AF182" s="198">
        <v>41822</v>
      </c>
      <c r="AG182" s="176">
        <v>3.6</v>
      </c>
      <c r="AH182" s="196">
        <v>41927</v>
      </c>
      <c r="AI182" s="176">
        <v>110</v>
      </c>
      <c r="AM182" s="176">
        <v>78</v>
      </c>
      <c r="BG182" s="201">
        <v>46.2</v>
      </c>
      <c r="BI182" s="201">
        <v>3.9</v>
      </c>
      <c r="BK182" s="201">
        <v>0.8</v>
      </c>
      <c r="BM182" s="201">
        <v>22.6</v>
      </c>
      <c r="BO182" s="201">
        <v>14.4</v>
      </c>
      <c r="BQ182" s="201">
        <v>10.9</v>
      </c>
      <c r="BS182" s="201">
        <v>48.8</v>
      </c>
      <c r="BU182" s="201">
        <v>20.2</v>
      </c>
      <c r="BW182" s="201">
        <v>76.5</v>
      </c>
      <c r="BY182" s="178">
        <v>6.7000000000000028</v>
      </c>
      <c r="CC182" s="201">
        <v>6.8</v>
      </c>
      <c r="CD182" s="198">
        <v>41822</v>
      </c>
      <c r="CI182" s="174" t="s">
        <v>9337</v>
      </c>
      <c r="CL182" s="174">
        <v>3</v>
      </c>
    </row>
    <row r="183" spans="1:90">
      <c r="A183" s="191" t="s">
        <v>7739</v>
      </c>
      <c r="B183" s="192" t="s">
        <v>269</v>
      </c>
      <c r="C183" s="192" t="s">
        <v>417</v>
      </c>
      <c r="D183" s="192" t="s">
        <v>8649</v>
      </c>
      <c r="E183" s="193">
        <v>229</v>
      </c>
      <c r="F183" s="193">
        <v>2</v>
      </c>
      <c r="K183" s="176">
        <v>7</v>
      </c>
      <c r="M183" s="197">
        <v>2.0499999999999998</v>
      </c>
      <c r="N183" s="198">
        <v>41822</v>
      </c>
      <c r="S183" s="176">
        <f>(AE183*BS183)/100</f>
        <v>6.0427442002442016</v>
      </c>
      <c r="T183" s="198"/>
      <c r="U183" s="176">
        <v>16.2</v>
      </c>
      <c r="Y183" s="200">
        <f>(AE183*BU183)/100</f>
        <v>2.3689584181250849</v>
      </c>
      <c r="Z183" s="198"/>
      <c r="AA183" s="200"/>
      <c r="AB183" s="198"/>
      <c r="AC183" s="378">
        <f t="shared" si="2"/>
        <v>11.528086419753086</v>
      </c>
      <c r="AE183" s="176">
        <f>(M183/U183)*((100-CC183)/(100-9))*100</f>
        <v>12.668226834893503</v>
      </c>
      <c r="AF183" s="198">
        <v>41822</v>
      </c>
      <c r="AG183" s="176">
        <v>4.3</v>
      </c>
      <c r="AH183" s="196">
        <v>41927</v>
      </c>
      <c r="AI183" s="176">
        <v>145</v>
      </c>
      <c r="AM183" s="176">
        <v>84</v>
      </c>
      <c r="BG183" s="201">
        <v>6.8</v>
      </c>
      <c r="BI183" s="201">
        <v>4.5999999999999996</v>
      </c>
      <c r="BK183" s="201">
        <v>1.3</v>
      </c>
      <c r="BM183" s="201">
        <v>54</v>
      </c>
      <c r="BO183" s="201">
        <v>20.5</v>
      </c>
      <c r="BQ183" s="201">
        <v>13</v>
      </c>
      <c r="BS183" s="201">
        <v>47.7</v>
      </c>
      <c r="BU183" s="201">
        <v>18.7</v>
      </c>
      <c r="BW183" s="201">
        <v>20.2</v>
      </c>
      <c r="BY183" s="178">
        <v>7.4000000000000057</v>
      </c>
      <c r="CC183" s="201">
        <v>8.9</v>
      </c>
      <c r="CD183" s="198">
        <v>41822</v>
      </c>
      <c r="CI183" s="174" t="s">
        <v>9349</v>
      </c>
      <c r="CL183" s="174">
        <v>7</v>
      </c>
    </row>
    <row r="184" spans="1:90">
      <c r="A184" s="191" t="s">
        <v>7649</v>
      </c>
      <c r="B184" s="192" t="s">
        <v>269</v>
      </c>
      <c r="C184" s="192" t="s">
        <v>417</v>
      </c>
      <c r="D184" s="192" t="s">
        <v>8289</v>
      </c>
      <c r="E184" s="193">
        <v>229</v>
      </c>
      <c r="F184" s="193">
        <v>3</v>
      </c>
      <c r="K184" s="176">
        <v>8</v>
      </c>
      <c r="M184" s="197">
        <v>3.6</v>
      </c>
      <c r="N184" s="198">
        <v>41822</v>
      </c>
      <c r="S184" s="176">
        <f>(AE184*BS184)/100</f>
        <v>10.740512820512823</v>
      </c>
      <c r="T184" s="198"/>
      <c r="U184" s="176">
        <v>16.2</v>
      </c>
      <c r="Y184" s="200">
        <f>(AE184*BU184)/100</f>
        <v>4.3548717948717961</v>
      </c>
      <c r="Z184" s="198"/>
      <c r="AA184" s="200"/>
      <c r="AB184" s="198"/>
      <c r="AC184" s="378">
        <f t="shared" si="2"/>
        <v>20.533333333333335</v>
      </c>
      <c r="AE184" s="176">
        <f>(M184/U184)*((100-CC184)/(100-9))*100</f>
        <v>22.564102564102569</v>
      </c>
      <c r="AF184" s="198">
        <v>41822</v>
      </c>
      <c r="AG184" s="176">
        <v>5.2</v>
      </c>
      <c r="AH184" s="196">
        <v>41927</v>
      </c>
      <c r="AI184" s="176">
        <v>100</v>
      </c>
      <c r="AM184" s="176">
        <v>79</v>
      </c>
      <c r="BG184" s="201">
        <v>4.3</v>
      </c>
      <c r="BI184" s="201">
        <v>4.5999999999999996</v>
      </c>
      <c r="BK184" s="201">
        <v>1.3</v>
      </c>
      <c r="BM184" s="201">
        <v>61.7</v>
      </c>
      <c r="BO184" s="201">
        <v>18.5</v>
      </c>
      <c r="BQ184" s="201">
        <v>10.7</v>
      </c>
      <c r="BS184" s="201">
        <v>47.6</v>
      </c>
      <c r="BU184" s="201">
        <v>19.3</v>
      </c>
      <c r="BW184" s="201">
        <v>73.400000000000006</v>
      </c>
      <c r="BY184" s="178">
        <v>7.2000000000000028</v>
      </c>
      <c r="CC184" s="201">
        <v>7.6</v>
      </c>
      <c r="CD184" s="198">
        <v>41822</v>
      </c>
      <c r="CI184" s="174" t="s">
        <v>9349</v>
      </c>
      <c r="CL184" s="174">
        <v>7</v>
      </c>
    </row>
    <row r="185" spans="1:90">
      <c r="A185" s="191" t="s">
        <v>7656</v>
      </c>
      <c r="B185" s="192" t="s">
        <v>269</v>
      </c>
      <c r="C185" s="192" t="s">
        <v>417</v>
      </c>
      <c r="D185" s="192" t="s">
        <v>8317</v>
      </c>
      <c r="E185" s="193">
        <v>229</v>
      </c>
      <c r="F185" s="193">
        <v>4</v>
      </c>
      <c r="K185" s="176">
        <v>7</v>
      </c>
      <c r="M185" s="197">
        <v>4.25</v>
      </c>
      <c r="N185" s="198">
        <v>41822</v>
      </c>
      <c r="S185" s="176">
        <f>(AE185*BS185)/100</f>
        <v>13.706840998507664</v>
      </c>
      <c r="T185" s="198"/>
      <c r="U185" s="176">
        <v>16.2</v>
      </c>
      <c r="Y185" s="200">
        <f>(AE185*BU185)/100</f>
        <v>4.8000610500610499</v>
      </c>
      <c r="Z185" s="198"/>
      <c r="AA185" s="200"/>
      <c r="AB185" s="198"/>
      <c r="AC185" s="378">
        <f t="shared" si="2"/>
        <v>24.266975308641975</v>
      </c>
      <c r="AE185" s="176">
        <f>(M185/U185)*((100-CC185)/(100-9))*100</f>
        <v>26.667005833672498</v>
      </c>
      <c r="AF185" s="198">
        <v>41822</v>
      </c>
      <c r="AG185" s="176">
        <v>4.3</v>
      </c>
      <c r="AH185" s="196">
        <v>41927</v>
      </c>
      <c r="AI185" s="176">
        <v>125</v>
      </c>
      <c r="AM185" s="176">
        <v>77</v>
      </c>
      <c r="BG185" s="201">
        <v>4</v>
      </c>
      <c r="BI185" s="201">
        <v>4.8</v>
      </c>
      <c r="BK185" s="201">
        <v>1.3</v>
      </c>
      <c r="BM185" s="201">
        <v>62.2</v>
      </c>
      <c r="BO185" s="201">
        <v>18.7</v>
      </c>
      <c r="BQ185" s="201">
        <v>11.7</v>
      </c>
      <c r="BS185" s="201">
        <v>51.4</v>
      </c>
      <c r="BU185" s="201">
        <v>18</v>
      </c>
      <c r="BW185" s="201">
        <v>67.900000000000006</v>
      </c>
      <c r="BY185" s="178">
        <v>6.7000000000000028</v>
      </c>
      <c r="CC185" s="201">
        <v>7.5</v>
      </c>
      <c r="CD185" s="198">
        <v>41822</v>
      </c>
      <c r="CI185" s="174" t="s">
        <v>9362</v>
      </c>
      <c r="CL185" s="174">
        <v>3</v>
      </c>
    </row>
    <row r="186" spans="1:90">
      <c r="A186" s="191" t="s">
        <v>7652</v>
      </c>
      <c r="B186" s="192" t="s">
        <v>269</v>
      </c>
      <c r="C186" s="192" t="s">
        <v>417</v>
      </c>
      <c r="D186" s="192" t="s">
        <v>8301</v>
      </c>
      <c r="E186" s="193">
        <v>229</v>
      </c>
      <c r="F186" s="193">
        <v>5</v>
      </c>
      <c r="K186" s="176">
        <v>9</v>
      </c>
      <c r="M186" s="197">
        <v>1.2</v>
      </c>
      <c r="N186" s="198">
        <v>41822</v>
      </c>
      <c r="S186" s="176">
        <f>(AE186*BS186)/100</f>
        <v>3.5952136752136754</v>
      </c>
      <c r="T186" s="198"/>
      <c r="U186" s="176">
        <v>16.2</v>
      </c>
      <c r="Y186" s="200">
        <f>(AE186*BU186)/100</f>
        <v>1.4741880341880345</v>
      </c>
      <c r="Z186" s="198"/>
      <c r="AA186" s="200"/>
      <c r="AB186" s="198"/>
      <c r="AC186" s="378">
        <f t="shared" si="2"/>
        <v>6.8444444444444441</v>
      </c>
      <c r="AE186" s="176">
        <f>(M186/U186)*((100-CC186)/(100-9))*100</f>
        <v>7.5213675213675222</v>
      </c>
      <c r="AF186" s="198">
        <v>41822</v>
      </c>
      <c r="AG186" s="176">
        <v>4.5</v>
      </c>
      <c r="AH186" s="196">
        <v>41927</v>
      </c>
      <c r="AI186" s="176">
        <v>80</v>
      </c>
      <c r="AM186" s="176">
        <v>82</v>
      </c>
      <c r="BG186" s="201">
        <v>4.7</v>
      </c>
      <c r="BI186" s="201">
        <v>4.7</v>
      </c>
      <c r="BK186" s="201">
        <v>1.4</v>
      </c>
      <c r="BM186" s="201">
        <v>62</v>
      </c>
      <c r="BO186" s="201">
        <v>19.2</v>
      </c>
      <c r="BQ186" s="201">
        <v>10.8</v>
      </c>
      <c r="BS186" s="201">
        <v>47.8</v>
      </c>
      <c r="BU186" s="201">
        <v>19.600000000000001</v>
      </c>
      <c r="BW186" s="201">
        <v>59.5</v>
      </c>
      <c r="BY186" s="178">
        <v>7</v>
      </c>
      <c r="CC186" s="201">
        <v>7.6</v>
      </c>
      <c r="CD186" s="198">
        <v>41822</v>
      </c>
      <c r="CI186" s="174" t="s">
        <v>9349</v>
      </c>
      <c r="CL186" s="174">
        <v>9</v>
      </c>
    </row>
    <row r="187" spans="1:90">
      <c r="A187" s="191" t="s">
        <v>7736</v>
      </c>
      <c r="B187" s="192" t="s">
        <v>269</v>
      </c>
      <c r="C187" s="192" t="s">
        <v>417</v>
      </c>
      <c r="D187" s="192" t="s">
        <v>8637</v>
      </c>
      <c r="E187" s="193">
        <v>229</v>
      </c>
      <c r="F187" s="193">
        <v>6</v>
      </c>
      <c r="K187" s="176">
        <v>8</v>
      </c>
      <c r="M187" s="197">
        <v>4.6500000000000004</v>
      </c>
      <c r="N187" s="198">
        <v>41822</v>
      </c>
      <c r="S187" s="176">
        <f>(AE187*BS187)/100</f>
        <v>14.996896621896621</v>
      </c>
      <c r="T187" s="198"/>
      <c r="U187" s="176">
        <v>16.2</v>
      </c>
      <c r="Y187" s="200">
        <f>(AE187*BU187)/100</f>
        <v>4.6391178266178272</v>
      </c>
      <c r="Z187" s="198"/>
      <c r="AA187" s="200"/>
      <c r="AB187" s="198"/>
      <c r="AC187" s="378">
        <f t="shared" si="2"/>
        <v>26.550925925925931</v>
      </c>
      <c r="AE187" s="176">
        <f>(M187/U187)*((100-CC187)/(100-9))*100</f>
        <v>29.176841676841679</v>
      </c>
      <c r="AF187" s="198">
        <v>41822</v>
      </c>
      <c r="AG187" s="176">
        <v>4.4000000000000004</v>
      </c>
      <c r="AH187" s="196">
        <v>41927</v>
      </c>
      <c r="AI187" s="176">
        <v>145</v>
      </c>
      <c r="AM187" s="176">
        <v>78</v>
      </c>
      <c r="BG187" s="201">
        <v>0</v>
      </c>
      <c r="BI187" s="201">
        <v>4.5</v>
      </c>
      <c r="BK187" s="201">
        <v>1.5</v>
      </c>
      <c r="BM187" s="201">
        <v>62.7</v>
      </c>
      <c r="BO187" s="201">
        <v>20</v>
      </c>
      <c r="BQ187" s="201">
        <v>8.6</v>
      </c>
      <c r="BS187" s="201">
        <v>51.4</v>
      </c>
      <c r="BU187" s="201">
        <v>15.9</v>
      </c>
      <c r="BW187" s="201">
        <v>9.1999999999999993</v>
      </c>
      <c r="BY187" s="178">
        <v>7.0999999999999943</v>
      </c>
      <c r="CC187" s="201">
        <v>7.5</v>
      </c>
      <c r="CD187" s="198">
        <v>41822</v>
      </c>
      <c r="CI187" s="174" t="s">
        <v>9384</v>
      </c>
      <c r="CL187" s="174">
        <v>1</v>
      </c>
    </row>
    <row r="188" spans="1:90">
      <c r="A188" s="191" t="s">
        <v>7724</v>
      </c>
      <c r="B188" s="192" t="s">
        <v>271</v>
      </c>
      <c r="C188" s="192" t="s">
        <v>8998</v>
      </c>
      <c r="D188" s="192" t="s">
        <v>8591</v>
      </c>
      <c r="E188" s="193">
        <v>229</v>
      </c>
      <c r="F188" s="193">
        <v>7</v>
      </c>
      <c r="K188" s="176">
        <v>8</v>
      </c>
      <c r="M188" s="197">
        <v>7.3</v>
      </c>
      <c r="N188" s="198">
        <v>41822</v>
      </c>
      <c r="S188" s="176">
        <f>(AE188*BS188)/100</f>
        <v>22.676349206349204</v>
      </c>
      <c r="T188" s="198"/>
      <c r="U188" s="176">
        <v>16.2</v>
      </c>
      <c r="Y188" s="200">
        <f>(AE188*BU188)/100</f>
        <v>8.0331196581196576</v>
      </c>
      <c r="Z188" s="198"/>
      <c r="AA188" s="200"/>
      <c r="AB188" s="198"/>
      <c r="AC188" s="378">
        <f t="shared" si="2"/>
        <v>41.772222222222226</v>
      </c>
      <c r="AE188" s="176">
        <f>(M188/U188)*((100-CC188)/(100-9))*100</f>
        <v>45.9035409035409</v>
      </c>
      <c r="AF188" s="198">
        <v>41822</v>
      </c>
      <c r="AG188" s="176">
        <v>5.2</v>
      </c>
      <c r="AH188" s="196">
        <v>41927</v>
      </c>
      <c r="AI188" s="176">
        <v>165</v>
      </c>
      <c r="AM188" s="176">
        <v>83</v>
      </c>
      <c r="BG188" s="201">
        <v>0</v>
      </c>
      <c r="BI188" s="201">
        <v>4.5999999999999996</v>
      </c>
      <c r="BK188" s="201">
        <v>1.7</v>
      </c>
      <c r="BM188" s="201">
        <v>65.099999999999994</v>
      </c>
      <c r="BO188" s="201">
        <v>21.5</v>
      </c>
      <c r="BQ188" s="201">
        <v>7.5</v>
      </c>
      <c r="BS188" s="201">
        <v>49.4</v>
      </c>
      <c r="BU188" s="201">
        <v>17.5</v>
      </c>
      <c r="BW188" s="201">
        <v>11.1</v>
      </c>
      <c r="BY188" s="178">
        <v>6.5999999999999943</v>
      </c>
      <c r="CC188" s="201">
        <v>7.3</v>
      </c>
      <c r="CD188" s="198">
        <v>41822</v>
      </c>
      <c r="CI188" s="174" t="s">
        <v>9356</v>
      </c>
      <c r="CL188" s="174">
        <v>1</v>
      </c>
    </row>
    <row r="189" spans="1:90">
      <c r="A189" s="191" t="s">
        <v>7781</v>
      </c>
      <c r="B189" s="192" t="s">
        <v>271</v>
      </c>
      <c r="C189" s="192" t="s">
        <v>8998</v>
      </c>
      <c r="D189" s="192" t="s">
        <v>8819</v>
      </c>
      <c r="E189" s="193">
        <v>229</v>
      </c>
      <c r="F189" s="193">
        <v>8</v>
      </c>
      <c r="K189" s="176">
        <v>8</v>
      </c>
      <c r="M189" s="197">
        <v>5.55</v>
      </c>
      <c r="N189" s="198">
        <v>41822</v>
      </c>
      <c r="S189" s="176">
        <f>(AE189*BS189)/100</f>
        <v>16.907885632885634</v>
      </c>
      <c r="T189" s="198"/>
      <c r="U189" s="176">
        <v>16.2</v>
      </c>
      <c r="Y189" s="200">
        <f>(AE189*BU189)/100</f>
        <v>6.1705067155067157</v>
      </c>
      <c r="Z189" s="198"/>
      <c r="AA189" s="200"/>
      <c r="AB189" s="198"/>
      <c r="AC189" s="378">
        <f t="shared" si="2"/>
        <v>31.724074074074075</v>
      </c>
      <c r="AE189" s="176">
        <f>(M189/U189)*((100-CC189)/(100-9))*100</f>
        <v>34.861619861619864</v>
      </c>
      <c r="AF189" s="198">
        <v>41822</v>
      </c>
      <c r="AG189" s="176">
        <v>4.8</v>
      </c>
      <c r="AH189" s="196">
        <v>41927</v>
      </c>
      <c r="AI189" s="176">
        <v>150</v>
      </c>
      <c r="AM189" s="176">
        <v>85</v>
      </c>
      <c r="BG189" s="201">
        <v>0</v>
      </c>
      <c r="BI189" s="201">
        <v>4.4000000000000004</v>
      </c>
      <c r="BK189" s="201">
        <v>1.7</v>
      </c>
      <c r="BM189" s="201">
        <v>63.4</v>
      </c>
      <c r="BO189" s="201">
        <v>20</v>
      </c>
      <c r="BQ189" s="201">
        <v>8.1</v>
      </c>
      <c r="BS189" s="201">
        <v>48.5</v>
      </c>
      <c r="BU189" s="201">
        <v>17.7</v>
      </c>
      <c r="BW189" s="201">
        <v>13.2</v>
      </c>
      <c r="BY189" s="178">
        <v>6.5999999999999943</v>
      </c>
      <c r="CC189" s="201">
        <v>7.4</v>
      </c>
      <c r="CD189" s="198">
        <v>41822</v>
      </c>
      <c r="CI189" s="174" t="s">
        <v>9382</v>
      </c>
      <c r="CL189" s="174">
        <v>2</v>
      </c>
    </row>
    <row r="190" spans="1:90">
      <c r="A190" s="191" t="s">
        <v>7799</v>
      </c>
      <c r="B190" s="192" t="s">
        <v>271</v>
      </c>
      <c r="C190" s="192" t="s">
        <v>8998</v>
      </c>
      <c r="D190" s="192" t="s">
        <v>8891</v>
      </c>
      <c r="E190" s="193">
        <v>229</v>
      </c>
      <c r="F190" s="193">
        <v>9</v>
      </c>
      <c r="K190" s="176">
        <v>8</v>
      </c>
      <c r="M190" s="197">
        <v>7.65</v>
      </c>
      <c r="N190" s="198">
        <v>41822</v>
      </c>
      <c r="S190" s="176">
        <f>(AE190*BS190)/100</f>
        <v>24.489755799755802</v>
      </c>
      <c r="T190" s="198"/>
      <c r="U190" s="176">
        <v>16.2</v>
      </c>
      <c r="Y190" s="200">
        <f>(AE190*BU190)/100</f>
        <v>8.0989743589743615</v>
      </c>
      <c r="Z190" s="198"/>
      <c r="AA190" s="200"/>
      <c r="AB190" s="198"/>
      <c r="AC190" s="378">
        <f t="shared" si="2"/>
        <v>43.869444444444454</v>
      </c>
      <c r="AE190" s="176">
        <f>(M190/U190)*((100-CC190)/(100-9))*100</f>
        <v>48.20818070818072</v>
      </c>
      <c r="AF190" s="198">
        <v>41822</v>
      </c>
      <c r="AG190" s="176">
        <v>4.3</v>
      </c>
      <c r="AH190" s="196">
        <v>41927</v>
      </c>
      <c r="AI190" s="176">
        <v>150</v>
      </c>
      <c r="AM190" s="176">
        <v>84</v>
      </c>
      <c r="BG190" s="201">
        <v>0</v>
      </c>
      <c r="BI190" s="201">
        <v>4.7</v>
      </c>
      <c r="BK190" s="201">
        <v>1.5</v>
      </c>
      <c r="BM190" s="201">
        <v>63.6</v>
      </c>
      <c r="BO190" s="201">
        <v>20.8</v>
      </c>
      <c r="BQ190" s="201">
        <v>8.4</v>
      </c>
      <c r="BS190" s="201">
        <v>50.8</v>
      </c>
      <c r="BU190" s="201">
        <v>16.8</v>
      </c>
      <c r="BW190" s="201">
        <v>12.2</v>
      </c>
      <c r="BY190" s="178">
        <v>6.5</v>
      </c>
      <c r="CC190" s="201">
        <v>7.1</v>
      </c>
      <c r="CD190" s="198">
        <v>41822</v>
      </c>
      <c r="CI190" s="174" t="s">
        <v>9349</v>
      </c>
      <c r="CL190" s="174">
        <v>1</v>
      </c>
    </row>
    <row r="191" spans="1:90">
      <c r="A191" s="191" t="s">
        <v>7703</v>
      </c>
      <c r="B191" s="192" t="s">
        <v>271</v>
      </c>
      <c r="C191" s="192" t="s">
        <v>8998</v>
      </c>
      <c r="D191" s="192" t="s">
        <v>8507</v>
      </c>
      <c r="E191" s="193">
        <v>229</v>
      </c>
      <c r="F191" s="193">
        <v>10</v>
      </c>
      <c r="K191" s="176">
        <v>8</v>
      </c>
      <c r="M191" s="197">
        <v>6.3</v>
      </c>
      <c r="N191" s="198">
        <v>41822</v>
      </c>
      <c r="S191" s="176">
        <f>(AE191*BS191)/100</f>
        <v>19.096111111111117</v>
      </c>
      <c r="T191" s="198"/>
      <c r="U191" s="176">
        <v>16.2</v>
      </c>
      <c r="Y191" s="200">
        <f>(AE191*BU191)/100</f>
        <v>7.50346153846154</v>
      </c>
      <c r="Z191" s="198"/>
      <c r="AA191" s="200"/>
      <c r="AB191" s="198"/>
      <c r="AC191" s="378">
        <f t="shared" si="2"/>
        <v>36.12777777777778</v>
      </c>
      <c r="AE191" s="176">
        <f>(M191/U191)*((100-CC191)/(100-9))*100</f>
        <v>39.700854700854713</v>
      </c>
      <c r="AF191" s="198">
        <v>41822</v>
      </c>
      <c r="AG191" s="176">
        <v>4.7</v>
      </c>
      <c r="AH191" s="196">
        <v>41927</v>
      </c>
      <c r="AI191" s="176">
        <v>135</v>
      </c>
      <c r="AM191" s="176">
        <v>84</v>
      </c>
      <c r="BG191" s="201">
        <v>0.3</v>
      </c>
      <c r="BI191" s="201">
        <v>4.4000000000000004</v>
      </c>
      <c r="BK191" s="201">
        <v>1.6</v>
      </c>
      <c r="BM191" s="201">
        <v>65.2</v>
      </c>
      <c r="BO191" s="201">
        <v>20.399999999999999</v>
      </c>
      <c r="BQ191" s="201">
        <v>8.5</v>
      </c>
      <c r="BS191" s="201">
        <v>48.1</v>
      </c>
      <c r="BU191" s="201">
        <v>18.899999999999999</v>
      </c>
      <c r="BW191" s="201">
        <v>17.100000000000001</v>
      </c>
      <c r="BY191" s="178">
        <v>6.5999999999999943</v>
      </c>
      <c r="CC191" s="201">
        <v>7.1</v>
      </c>
      <c r="CD191" s="198">
        <v>41822</v>
      </c>
      <c r="CI191" s="174" t="s">
        <v>9355</v>
      </c>
      <c r="CL191" s="174">
        <v>3</v>
      </c>
    </row>
    <row r="192" spans="1:90">
      <c r="A192" s="191" t="s">
        <v>7681</v>
      </c>
      <c r="B192" s="192" t="s">
        <v>271</v>
      </c>
      <c r="C192" s="192" t="s">
        <v>8998</v>
      </c>
      <c r="D192" s="192" t="s">
        <v>8419</v>
      </c>
      <c r="E192" s="193">
        <v>229</v>
      </c>
      <c r="F192" s="193">
        <v>11</v>
      </c>
      <c r="K192" s="176">
        <v>8</v>
      </c>
      <c r="M192" s="197">
        <v>6.65</v>
      </c>
      <c r="N192" s="198">
        <v>41822</v>
      </c>
      <c r="S192" s="176">
        <f>(AE192*BS192)/100</f>
        <v>20.69610636277303</v>
      </c>
      <c r="T192" s="198"/>
      <c r="U192" s="176">
        <v>16.2</v>
      </c>
      <c r="Y192" s="200">
        <f>(AE192*BU192)/100</f>
        <v>7.5941358024691352</v>
      </c>
      <c r="Z192" s="198"/>
      <c r="AA192" s="200"/>
      <c r="AB192" s="198"/>
      <c r="AC192" s="378">
        <f t="shared" si="2"/>
        <v>37.970679012345684</v>
      </c>
      <c r="AE192" s="176">
        <f>(M192/U192)*((100-CC192)/(100-9))*100</f>
        <v>41.726020892687558</v>
      </c>
      <c r="AF192" s="198">
        <v>41822</v>
      </c>
      <c r="AG192" s="176">
        <v>4.5999999999999996</v>
      </c>
      <c r="AH192" s="196">
        <v>41927</v>
      </c>
      <c r="AI192" s="176">
        <v>145</v>
      </c>
      <c r="AM192" s="176">
        <v>89</v>
      </c>
      <c r="BG192" s="201">
        <v>1.5</v>
      </c>
      <c r="BI192" s="201">
        <v>4.3</v>
      </c>
      <c r="BK192" s="201">
        <v>1.6</v>
      </c>
      <c r="BM192" s="201">
        <v>65.099999999999994</v>
      </c>
      <c r="BO192" s="201">
        <v>18.600000000000001</v>
      </c>
      <c r="BQ192" s="201">
        <v>8.8000000000000007</v>
      </c>
      <c r="BS192" s="201">
        <v>49.6</v>
      </c>
      <c r="BU192" s="201">
        <v>18.2</v>
      </c>
      <c r="BW192" s="201">
        <v>14.8</v>
      </c>
      <c r="BY192" s="178">
        <v>6.5999999999999943</v>
      </c>
      <c r="CC192" s="201">
        <v>7.5</v>
      </c>
      <c r="CD192" s="198">
        <v>41822</v>
      </c>
      <c r="CI192" s="174" t="s">
        <v>9347</v>
      </c>
      <c r="CL192" s="174">
        <v>3</v>
      </c>
    </row>
    <row r="193" spans="1:91">
      <c r="A193" s="191" t="s">
        <v>7670</v>
      </c>
      <c r="B193" s="192" t="s">
        <v>271</v>
      </c>
      <c r="C193" s="192" t="s">
        <v>8998</v>
      </c>
      <c r="D193" s="192" t="s">
        <v>8375</v>
      </c>
      <c r="E193" s="193">
        <v>229</v>
      </c>
      <c r="F193" s="193">
        <v>12</v>
      </c>
      <c r="K193" s="176">
        <v>9</v>
      </c>
      <c r="M193" s="197">
        <v>6.95</v>
      </c>
      <c r="N193" s="198">
        <v>41822</v>
      </c>
      <c r="S193" s="176">
        <f>(AE193*BS193)/100</f>
        <v>22.006164699498029</v>
      </c>
      <c r="T193" s="198"/>
      <c r="U193" s="176">
        <v>16.2</v>
      </c>
      <c r="Y193" s="200">
        <f>(AE193*BU193)/100</f>
        <v>7.6562203228869894</v>
      </c>
      <c r="Z193" s="198"/>
      <c r="AA193" s="200"/>
      <c r="AB193" s="198"/>
      <c r="AC193" s="378">
        <f t="shared" si="2"/>
        <v>39.812345679012346</v>
      </c>
      <c r="AE193" s="176">
        <f>(M193/U193)*((100-CC193)/(100-9))*100</f>
        <v>43.749830416497083</v>
      </c>
      <c r="AF193" s="198">
        <v>41822</v>
      </c>
      <c r="AG193" s="176">
        <v>4.5999999999999996</v>
      </c>
      <c r="AH193" s="196">
        <v>41927</v>
      </c>
      <c r="AI193" s="176">
        <v>160</v>
      </c>
      <c r="AM193" s="176">
        <v>80</v>
      </c>
      <c r="BG193" s="201">
        <v>2.7</v>
      </c>
      <c r="BI193" s="201">
        <v>4.4000000000000004</v>
      </c>
      <c r="BK193" s="201">
        <v>1.6</v>
      </c>
      <c r="BM193" s="201">
        <v>65.900000000000006</v>
      </c>
      <c r="BO193" s="201">
        <v>21</v>
      </c>
      <c r="BQ193" s="201">
        <v>7.7</v>
      </c>
      <c r="BS193" s="201">
        <v>50.3</v>
      </c>
      <c r="BU193" s="201">
        <v>17.5</v>
      </c>
      <c r="BW193" s="201">
        <v>19.7</v>
      </c>
      <c r="BY193" s="178">
        <v>6.0999999999999943</v>
      </c>
      <c r="CC193" s="201">
        <v>7.2</v>
      </c>
      <c r="CD193" s="198">
        <v>41822</v>
      </c>
      <c r="CI193" s="174" t="s">
        <v>9356</v>
      </c>
      <c r="CL193" s="174">
        <v>4</v>
      </c>
    </row>
    <row r="194" spans="1:91">
      <c r="A194" s="191" t="s">
        <v>7763</v>
      </c>
      <c r="B194" s="192" t="s">
        <v>269</v>
      </c>
      <c r="C194" s="192" t="s">
        <v>417</v>
      </c>
      <c r="D194" s="192" t="s">
        <v>8745</v>
      </c>
      <c r="E194" s="193">
        <v>230</v>
      </c>
      <c r="F194" s="193">
        <v>1</v>
      </c>
      <c r="K194" s="176">
        <v>8</v>
      </c>
      <c r="M194" s="197">
        <v>3.85</v>
      </c>
      <c r="N194" s="198">
        <v>41822</v>
      </c>
      <c r="S194" s="176">
        <f>(AE194*BS194)/100</f>
        <v>12.686666666666666</v>
      </c>
      <c r="T194" s="198"/>
      <c r="U194" s="176">
        <v>16.2</v>
      </c>
      <c r="Y194" s="200">
        <f>(AE194*BU194)/100</f>
        <v>4.4000000000000004</v>
      </c>
      <c r="Z194" s="198"/>
      <c r="AA194" s="200"/>
      <c r="AB194" s="198"/>
      <c r="AC194" s="378">
        <f t="shared" si="2"/>
        <v>22.244444444444447</v>
      </c>
      <c r="AE194" s="176">
        <f>(M194/U194)*((100-CC194)/(100-9))*100</f>
        <v>24.444444444444443</v>
      </c>
      <c r="AF194" s="198">
        <v>41822</v>
      </c>
      <c r="AG194" s="176">
        <v>4.2</v>
      </c>
      <c r="AH194" s="196">
        <v>41927</v>
      </c>
      <c r="AI194" s="176">
        <v>170</v>
      </c>
      <c r="AM194" s="176">
        <v>93</v>
      </c>
      <c r="BG194" s="201">
        <v>55.6</v>
      </c>
      <c r="BI194" s="201">
        <v>4.4000000000000004</v>
      </c>
      <c r="BK194" s="201">
        <v>0.7</v>
      </c>
      <c r="BM194" s="201">
        <v>21.6</v>
      </c>
      <c r="BO194" s="201">
        <v>16.3</v>
      </c>
      <c r="BQ194" s="201">
        <v>9.1999999999999993</v>
      </c>
      <c r="BS194" s="201">
        <v>51.9</v>
      </c>
      <c r="BU194" s="201">
        <v>18</v>
      </c>
      <c r="BW194" s="201">
        <v>59.5</v>
      </c>
      <c r="BY194" s="178">
        <v>6.0999999999999943</v>
      </c>
      <c r="CC194" s="201">
        <v>6.4</v>
      </c>
      <c r="CD194" s="198">
        <v>41822</v>
      </c>
      <c r="CI194" s="174" t="s">
        <v>9344</v>
      </c>
      <c r="CL194" s="174">
        <v>5</v>
      </c>
    </row>
    <row r="195" spans="1:91">
      <c r="A195" s="191" t="s">
        <v>7698</v>
      </c>
      <c r="B195" s="192" t="s">
        <v>269</v>
      </c>
      <c r="C195" s="192" t="s">
        <v>417</v>
      </c>
      <c r="D195" s="192" t="s">
        <v>8485</v>
      </c>
      <c r="E195" s="193">
        <v>230</v>
      </c>
      <c r="F195" s="193">
        <v>2</v>
      </c>
      <c r="K195" s="176">
        <v>7</v>
      </c>
      <c r="M195" s="197">
        <v>3.2</v>
      </c>
      <c r="N195" s="198">
        <v>41822</v>
      </c>
      <c r="S195" s="176">
        <f>(AE195*BS195)/100</f>
        <v>10.166891873558539</v>
      </c>
      <c r="T195" s="198"/>
      <c r="U195" s="176">
        <v>16.2</v>
      </c>
      <c r="Y195" s="200">
        <f>(AE195*BU195)/100</f>
        <v>3.4623470356803687</v>
      </c>
      <c r="Z195" s="198"/>
      <c r="AA195" s="200"/>
      <c r="AB195" s="198"/>
      <c r="AC195" s="378">
        <f t="shared" ref="AC195:AC258" si="3">(M195/16.2)*(100-CC195)</f>
        <v>18.212345679012348</v>
      </c>
      <c r="AE195" s="176">
        <f>(M195/U195)*((100-CC195)/(100-9))*100</f>
        <v>20.013566680233346</v>
      </c>
      <c r="AF195" s="198">
        <v>41822</v>
      </c>
      <c r="AG195" s="176">
        <v>5.6</v>
      </c>
      <c r="AH195" s="196">
        <v>41927</v>
      </c>
      <c r="AI195" s="176">
        <v>110</v>
      </c>
      <c r="AM195" s="176">
        <v>82</v>
      </c>
      <c r="BG195" s="201">
        <v>7.2</v>
      </c>
      <c r="BI195" s="201">
        <v>4.5999999999999996</v>
      </c>
      <c r="BK195" s="201">
        <v>1.5</v>
      </c>
      <c r="BM195" s="201">
        <v>62.3</v>
      </c>
      <c r="BO195" s="201">
        <v>19.600000000000001</v>
      </c>
      <c r="BQ195" s="201">
        <v>9.1</v>
      </c>
      <c r="BS195" s="201">
        <v>50.8</v>
      </c>
      <c r="BU195" s="201">
        <v>17.3</v>
      </c>
      <c r="BW195" s="201">
        <v>19.100000000000001</v>
      </c>
      <c r="BY195" s="178">
        <v>6.7999999999999972</v>
      </c>
      <c r="CC195" s="201">
        <v>7.8</v>
      </c>
      <c r="CD195" s="198">
        <v>41822</v>
      </c>
      <c r="CI195" s="174" t="s">
        <v>9358</v>
      </c>
      <c r="CL195" s="174">
        <v>1</v>
      </c>
    </row>
    <row r="196" spans="1:91">
      <c r="A196" s="191" t="s">
        <v>7694</v>
      </c>
      <c r="B196" s="192" t="s">
        <v>269</v>
      </c>
      <c r="C196" s="192" t="s">
        <v>417</v>
      </c>
      <c r="D196" s="192" t="s">
        <v>8469</v>
      </c>
      <c r="E196" s="193">
        <v>230</v>
      </c>
      <c r="F196" s="193">
        <v>3</v>
      </c>
      <c r="K196" s="176">
        <v>8</v>
      </c>
      <c r="M196" s="197">
        <v>4.2</v>
      </c>
      <c r="N196" s="198">
        <v>41822</v>
      </c>
      <c r="S196" s="176">
        <f>(AE196*BS196)/100</f>
        <v>13.545584045584047</v>
      </c>
      <c r="T196" s="198"/>
      <c r="U196" s="176">
        <v>16.2</v>
      </c>
      <c r="Y196" s="200">
        <f>(AE196*BU196)/100</f>
        <v>4.2428774928774935</v>
      </c>
      <c r="Z196" s="198"/>
      <c r="AA196" s="200"/>
      <c r="AB196" s="198"/>
      <c r="AC196" s="378">
        <f t="shared" si="3"/>
        <v>23.981481481481485</v>
      </c>
      <c r="AE196" s="176">
        <f>(M196/U196)*((100-CC196)/(100-9))*100</f>
        <v>26.353276353276357</v>
      </c>
      <c r="AF196" s="198">
        <v>41822</v>
      </c>
      <c r="AG196" s="176">
        <v>4.5</v>
      </c>
      <c r="AH196" s="196">
        <v>41927</v>
      </c>
      <c r="AI196" s="176">
        <v>145</v>
      </c>
      <c r="AM196" s="176">
        <v>86</v>
      </c>
      <c r="BG196" s="201">
        <v>0</v>
      </c>
      <c r="BI196" s="201">
        <v>4.5</v>
      </c>
      <c r="BK196" s="201">
        <v>1.6</v>
      </c>
      <c r="BM196" s="201">
        <v>62.3</v>
      </c>
      <c r="BO196" s="201">
        <v>19.3</v>
      </c>
      <c r="BQ196" s="201">
        <v>8.5</v>
      </c>
      <c r="BS196" s="201">
        <v>51.4</v>
      </c>
      <c r="BU196" s="201">
        <v>16.100000000000001</v>
      </c>
      <c r="BW196" s="201">
        <v>15.2</v>
      </c>
      <c r="BY196" s="178">
        <v>6.7999999999999972</v>
      </c>
      <c r="CC196" s="201">
        <v>7.5</v>
      </c>
      <c r="CD196" s="198">
        <v>41822</v>
      </c>
      <c r="CI196" s="174" t="s">
        <v>9360</v>
      </c>
      <c r="CL196" s="174">
        <v>5</v>
      </c>
    </row>
    <row r="197" spans="1:91">
      <c r="A197" s="191" t="s">
        <v>7748</v>
      </c>
      <c r="B197" s="192" t="s">
        <v>269</v>
      </c>
      <c r="C197" s="192" t="s">
        <v>417</v>
      </c>
      <c r="D197" s="192" t="s">
        <v>8685</v>
      </c>
      <c r="E197" s="193">
        <v>230</v>
      </c>
      <c r="F197" s="193">
        <v>4</v>
      </c>
      <c r="K197" s="176">
        <v>7</v>
      </c>
      <c r="M197" s="197">
        <v>1.65</v>
      </c>
      <c r="N197" s="198">
        <v>41822</v>
      </c>
      <c r="S197" s="176">
        <f>(AE197*BS197)/100</f>
        <v>4.9739967439967439</v>
      </c>
      <c r="T197" s="198"/>
      <c r="U197" s="176">
        <v>16.2</v>
      </c>
      <c r="Y197" s="200">
        <f>(AE197*BU197)/100</f>
        <v>2.0226210826210824</v>
      </c>
      <c r="Z197" s="198"/>
      <c r="AA197" s="200"/>
      <c r="AB197" s="198"/>
      <c r="AC197" s="378">
        <f t="shared" si="3"/>
        <v>9.3907407407407408</v>
      </c>
      <c r="AE197" s="176">
        <f>(M197/U197)*((100-CC197)/(100-9))*100</f>
        <v>10.319495319495319</v>
      </c>
      <c r="AF197" s="198">
        <v>41822</v>
      </c>
      <c r="AG197" s="176">
        <v>4.5</v>
      </c>
      <c r="AH197" s="196">
        <v>41927</v>
      </c>
      <c r="AI197" s="176">
        <v>130</v>
      </c>
      <c r="AM197" s="176">
        <v>83</v>
      </c>
      <c r="BG197" s="201">
        <v>43.4</v>
      </c>
      <c r="BI197" s="201">
        <v>4.5</v>
      </c>
      <c r="BK197" s="201">
        <v>0.9</v>
      </c>
      <c r="BM197" s="201">
        <v>28.8</v>
      </c>
      <c r="BO197" s="201">
        <v>14.4</v>
      </c>
      <c r="BQ197" s="201">
        <v>10.6</v>
      </c>
      <c r="BS197" s="201">
        <v>48.2</v>
      </c>
      <c r="BU197" s="201">
        <v>19.600000000000001</v>
      </c>
      <c r="BW197" s="201">
        <v>80.8</v>
      </c>
      <c r="BY197" s="178">
        <v>6.7000000000000028</v>
      </c>
      <c r="CC197" s="201">
        <v>7.8</v>
      </c>
      <c r="CD197" s="198">
        <v>41822</v>
      </c>
      <c r="CI197" s="174" t="s">
        <v>9373</v>
      </c>
      <c r="CL197" s="174">
        <v>7</v>
      </c>
    </row>
    <row r="198" spans="1:91">
      <c r="A198" s="191" t="s">
        <v>7798</v>
      </c>
      <c r="B198" s="192" t="s">
        <v>269</v>
      </c>
      <c r="C198" s="192" t="s">
        <v>417</v>
      </c>
      <c r="D198" s="192" t="s">
        <v>8885</v>
      </c>
      <c r="E198" s="193">
        <v>230</v>
      </c>
      <c r="F198" s="193">
        <v>5</v>
      </c>
      <c r="K198" s="176">
        <v>7</v>
      </c>
      <c r="M198" s="197">
        <v>3.25</v>
      </c>
      <c r="N198" s="198">
        <v>41822</v>
      </c>
      <c r="S198" s="176">
        <f>(AE198*BS198)/100</f>
        <v>10.633333333333335</v>
      </c>
      <c r="T198" s="198"/>
      <c r="U198" s="176">
        <v>16.2</v>
      </c>
      <c r="Y198" s="200">
        <f>(AE198*BU198)/100</f>
        <v>3.3611111111111116</v>
      </c>
      <c r="Z198" s="198"/>
      <c r="AA198" s="200"/>
      <c r="AB198" s="198"/>
      <c r="AC198" s="378">
        <f t="shared" si="3"/>
        <v>18.537037037037038</v>
      </c>
      <c r="AE198" s="176">
        <f>(M198/U198)*((100-CC198)/(100-9))*100</f>
        <v>20.370370370370374</v>
      </c>
      <c r="AF198" s="198">
        <v>41822</v>
      </c>
      <c r="AG198" s="176">
        <v>4.3</v>
      </c>
      <c r="AH198" s="196">
        <v>41927</v>
      </c>
      <c r="AI198" s="176">
        <v>160</v>
      </c>
      <c r="AM198" s="176">
        <v>86</v>
      </c>
      <c r="BG198" s="201">
        <v>0</v>
      </c>
      <c r="BI198" s="201">
        <v>4.5</v>
      </c>
      <c r="BK198" s="201">
        <v>1.5</v>
      </c>
      <c r="BM198" s="201">
        <v>61.5</v>
      </c>
      <c r="BO198" s="201">
        <v>19.7</v>
      </c>
      <c r="BQ198" s="201">
        <v>9.6999999999999993</v>
      </c>
      <c r="BS198" s="201">
        <v>52.2</v>
      </c>
      <c r="BU198" s="201">
        <v>16.5</v>
      </c>
      <c r="BW198" s="201">
        <v>22.3</v>
      </c>
      <c r="BY198" s="178">
        <v>7</v>
      </c>
      <c r="CC198" s="201">
        <v>7.6</v>
      </c>
      <c r="CD198" s="198">
        <v>41822</v>
      </c>
      <c r="CI198" s="174" t="s">
        <v>9364</v>
      </c>
      <c r="CL198" s="174">
        <v>4</v>
      </c>
    </row>
    <row r="199" spans="1:91">
      <c r="A199" s="191" t="s">
        <v>7695</v>
      </c>
      <c r="B199" s="192" t="s">
        <v>269</v>
      </c>
      <c r="C199" s="192" t="s">
        <v>417</v>
      </c>
      <c r="D199" s="192" t="s">
        <v>8473</v>
      </c>
      <c r="E199" s="193">
        <v>230</v>
      </c>
      <c r="F199" s="193">
        <v>6</v>
      </c>
      <c r="K199" s="176">
        <v>7</v>
      </c>
      <c r="M199" s="197">
        <v>4.05</v>
      </c>
      <c r="N199" s="198">
        <v>41822</v>
      </c>
      <c r="S199" s="176">
        <f>(AE199*BS199)/100</f>
        <v>12.99692307692308</v>
      </c>
      <c r="T199" s="198"/>
      <c r="U199" s="176">
        <v>16.2</v>
      </c>
      <c r="Y199" s="200">
        <f>(AE199*BU199)/100</f>
        <v>4.1884615384615396</v>
      </c>
      <c r="Z199" s="198"/>
      <c r="AA199" s="200"/>
      <c r="AB199" s="198"/>
      <c r="AC199" s="378">
        <f t="shared" si="3"/>
        <v>23.1</v>
      </c>
      <c r="AE199" s="176">
        <f>(M199/U199)*((100-CC199)/(100-9))*100</f>
        <v>25.38461538461539</v>
      </c>
      <c r="AF199" s="198">
        <v>41822</v>
      </c>
      <c r="AG199" s="176">
        <v>4.9000000000000004</v>
      </c>
      <c r="AH199" s="196">
        <v>41927</v>
      </c>
      <c r="AI199" s="176">
        <v>140</v>
      </c>
      <c r="AM199" s="176">
        <v>85</v>
      </c>
      <c r="BG199" s="201">
        <v>0</v>
      </c>
      <c r="BI199" s="201">
        <v>4.7</v>
      </c>
      <c r="BK199" s="201">
        <v>1.6</v>
      </c>
      <c r="BM199" s="201">
        <v>61.1</v>
      </c>
      <c r="BO199" s="201">
        <v>20.6</v>
      </c>
      <c r="BQ199" s="201">
        <v>8.6999999999999993</v>
      </c>
      <c r="BS199" s="201">
        <v>51.2</v>
      </c>
      <c r="BU199" s="201">
        <v>16.5</v>
      </c>
      <c r="BW199" s="201">
        <v>15.2</v>
      </c>
      <c r="BY199" s="178">
        <v>6.7999999999999972</v>
      </c>
      <c r="CC199" s="201">
        <v>7.6</v>
      </c>
      <c r="CD199" s="198">
        <v>41822</v>
      </c>
      <c r="CI199" s="174" t="s">
        <v>9346</v>
      </c>
      <c r="CL199" s="174" t="s">
        <v>9001</v>
      </c>
    </row>
    <row r="200" spans="1:91">
      <c r="A200" s="191" t="s">
        <v>7626</v>
      </c>
      <c r="B200" s="192" t="s">
        <v>271</v>
      </c>
      <c r="C200" s="192" t="s">
        <v>8998</v>
      </c>
      <c r="D200" s="192" t="s">
        <v>8199</v>
      </c>
      <c r="E200" s="193">
        <v>230</v>
      </c>
      <c r="F200" s="193">
        <v>7</v>
      </c>
      <c r="I200" s="184"/>
      <c r="K200" s="176">
        <v>7</v>
      </c>
      <c r="M200" s="197">
        <v>5.25</v>
      </c>
      <c r="N200" s="198">
        <v>41822</v>
      </c>
      <c r="O200" s="179"/>
      <c r="S200" s="176">
        <f>(AE200*BS200)/100</f>
        <v>15.926495726495727</v>
      </c>
      <c r="T200" s="198"/>
      <c r="U200" s="176">
        <v>16.2</v>
      </c>
      <c r="Y200" s="200">
        <f>(AE200*BU200)/100</f>
        <v>6.3508547008547023</v>
      </c>
      <c r="Z200" s="198"/>
      <c r="AA200" s="200"/>
      <c r="AB200" s="198"/>
      <c r="AC200" s="378">
        <f t="shared" si="3"/>
        <v>29.944444444444446</v>
      </c>
      <c r="AE200" s="176">
        <f>(M200/U200)*((100-CC200)/(100-9))*100</f>
        <v>32.90598290598291</v>
      </c>
      <c r="AF200" s="198">
        <v>41822</v>
      </c>
      <c r="AG200" s="176">
        <v>5.0999999999999996</v>
      </c>
      <c r="AH200" s="196">
        <v>41927</v>
      </c>
      <c r="AI200" s="176">
        <v>145</v>
      </c>
      <c r="AM200" s="176">
        <v>85</v>
      </c>
      <c r="BG200" s="201">
        <v>27.1</v>
      </c>
      <c r="BI200" s="201">
        <v>4.5999999999999996</v>
      </c>
      <c r="BK200" s="201">
        <v>1.2</v>
      </c>
      <c r="BM200" s="201">
        <v>46.2</v>
      </c>
      <c r="BO200" s="201">
        <v>18.5</v>
      </c>
      <c r="BQ200" s="201">
        <v>8.6999999999999993</v>
      </c>
      <c r="BS200" s="201">
        <v>48.4</v>
      </c>
      <c r="BU200" s="201">
        <v>19.3</v>
      </c>
      <c r="BW200" s="201">
        <v>56.3</v>
      </c>
      <c r="BY200" s="178">
        <v>6.5999999999999943</v>
      </c>
      <c r="CC200" s="201">
        <v>7.6</v>
      </c>
      <c r="CD200" s="198">
        <v>41822</v>
      </c>
      <c r="CI200" s="174" t="s">
        <v>9347</v>
      </c>
      <c r="CL200" s="174">
        <v>4</v>
      </c>
    </row>
    <row r="201" spans="1:91">
      <c r="A201" s="191" t="s">
        <v>7660</v>
      </c>
      <c r="B201" s="192" t="s">
        <v>271</v>
      </c>
      <c r="C201" s="192" t="s">
        <v>8998</v>
      </c>
      <c r="D201" s="192" t="s">
        <v>8335</v>
      </c>
      <c r="E201" s="193">
        <v>230</v>
      </c>
      <c r="F201" s="193">
        <v>8</v>
      </c>
      <c r="K201" s="176">
        <v>8</v>
      </c>
      <c r="M201" s="197">
        <v>3.25</v>
      </c>
      <c r="N201" s="198">
        <v>41822</v>
      </c>
      <c r="S201" s="176">
        <f>(AE201*BS201)/100</f>
        <v>10.037566137566136</v>
      </c>
      <c r="T201" s="198"/>
      <c r="U201" s="176">
        <v>16.2</v>
      </c>
      <c r="Y201" s="200">
        <f>(AE201*BU201)/100</f>
        <v>3.5789682539682532</v>
      </c>
      <c r="Z201" s="198"/>
      <c r="AA201" s="200"/>
      <c r="AB201" s="198"/>
      <c r="AC201" s="378">
        <f t="shared" si="3"/>
        <v>18.717592592592592</v>
      </c>
      <c r="AE201" s="176">
        <f>(M201/U201)*((100-CC201)/(100-9))*100</f>
        <v>20.568783068783066</v>
      </c>
      <c r="AF201" s="198">
        <v>41822</v>
      </c>
      <c r="AG201" s="176">
        <v>4.9000000000000004</v>
      </c>
      <c r="AH201" s="196">
        <v>41927</v>
      </c>
      <c r="AI201" s="176">
        <v>130</v>
      </c>
      <c r="AM201" s="176">
        <v>85</v>
      </c>
      <c r="BG201" s="201">
        <v>3.3</v>
      </c>
      <c r="BI201" s="201">
        <v>4.7</v>
      </c>
      <c r="BK201" s="201">
        <v>1.5</v>
      </c>
      <c r="BM201" s="201">
        <v>63.6</v>
      </c>
      <c r="BO201" s="201">
        <v>20.3</v>
      </c>
      <c r="BQ201" s="201">
        <v>8.3000000000000007</v>
      </c>
      <c r="BS201" s="201">
        <v>48.8</v>
      </c>
      <c r="BU201" s="201">
        <v>17.399999999999999</v>
      </c>
      <c r="BW201" s="201">
        <v>57.8</v>
      </c>
      <c r="BY201" s="178">
        <v>6.5999999999999943</v>
      </c>
      <c r="CC201" s="201">
        <v>6.7</v>
      </c>
      <c r="CD201" s="198">
        <v>41822</v>
      </c>
      <c r="CI201" s="174" t="s">
        <v>9349</v>
      </c>
      <c r="CL201" s="174">
        <v>6</v>
      </c>
    </row>
    <row r="202" spans="1:91">
      <c r="A202" s="191" t="s">
        <v>7698</v>
      </c>
      <c r="B202" s="192" t="s">
        <v>271</v>
      </c>
      <c r="C202" s="192" t="s">
        <v>8998</v>
      </c>
      <c r="D202" s="192" t="s">
        <v>8487</v>
      </c>
      <c r="E202" s="193">
        <v>230</v>
      </c>
      <c r="F202" s="193">
        <v>9</v>
      </c>
      <c r="K202" s="176">
        <v>7</v>
      </c>
      <c r="M202" s="197">
        <v>5.4</v>
      </c>
      <c r="N202" s="198">
        <v>41822</v>
      </c>
      <c r="S202" s="176">
        <f>(AE202*BS202)/100</f>
        <v>16.624175824175822</v>
      </c>
      <c r="T202" s="198"/>
      <c r="U202" s="176">
        <v>16.2</v>
      </c>
      <c r="Y202" s="200">
        <f>(AE202*BU202)/100</f>
        <v>6.1318681318681323</v>
      </c>
      <c r="Z202" s="198"/>
      <c r="AA202" s="200"/>
      <c r="AB202" s="198"/>
      <c r="AC202" s="378">
        <f t="shared" si="3"/>
        <v>31.000000000000004</v>
      </c>
      <c r="AE202" s="176">
        <f>(M202/U202)*((100-CC202)/(100-9))*100</f>
        <v>34.065934065934066</v>
      </c>
      <c r="AF202" s="198">
        <v>41822</v>
      </c>
      <c r="AG202" s="176">
        <v>5.4</v>
      </c>
      <c r="AH202" s="196">
        <v>41927</v>
      </c>
      <c r="AI202" s="176">
        <v>145</v>
      </c>
      <c r="AM202" s="176">
        <v>84</v>
      </c>
      <c r="BG202" s="201">
        <v>0</v>
      </c>
      <c r="BI202" s="201">
        <v>4.8</v>
      </c>
      <c r="BK202" s="201">
        <v>1.7</v>
      </c>
      <c r="BM202" s="201">
        <v>64.8</v>
      </c>
      <c r="BO202" s="201">
        <v>21.2</v>
      </c>
      <c r="BQ202" s="201">
        <v>7</v>
      </c>
      <c r="BS202" s="201">
        <v>48.8</v>
      </c>
      <c r="BU202" s="201">
        <v>18</v>
      </c>
      <c r="BW202" s="201">
        <v>17.3</v>
      </c>
      <c r="BY202" s="178">
        <v>6.2999999999999972</v>
      </c>
      <c r="CC202" s="201">
        <v>7</v>
      </c>
      <c r="CD202" s="198">
        <v>41822</v>
      </c>
      <c r="CI202" s="174" t="s">
        <v>9358</v>
      </c>
      <c r="CL202" s="174">
        <v>1</v>
      </c>
    </row>
    <row r="203" spans="1:91">
      <c r="A203" s="191" t="s">
        <v>7624</v>
      </c>
      <c r="B203" s="192" t="s">
        <v>271</v>
      </c>
      <c r="C203" s="192" t="s">
        <v>8998</v>
      </c>
      <c r="D203" s="192" t="s">
        <v>8191</v>
      </c>
      <c r="E203" s="193">
        <v>230</v>
      </c>
      <c r="F203" s="193">
        <v>10</v>
      </c>
      <c r="I203" s="184"/>
      <c r="K203" s="176">
        <v>8</v>
      </c>
      <c r="M203" s="197">
        <v>3.75</v>
      </c>
      <c r="N203" s="198">
        <v>41822</v>
      </c>
      <c r="O203" s="179"/>
      <c r="S203" s="176">
        <f>(AE203*BS203)/100</f>
        <v>11.380392755392757</v>
      </c>
      <c r="T203" s="198"/>
      <c r="U203" s="176">
        <v>16.2</v>
      </c>
      <c r="Y203" s="200">
        <f>(AE203*BU203)/100</f>
        <v>4.8705229955229958</v>
      </c>
      <c r="Z203" s="198"/>
      <c r="AA203" s="200"/>
      <c r="AB203" s="198"/>
      <c r="AC203" s="378">
        <f t="shared" si="3"/>
        <v>21.62037037037037</v>
      </c>
      <c r="AE203" s="176">
        <f>(M203/U203)*((100-CC203)/(100-9))*100</f>
        <v>23.758648758648761</v>
      </c>
      <c r="AF203" s="198">
        <v>41822</v>
      </c>
      <c r="AG203" s="176">
        <v>4.0999999999999996</v>
      </c>
      <c r="AH203" s="196">
        <v>41927</v>
      </c>
      <c r="AI203" s="176">
        <v>140</v>
      </c>
      <c r="AM203" s="176">
        <v>79</v>
      </c>
      <c r="BG203" s="201">
        <v>41</v>
      </c>
      <c r="BI203" s="201">
        <v>4.0999999999999996</v>
      </c>
      <c r="BK203" s="201">
        <v>1.1000000000000001</v>
      </c>
      <c r="BM203" s="201">
        <v>32.6</v>
      </c>
      <c r="BO203" s="201">
        <v>17.399999999999999</v>
      </c>
      <c r="BQ203" s="201">
        <v>9.6999999999999993</v>
      </c>
      <c r="BS203" s="201">
        <v>47.9</v>
      </c>
      <c r="BU203" s="201">
        <v>20.5</v>
      </c>
      <c r="BW203" s="201">
        <v>55.8</v>
      </c>
      <c r="BY203" s="178">
        <v>6.5999999999999943</v>
      </c>
      <c r="CC203" s="201">
        <v>6.6</v>
      </c>
      <c r="CD203" s="198">
        <v>41822</v>
      </c>
      <c r="CI203" s="174" t="s">
        <v>9355</v>
      </c>
      <c r="CL203" s="174">
        <v>1</v>
      </c>
    </row>
    <row r="204" spans="1:91">
      <c r="A204" s="191" t="s">
        <v>7745</v>
      </c>
      <c r="B204" s="192" t="s">
        <v>271</v>
      </c>
      <c r="C204" s="192" t="s">
        <v>8998</v>
      </c>
      <c r="D204" s="192" t="s">
        <v>8675</v>
      </c>
      <c r="E204" s="193">
        <v>230</v>
      </c>
      <c r="F204" s="193">
        <v>11</v>
      </c>
      <c r="K204" s="176">
        <v>9</v>
      </c>
      <c r="M204" s="197">
        <v>4.25</v>
      </c>
      <c r="N204" s="198">
        <v>41822</v>
      </c>
      <c r="S204" s="176">
        <f>(AE204*BS204)/100</f>
        <v>12.668471035137703</v>
      </c>
      <c r="T204" s="198"/>
      <c r="U204" s="176">
        <v>16.2</v>
      </c>
      <c r="Y204" s="200">
        <f>(AE204*BU204)/100</f>
        <v>5.7169159544159553</v>
      </c>
      <c r="Z204" s="198"/>
      <c r="AA204" s="200"/>
      <c r="AB204" s="198"/>
      <c r="AC204" s="378">
        <f t="shared" si="3"/>
        <v>24.424382716049383</v>
      </c>
      <c r="AE204" s="176">
        <f>(M204/U204)*((100-CC204)/(100-9))*100</f>
        <v>26.839981006647673</v>
      </c>
      <c r="AF204" s="198">
        <v>41822</v>
      </c>
      <c r="AG204" s="176">
        <v>4.5</v>
      </c>
      <c r="AH204" s="196">
        <v>41927</v>
      </c>
      <c r="AI204" s="176">
        <v>165</v>
      </c>
      <c r="AM204" s="176">
        <v>88</v>
      </c>
      <c r="BG204" s="201">
        <v>56</v>
      </c>
      <c r="BI204" s="201">
        <v>4.2</v>
      </c>
      <c r="BK204" s="201">
        <v>0.8</v>
      </c>
      <c r="BM204" s="201">
        <v>26.7</v>
      </c>
      <c r="BO204" s="201">
        <v>15.2</v>
      </c>
      <c r="BQ204" s="201">
        <v>8.9</v>
      </c>
      <c r="BS204" s="201">
        <v>47.2</v>
      </c>
      <c r="BU204" s="201">
        <v>21.3</v>
      </c>
      <c r="BW204" s="201">
        <v>72.599999999999994</v>
      </c>
      <c r="BY204" s="178">
        <v>6.5999999999999943</v>
      </c>
      <c r="CC204" s="201">
        <v>6.9</v>
      </c>
      <c r="CD204" s="198">
        <v>41822</v>
      </c>
      <c r="CI204" s="174" t="s">
        <v>9347</v>
      </c>
      <c r="CL204" s="174">
        <v>3</v>
      </c>
    </row>
    <row r="205" spans="1:91">
      <c r="A205" s="191" t="s">
        <v>7750</v>
      </c>
      <c r="B205" s="192" t="s">
        <v>271</v>
      </c>
      <c r="C205" s="192" t="s">
        <v>8998</v>
      </c>
      <c r="D205" s="192" t="s">
        <v>8695</v>
      </c>
      <c r="E205" s="193">
        <v>230</v>
      </c>
      <c r="F205" s="193">
        <v>12</v>
      </c>
      <c r="K205" s="176">
        <v>8</v>
      </c>
      <c r="M205" s="197">
        <v>2.9</v>
      </c>
      <c r="N205" s="198">
        <v>41822</v>
      </c>
      <c r="S205" s="176">
        <f>(AE205*BS205)/100</f>
        <v>8.6895346628679953</v>
      </c>
      <c r="T205" s="198"/>
      <c r="U205" s="176">
        <v>16.2</v>
      </c>
      <c r="Y205" s="200">
        <f>(AE205*BU205)/100</f>
        <v>3.7240862840862836</v>
      </c>
      <c r="Z205" s="198"/>
      <c r="AA205" s="200"/>
      <c r="AB205" s="198"/>
      <c r="AC205" s="378">
        <f t="shared" si="3"/>
        <v>16.612345679012343</v>
      </c>
      <c r="AE205" s="176">
        <f>(M205/U205)*((100-CC205)/(100-9))*100</f>
        <v>18.255324921991587</v>
      </c>
      <c r="AF205" s="198">
        <v>41822</v>
      </c>
      <c r="AG205" s="176">
        <v>4.3</v>
      </c>
      <c r="AH205" s="196">
        <v>41927</v>
      </c>
      <c r="AI205" s="176">
        <v>135</v>
      </c>
      <c r="AM205" s="176">
        <v>83</v>
      </c>
      <c r="BG205" s="201">
        <v>48.9</v>
      </c>
      <c r="BI205" s="201">
        <v>3.9</v>
      </c>
      <c r="BK205" s="201">
        <v>0.8</v>
      </c>
      <c r="BM205" s="201">
        <v>25.5</v>
      </c>
      <c r="BO205" s="201">
        <v>14.6</v>
      </c>
      <c r="BQ205" s="201">
        <v>9.6</v>
      </c>
      <c r="BS205" s="201">
        <v>47.6</v>
      </c>
      <c r="BU205" s="201">
        <v>20.399999999999999</v>
      </c>
      <c r="BW205" s="201">
        <v>73.599999999999994</v>
      </c>
      <c r="BY205" s="178">
        <v>6.5999999999999943</v>
      </c>
      <c r="CC205" s="201">
        <v>7.2</v>
      </c>
      <c r="CD205" s="198">
        <v>41822</v>
      </c>
      <c r="CI205" s="174" t="s">
        <v>9349</v>
      </c>
      <c r="CL205" s="174">
        <v>7</v>
      </c>
    </row>
    <row r="206" spans="1:91" s="181" customFormat="1">
      <c r="A206" s="191" t="s">
        <v>7716</v>
      </c>
      <c r="B206" s="192" t="s">
        <v>269</v>
      </c>
      <c r="C206" s="192" t="s">
        <v>417</v>
      </c>
      <c r="D206" s="192" t="s">
        <v>8557</v>
      </c>
      <c r="E206" s="193">
        <v>231</v>
      </c>
      <c r="F206" s="193">
        <v>1</v>
      </c>
      <c r="G206" s="193"/>
      <c r="H206" s="193"/>
      <c r="I206" s="195"/>
      <c r="J206" s="195"/>
      <c r="K206" s="176">
        <v>7</v>
      </c>
      <c r="L206" s="196"/>
      <c r="M206" s="197">
        <v>4.4000000000000004</v>
      </c>
      <c r="N206" s="198">
        <v>41822</v>
      </c>
      <c r="O206" s="180"/>
      <c r="P206" s="199"/>
      <c r="Q206" s="180"/>
      <c r="R206" s="199"/>
      <c r="S206" s="176">
        <f>(AE206*BS206)/100</f>
        <v>13.967298873965545</v>
      </c>
      <c r="T206" s="198"/>
      <c r="U206" s="176">
        <v>16.2</v>
      </c>
      <c r="V206" s="199"/>
      <c r="W206" s="180"/>
      <c r="X206" s="199"/>
      <c r="Y206" s="200">
        <f>(AE206*BU206)/100</f>
        <v>4.8012589879256558</v>
      </c>
      <c r="Z206" s="198"/>
      <c r="AA206" s="200"/>
      <c r="AB206" s="198"/>
      <c r="AC206" s="378">
        <f t="shared" si="3"/>
        <v>24.824691358024698</v>
      </c>
      <c r="AD206" s="196"/>
      <c r="AE206" s="176">
        <f>(M206/U206)*((100-CC206)/(100-9))*100</f>
        <v>27.279880613213951</v>
      </c>
      <c r="AF206" s="198">
        <v>41822</v>
      </c>
      <c r="AG206" s="176">
        <v>4.5999999999999996</v>
      </c>
      <c r="AH206" s="196">
        <v>41927</v>
      </c>
      <c r="AI206" s="176">
        <v>140</v>
      </c>
      <c r="AJ206" s="196"/>
      <c r="AK206" s="180"/>
      <c r="AL206" s="199"/>
      <c r="AM206" s="176">
        <v>83</v>
      </c>
      <c r="AN206" s="199"/>
      <c r="AO206" s="180"/>
      <c r="AP206" s="180"/>
      <c r="AQ206" s="180"/>
      <c r="AR206" s="180"/>
      <c r="AS206" s="180"/>
      <c r="AT206" s="180"/>
      <c r="AU206" s="180"/>
      <c r="AV206" s="180"/>
      <c r="AW206" s="180"/>
      <c r="AX206" s="180"/>
      <c r="AY206" s="180"/>
      <c r="AZ206" s="180"/>
      <c r="BA206" s="180"/>
      <c r="BB206" s="180"/>
      <c r="BC206" s="180"/>
      <c r="BD206" s="180"/>
      <c r="BE206" s="179"/>
      <c r="BF206" s="179"/>
      <c r="BG206" s="201">
        <v>0</v>
      </c>
      <c r="BH206" s="178"/>
      <c r="BI206" s="201">
        <v>4.5</v>
      </c>
      <c r="BJ206" s="178"/>
      <c r="BK206" s="201">
        <v>1.7</v>
      </c>
      <c r="BL206" s="178"/>
      <c r="BM206" s="201">
        <v>66</v>
      </c>
      <c r="BN206" s="178"/>
      <c r="BO206" s="201">
        <v>17.100000000000001</v>
      </c>
      <c r="BP206" s="178"/>
      <c r="BQ206" s="201">
        <v>8.3000000000000007</v>
      </c>
      <c r="BR206" s="178"/>
      <c r="BS206" s="201">
        <v>51.2</v>
      </c>
      <c r="BT206" s="178"/>
      <c r="BU206" s="201">
        <v>17.600000000000001</v>
      </c>
      <c r="BV206" s="178"/>
      <c r="BW206" s="201">
        <v>14.1</v>
      </c>
      <c r="BX206" s="178"/>
      <c r="BY206" s="178">
        <v>7.0999999999999943</v>
      </c>
      <c r="BZ206" s="178"/>
      <c r="CA206" s="179"/>
      <c r="CB206" s="179"/>
      <c r="CC206" s="201">
        <v>8.6</v>
      </c>
      <c r="CD206" s="198">
        <v>41822</v>
      </c>
      <c r="CE206" s="178"/>
      <c r="CF206" s="178"/>
      <c r="CG206" s="179"/>
      <c r="CH206" s="179"/>
      <c r="CI206" s="174" t="s">
        <v>9339</v>
      </c>
      <c r="CJ206" s="178"/>
      <c r="CK206" s="178"/>
      <c r="CL206" s="174">
        <v>1</v>
      </c>
      <c r="CM206" s="174"/>
    </row>
    <row r="207" spans="1:91" s="181" customFormat="1">
      <c r="A207" s="191" t="s">
        <v>7643</v>
      </c>
      <c r="B207" s="192" t="s">
        <v>269</v>
      </c>
      <c r="C207" s="192" t="s">
        <v>417</v>
      </c>
      <c r="D207" s="192" t="s">
        <v>8265</v>
      </c>
      <c r="E207" s="193">
        <v>231</v>
      </c>
      <c r="F207" s="193">
        <v>2</v>
      </c>
      <c r="G207" s="193"/>
      <c r="H207" s="193"/>
      <c r="I207" s="195"/>
      <c r="J207" s="195"/>
      <c r="K207" s="176">
        <v>7</v>
      </c>
      <c r="L207" s="196"/>
      <c r="M207" s="197">
        <v>4.0999999999999996</v>
      </c>
      <c r="N207" s="198">
        <v>41822</v>
      </c>
      <c r="O207" s="180"/>
      <c r="P207" s="199"/>
      <c r="Q207" s="180"/>
      <c r="R207" s="199"/>
      <c r="S207" s="176">
        <f>(AE207*BS207)/100</f>
        <v>12.394615384615385</v>
      </c>
      <c r="T207" s="198"/>
      <c r="U207" s="176">
        <v>16.2</v>
      </c>
      <c r="V207" s="199"/>
      <c r="W207" s="180"/>
      <c r="X207" s="199"/>
      <c r="Y207" s="200">
        <f>(AE207*BU207)/100</f>
        <v>4.8966381766381764</v>
      </c>
      <c r="Z207" s="198"/>
      <c r="AA207" s="200"/>
      <c r="AB207" s="198"/>
      <c r="AC207" s="378">
        <f t="shared" si="3"/>
        <v>23.208024691358027</v>
      </c>
      <c r="AD207" s="196"/>
      <c r="AE207" s="176">
        <f>(M207/U207)*((100-CC207)/(100-9))*100</f>
        <v>25.50332383665717</v>
      </c>
      <c r="AF207" s="198">
        <v>41822</v>
      </c>
      <c r="AG207" s="176">
        <v>5</v>
      </c>
      <c r="AH207" s="196">
        <v>41927</v>
      </c>
      <c r="AI207" s="176">
        <v>125</v>
      </c>
      <c r="AJ207" s="196"/>
      <c r="AK207" s="180"/>
      <c r="AL207" s="199"/>
      <c r="AM207" s="176">
        <v>86</v>
      </c>
      <c r="AN207" s="199"/>
      <c r="AO207" s="180"/>
      <c r="AP207" s="180"/>
      <c r="AQ207" s="180"/>
      <c r="AR207" s="180"/>
      <c r="AS207" s="180"/>
      <c r="AT207" s="180"/>
      <c r="AU207" s="180"/>
      <c r="AV207" s="180"/>
      <c r="AW207" s="180"/>
      <c r="AX207" s="180"/>
      <c r="AY207" s="180"/>
      <c r="AZ207" s="180"/>
      <c r="BA207" s="180"/>
      <c r="BB207" s="180"/>
      <c r="BC207" s="180"/>
      <c r="BD207" s="180"/>
      <c r="BE207" s="179"/>
      <c r="BF207" s="179"/>
      <c r="BG207" s="201">
        <v>5.0999999999999996</v>
      </c>
      <c r="BH207" s="178"/>
      <c r="BI207" s="201">
        <v>4.8</v>
      </c>
      <c r="BJ207" s="178"/>
      <c r="BK207" s="201">
        <v>1.4</v>
      </c>
      <c r="BL207" s="178"/>
      <c r="BM207" s="201">
        <v>60.9</v>
      </c>
      <c r="BN207" s="178"/>
      <c r="BO207" s="201">
        <v>20.100000000000001</v>
      </c>
      <c r="BP207" s="178"/>
      <c r="BQ207" s="201">
        <v>9.9</v>
      </c>
      <c r="BR207" s="178"/>
      <c r="BS207" s="201">
        <v>48.6</v>
      </c>
      <c r="BT207" s="178"/>
      <c r="BU207" s="201">
        <v>19.2</v>
      </c>
      <c r="BV207" s="178"/>
      <c r="BW207" s="201">
        <v>85.5</v>
      </c>
      <c r="BX207" s="178"/>
      <c r="BY207" s="178">
        <v>7.2999999999999972</v>
      </c>
      <c r="BZ207" s="178"/>
      <c r="CA207" s="179"/>
      <c r="CB207" s="179"/>
      <c r="CC207" s="201">
        <v>8.3000000000000007</v>
      </c>
      <c r="CD207" s="198">
        <v>41822</v>
      </c>
      <c r="CE207" s="178"/>
      <c r="CF207" s="178"/>
      <c r="CG207" s="179"/>
      <c r="CH207" s="179"/>
      <c r="CI207" s="174" t="s">
        <v>9359</v>
      </c>
      <c r="CJ207" s="178"/>
      <c r="CK207" s="178"/>
      <c r="CL207" s="174">
        <v>3</v>
      </c>
      <c r="CM207" s="174"/>
    </row>
    <row r="208" spans="1:91" s="181" customFormat="1">
      <c r="A208" s="191" t="s">
        <v>7633</v>
      </c>
      <c r="B208" s="192" t="s">
        <v>269</v>
      </c>
      <c r="C208" s="192" t="s">
        <v>417</v>
      </c>
      <c r="D208" s="192" t="s">
        <v>8225</v>
      </c>
      <c r="E208" s="193">
        <v>231</v>
      </c>
      <c r="F208" s="193">
        <v>3</v>
      </c>
      <c r="G208" s="193"/>
      <c r="H208" s="193"/>
      <c r="I208" s="195"/>
      <c r="J208" s="195"/>
      <c r="K208" s="176">
        <v>8</v>
      </c>
      <c r="L208" s="196"/>
      <c r="M208" s="197">
        <v>3.45</v>
      </c>
      <c r="N208" s="198">
        <v>41822</v>
      </c>
      <c r="O208" s="180"/>
      <c r="P208" s="199"/>
      <c r="Q208" s="180"/>
      <c r="R208" s="199"/>
      <c r="S208" s="176">
        <f>(AE208*BS208)/100</f>
        <v>10.630128205128205</v>
      </c>
      <c r="T208" s="198"/>
      <c r="U208" s="176">
        <v>16.2</v>
      </c>
      <c r="V208" s="199"/>
      <c r="W208" s="180"/>
      <c r="X208" s="199"/>
      <c r="Y208" s="200">
        <f>(AE208*BU208)/100</f>
        <v>3.9483333333333333</v>
      </c>
      <c r="Z208" s="198"/>
      <c r="AA208" s="200"/>
      <c r="AB208" s="198"/>
      <c r="AC208" s="378">
        <f t="shared" si="3"/>
        <v>19.741666666666671</v>
      </c>
      <c r="AD208" s="196"/>
      <c r="AE208" s="176">
        <f>(M208/U208)*((100-CC208)/(100-9))*100</f>
        <v>21.694139194139193</v>
      </c>
      <c r="AF208" s="198">
        <v>41822</v>
      </c>
      <c r="AG208" s="176">
        <v>4.9000000000000004</v>
      </c>
      <c r="AH208" s="196">
        <v>41927</v>
      </c>
      <c r="AI208" s="176">
        <v>150</v>
      </c>
      <c r="AJ208" s="196"/>
      <c r="AK208" s="180"/>
      <c r="AL208" s="199"/>
      <c r="AM208" s="176">
        <v>86</v>
      </c>
      <c r="AN208" s="199"/>
      <c r="AO208" s="180"/>
      <c r="AP208" s="180"/>
      <c r="AQ208" s="180"/>
      <c r="AR208" s="180"/>
      <c r="AS208" s="180"/>
      <c r="AT208" s="180"/>
      <c r="AU208" s="180"/>
      <c r="AV208" s="180"/>
      <c r="AW208" s="180"/>
      <c r="AX208" s="180"/>
      <c r="AY208" s="180"/>
      <c r="AZ208" s="180"/>
      <c r="BA208" s="180"/>
      <c r="BB208" s="180"/>
      <c r="BC208" s="180"/>
      <c r="BD208" s="180"/>
      <c r="BE208" s="179"/>
      <c r="BF208" s="179"/>
      <c r="BG208" s="201">
        <v>39.200000000000003</v>
      </c>
      <c r="BH208" s="178"/>
      <c r="BI208" s="201">
        <v>4.4000000000000004</v>
      </c>
      <c r="BJ208" s="178"/>
      <c r="BK208" s="201">
        <v>0.9</v>
      </c>
      <c r="BL208" s="178"/>
      <c r="BM208" s="201">
        <v>35.200000000000003</v>
      </c>
      <c r="BN208" s="178"/>
      <c r="BO208" s="201">
        <v>15.7</v>
      </c>
      <c r="BP208" s="178"/>
      <c r="BQ208" s="201">
        <v>10.3</v>
      </c>
      <c r="BR208" s="178"/>
      <c r="BS208" s="201">
        <v>49</v>
      </c>
      <c r="BT208" s="178"/>
      <c r="BU208" s="201">
        <v>18.2</v>
      </c>
      <c r="BV208" s="178"/>
      <c r="BW208" s="201">
        <v>67.900000000000006</v>
      </c>
      <c r="BX208" s="178"/>
      <c r="BY208" s="178">
        <v>6.7999999999999972</v>
      </c>
      <c r="BZ208" s="178"/>
      <c r="CA208" s="179"/>
      <c r="CB208" s="179"/>
      <c r="CC208" s="201">
        <v>7.3</v>
      </c>
      <c r="CD208" s="198">
        <v>41822</v>
      </c>
      <c r="CE208" s="178"/>
      <c r="CF208" s="178"/>
      <c r="CG208" s="179"/>
      <c r="CH208" s="179"/>
      <c r="CI208" s="174" t="s">
        <v>9352</v>
      </c>
      <c r="CJ208" s="178"/>
      <c r="CK208" s="178"/>
      <c r="CL208" s="174">
        <v>5</v>
      </c>
      <c r="CM208" s="174"/>
    </row>
    <row r="209" spans="1:91" s="181" customFormat="1">
      <c r="A209" s="191" t="s">
        <v>7644</v>
      </c>
      <c r="B209" s="192" t="s">
        <v>269</v>
      </c>
      <c r="C209" s="192" t="s">
        <v>417</v>
      </c>
      <c r="D209" s="192" t="s">
        <v>8269</v>
      </c>
      <c r="E209" s="193">
        <v>231</v>
      </c>
      <c r="F209" s="193">
        <v>4</v>
      </c>
      <c r="G209" s="193"/>
      <c r="H209" s="193"/>
      <c r="I209" s="195"/>
      <c r="J209" s="195"/>
      <c r="K209" s="176">
        <v>7</v>
      </c>
      <c r="L209" s="196"/>
      <c r="M209" s="197">
        <v>2.9</v>
      </c>
      <c r="N209" s="198">
        <v>41822</v>
      </c>
      <c r="O209" s="180"/>
      <c r="P209" s="199"/>
      <c r="Q209" s="180"/>
      <c r="R209" s="199"/>
      <c r="S209" s="176">
        <f>(AE209*BS209)/100</f>
        <v>8.7611396011396021</v>
      </c>
      <c r="T209" s="198"/>
      <c r="U209" s="176">
        <v>16.2</v>
      </c>
      <c r="V209" s="199"/>
      <c r="W209" s="180"/>
      <c r="X209" s="199"/>
      <c r="Y209" s="200">
        <f>(AE209*BU209)/100</f>
        <v>3.7262108262108269</v>
      </c>
      <c r="Z209" s="198"/>
      <c r="AA209" s="200"/>
      <c r="AB209" s="198"/>
      <c r="AC209" s="378">
        <f t="shared" si="3"/>
        <v>16.540740740740741</v>
      </c>
      <c r="AD209" s="196"/>
      <c r="AE209" s="176">
        <f>(M209/U209)*((100-CC209)/(100-9))*100</f>
        <v>18.176638176638178</v>
      </c>
      <c r="AF209" s="198">
        <v>41822</v>
      </c>
      <c r="AG209" s="176">
        <v>6</v>
      </c>
      <c r="AH209" s="196">
        <v>41927</v>
      </c>
      <c r="AI209" s="176">
        <v>125</v>
      </c>
      <c r="AJ209" s="196"/>
      <c r="AK209" s="180"/>
      <c r="AL209" s="199"/>
      <c r="AM209" s="176">
        <v>83</v>
      </c>
      <c r="AN209" s="199"/>
      <c r="AO209" s="180"/>
      <c r="AP209" s="180"/>
      <c r="AQ209" s="180"/>
      <c r="AR209" s="180"/>
      <c r="AS209" s="180"/>
      <c r="AT209" s="180"/>
      <c r="AU209" s="180"/>
      <c r="AV209" s="180"/>
      <c r="AW209" s="180"/>
      <c r="AX209" s="180"/>
      <c r="AY209" s="180"/>
      <c r="AZ209" s="180"/>
      <c r="BA209" s="180"/>
      <c r="BB209" s="180"/>
      <c r="BC209" s="180"/>
      <c r="BD209" s="180"/>
      <c r="BE209" s="179"/>
      <c r="BF209" s="179"/>
      <c r="BG209" s="201">
        <v>15</v>
      </c>
      <c r="BH209" s="178"/>
      <c r="BI209" s="201">
        <v>4.7</v>
      </c>
      <c r="BJ209" s="178"/>
      <c r="BK209" s="201">
        <v>1</v>
      </c>
      <c r="BL209" s="178"/>
      <c r="BM209" s="201">
        <v>51</v>
      </c>
      <c r="BN209" s="178"/>
      <c r="BO209" s="201">
        <v>19.3</v>
      </c>
      <c r="BP209" s="178"/>
      <c r="BQ209" s="201">
        <v>12.2</v>
      </c>
      <c r="BR209" s="178"/>
      <c r="BS209" s="201">
        <v>48.2</v>
      </c>
      <c r="BT209" s="178"/>
      <c r="BU209" s="201">
        <v>20.5</v>
      </c>
      <c r="BV209" s="178"/>
      <c r="BW209" s="201">
        <v>93</v>
      </c>
      <c r="BX209" s="178"/>
      <c r="BY209" s="178">
        <v>7</v>
      </c>
      <c r="BZ209" s="178"/>
      <c r="CA209" s="179"/>
      <c r="CB209" s="179"/>
      <c r="CC209" s="201">
        <v>7.6</v>
      </c>
      <c r="CD209" s="198">
        <v>41822</v>
      </c>
      <c r="CE209" s="178"/>
      <c r="CF209" s="178"/>
      <c r="CG209" s="179"/>
      <c r="CH209" s="179"/>
      <c r="CI209" s="174" t="s">
        <v>9349</v>
      </c>
      <c r="CJ209" s="178"/>
      <c r="CK209" s="178"/>
      <c r="CL209" s="174">
        <v>7</v>
      </c>
      <c r="CM209" s="174"/>
    </row>
    <row r="210" spans="1:91">
      <c r="A210" s="191" t="s">
        <v>7804</v>
      </c>
      <c r="B210" s="192" t="s">
        <v>269</v>
      </c>
      <c r="C210" s="192" t="s">
        <v>417</v>
      </c>
      <c r="D210" s="192" t="s">
        <v>8909</v>
      </c>
      <c r="E210" s="193">
        <v>231</v>
      </c>
      <c r="F210" s="193">
        <v>5</v>
      </c>
      <c r="K210" s="176">
        <v>7</v>
      </c>
      <c r="M210" s="197">
        <v>5.0999999999999996</v>
      </c>
      <c r="N210" s="198">
        <v>41822</v>
      </c>
      <c r="S210" s="176">
        <f>(AE210*BS210)/100</f>
        <v>15.63609076109076</v>
      </c>
      <c r="T210" s="198"/>
      <c r="U210" s="176">
        <v>16.2</v>
      </c>
      <c r="Y210" s="200">
        <f>(AE210*BU210)/100</f>
        <v>5.2945970695970699</v>
      </c>
      <c r="Z210" s="198"/>
      <c r="AA210" s="200"/>
      <c r="AB210" s="198"/>
      <c r="AC210" s="378">
        <f t="shared" si="3"/>
        <v>28.175925925925927</v>
      </c>
      <c r="AE210" s="176">
        <f>(M210/U210)*((100-CC210)/(100-9))*100</f>
        <v>30.96255596255596</v>
      </c>
      <c r="AF210" s="198">
        <v>41822</v>
      </c>
      <c r="AG210" s="176">
        <v>4.9000000000000004</v>
      </c>
      <c r="AH210" s="196">
        <v>41927</v>
      </c>
      <c r="AI210" s="176">
        <v>165</v>
      </c>
      <c r="AM210" s="176">
        <v>85</v>
      </c>
      <c r="BG210" s="201">
        <v>0</v>
      </c>
      <c r="BI210" s="201">
        <v>4.4000000000000004</v>
      </c>
      <c r="BK210" s="201">
        <v>1.7</v>
      </c>
      <c r="BM210" s="201">
        <v>62.1</v>
      </c>
      <c r="BO210" s="201">
        <v>19.3</v>
      </c>
      <c r="BQ210" s="201">
        <v>8.6999999999999993</v>
      </c>
      <c r="BS210" s="201">
        <v>50.5</v>
      </c>
      <c r="BU210" s="201">
        <v>17.100000000000001</v>
      </c>
      <c r="BW210" s="201">
        <v>12.3</v>
      </c>
      <c r="BY210" s="178">
        <v>8.0999999999999943</v>
      </c>
      <c r="CC210" s="201">
        <v>10.5</v>
      </c>
      <c r="CD210" s="198">
        <v>41822</v>
      </c>
      <c r="CI210" s="174" t="s">
        <v>9352</v>
      </c>
      <c r="CL210" s="174">
        <v>2</v>
      </c>
    </row>
    <row r="211" spans="1:91">
      <c r="A211" s="191" t="s">
        <v>7898</v>
      </c>
      <c r="B211" s="192" t="s">
        <v>269</v>
      </c>
      <c r="C211" s="192" t="s">
        <v>417</v>
      </c>
      <c r="D211" s="192" t="s">
        <v>8989</v>
      </c>
      <c r="E211" s="193">
        <v>231</v>
      </c>
      <c r="F211" s="193">
        <v>6</v>
      </c>
      <c r="K211" s="176">
        <v>8</v>
      </c>
      <c r="M211" s="197">
        <v>5.7</v>
      </c>
      <c r="N211" s="198">
        <v>41822</v>
      </c>
      <c r="S211" s="176">
        <f>(AE211*BS211)/100</f>
        <v>19.405673585673586</v>
      </c>
      <c r="T211" s="198"/>
      <c r="U211" s="176">
        <v>16.2</v>
      </c>
      <c r="Y211" s="200">
        <f>(AE211*BU211)/100</f>
        <v>5.048339438339438</v>
      </c>
      <c r="Z211" s="198"/>
      <c r="AA211" s="200"/>
      <c r="AB211" s="198"/>
      <c r="AC211" s="378">
        <f t="shared" si="3"/>
        <v>32.581481481481482</v>
      </c>
      <c r="AE211" s="176">
        <f>(M211/U211)*((100-CC211)/(100-9))*100</f>
        <v>35.803825803825802</v>
      </c>
      <c r="AF211" s="198">
        <v>41822</v>
      </c>
      <c r="AG211" s="176">
        <v>4.3</v>
      </c>
      <c r="AH211" s="196">
        <v>41927</v>
      </c>
      <c r="AI211" s="176">
        <v>160</v>
      </c>
      <c r="AM211" s="176">
        <v>78</v>
      </c>
      <c r="BG211" s="201">
        <v>0</v>
      </c>
      <c r="BI211" s="201">
        <v>5</v>
      </c>
      <c r="BK211" s="201">
        <v>1.6</v>
      </c>
      <c r="BM211" s="201">
        <v>63.8</v>
      </c>
      <c r="BO211" s="201">
        <v>20.7</v>
      </c>
      <c r="BQ211" s="201">
        <v>7.9</v>
      </c>
      <c r="BS211" s="201">
        <v>54.2</v>
      </c>
      <c r="BU211" s="201">
        <v>14.1</v>
      </c>
      <c r="BW211" s="201">
        <v>14.8</v>
      </c>
      <c r="BY211" s="178">
        <v>6.7999999999999972</v>
      </c>
      <c r="CC211" s="201">
        <v>7.4</v>
      </c>
      <c r="CD211" s="198">
        <v>41822</v>
      </c>
      <c r="CI211" s="174" t="s">
        <v>9346</v>
      </c>
      <c r="CL211" s="174" t="s">
        <v>9001</v>
      </c>
    </row>
    <row r="212" spans="1:91">
      <c r="A212" s="191" t="s">
        <v>7725</v>
      </c>
      <c r="B212" s="192" t="s">
        <v>271</v>
      </c>
      <c r="C212" s="192" t="s">
        <v>8998</v>
      </c>
      <c r="D212" s="192" t="s">
        <v>8595</v>
      </c>
      <c r="E212" s="193">
        <v>231</v>
      </c>
      <c r="F212" s="193">
        <v>7</v>
      </c>
      <c r="K212" s="176">
        <v>6</v>
      </c>
      <c r="M212" s="197">
        <v>4.8</v>
      </c>
      <c r="N212" s="198">
        <v>41822</v>
      </c>
      <c r="S212" s="176">
        <f>(AE212*BS212)/100</f>
        <v>14.460724460724457</v>
      </c>
      <c r="T212" s="198"/>
      <c r="U212" s="176">
        <v>16.2</v>
      </c>
      <c r="Y212" s="200">
        <f>(AE212*BU212)/100</f>
        <v>5.6320716320716304</v>
      </c>
      <c r="Z212" s="198"/>
      <c r="AA212" s="200"/>
      <c r="AB212" s="198"/>
      <c r="AC212" s="378">
        <f t="shared" si="3"/>
        <v>27.703703703703702</v>
      </c>
      <c r="AE212" s="176">
        <f>(M212/U212)*((100-CC212)/(100-9))*100</f>
        <v>30.443630443630436</v>
      </c>
      <c r="AF212" s="198">
        <v>41822</v>
      </c>
      <c r="AG212" s="176">
        <v>4.5999999999999996</v>
      </c>
      <c r="AH212" s="196">
        <v>41927</v>
      </c>
      <c r="AI212" s="176">
        <v>125</v>
      </c>
      <c r="AM212" s="176">
        <v>83</v>
      </c>
      <c r="BG212" s="201">
        <v>0</v>
      </c>
      <c r="BI212" s="201">
        <v>4.7</v>
      </c>
      <c r="BK212" s="201">
        <v>1.6</v>
      </c>
      <c r="BM212" s="201">
        <v>64.7</v>
      </c>
      <c r="BO212" s="201">
        <v>20.9</v>
      </c>
      <c r="BQ212" s="201">
        <v>7.9</v>
      </c>
      <c r="BS212" s="201">
        <v>47.5</v>
      </c>
      <c r="BU212" s="201">
        <v>18.5</v>
      </c>
      <c r="BW212" s="201">
        <v>19.3</v>
      </c>
      <c r="BY212" s="178">
        <v>6.4000000000000057</v>
      </c>
      <c r="CC212" s="201">
        <v>6.5</v>
      </c>
      <c r="CD212" s="198">
        <v>41822</v>
      </c>
      <c r="CI212" s="174" t="s">
        <v>9349</v>
      </c>
      <c r="CL212" s="174">
        <v>1</v>
      </c>
    </row>
    <row r="213" spans="1:91">
      <c r="A213" s="191" t="s">
        <v>7669</v>
      </c>
      <c r="B213" s="192" t="s">
        <v>271</v>
      </c>
      <c r="C213" s="192" t="s">
        <v>8998</v>
      </c>
      <c r="D213" s="192" t="s">
        <v>8371</v>
      </c>
      <c r="E213" s="193">
        <v>231</v>
      </c>
      <c r="F213" s="193">
        <v>8</v>
      </c>
      <c r="K213" s="176">
        <v>6</v>
      </c>
      <c r="M213" s="197">
        <v>6.55</v>
      </c>
      <c r="N213" s="198">
        <v>41822</v>
      </c>
      <c r="S213" s="176">
        <f>(AE213*BS213)/100</f>
        <v>21.141544566544567</v>
      </c>
      <c r="T213" s="198"/>
      <c r="U213" s="176">
        <v>16.2</v>
      </c>
      <c r="Y213" s="200">
        <f>(AE213*BU213)/100</f>
        <v>6.9228194953194953</v>
      </c>
      <c r="Z213" s="198"/>
      <c r="AA213" s="200"/>
      <c r="AB213" s="198"/>
      <c r="AC213" s="378">
        <f t="shared" si="3"/>
        <v>37.723148148148148</v>
      </c>
      <c r="AE213" s="176">
        <f>(M213/U213)*((100-CC213)/(100-9))*100</f>
        <v>41.454008954008955</v>
      </c>
      <c r="AF213" s="198">
        <v>41822</v>
      </c>
      <c r="AG213" s="176">
        <v>4.2</v>
      </c>
      <c r="AH213" s="196">
        <v>41927</v>
      </c>
      <c r="AI213" s="176">
        <v>135</v>
      </c>
      <c r="AM213" s="176">
        <v>78</v>
      </c>
      <c r="BG213" s="201">
        <v>2</v>
      </c>
      <c r="BI213" s="201">
        <v>4.5999999999999996</v>
      </c>
      <c r="BK213" s="201">
        <v>1.6</v>
      </c>
      <c r="BM213" s="201">
        <v>63.8</v>
      </c>
      <c r="BO213" s="201">
        <v>20.399999999999999</v>
      </c>
      <c r="BQ213" s="201">
        <v>8.6</v>
      </c>
      <c r="BS213" s="201">
        <v>51</v>
      </c>
      <c r="BU213" s="201">
        <v>16.7</v>
      </c>
      <c r="BW213" s="201">
        <v>18.2</v>
      </c>
      <c r="BY213" s="178">
        <v>6.2000000000000028</v>
      </c>
      <c r="CC213" s="201">
        <v>6.7</v>
      </c>
      <c r="CD213" s="198">
        <v>41822</v>
      </c>
      <c r="CI213" s="174" t="s">
        <v>9396</v>
      </c>
      <c r="CL213" s="174">
        <v>2</v>
      </c>
    </row>
    <row r="214" spans="1:91" s="181" customFormat="1">
      <c r="A214" s="191" t="s">
        <v>7667</v>
      </c>
      <c r="B214" s="192" t="s">
        <v>271</v>
      </c>
      <c r="C214" s="192" t="s">
        <v>8998</v>
      </c>
      <c r="D214" s="192" t="s">
        <v>8363</v>
      </c>
      <c r="E214" s="193">
        <v>231</v>
      </c>
      <c r="F214" s="193">
        <v>9</v>
      </c>
      <c r="G214" s="193"/>
      <c r="H214" s="193"/>
      <c r="I214" s="195"/>
      <c r="J214" s="195"/>
      <c r="K214" s="176">
        <v>7</v>
      </c>
      <c r="L214" s="196"/>
      <c r="M214" s="197">
        <v>4.75</v>
      </c>
      <c r="N214" s="198">
        <v>41822</v>
      </c>
      <c r="O214" s="180"/>
      <c r="P214" s="199"/>
      <c r="Q214" s="180"/>
      <c r="R214" s="199"/>
      <c r="S214" s="176">
        <f>(AE214*BS214)/100</f>
        <v>13.918608397775065</v>
      </c>
      <c r="T214" s="198"/>
      <c r="U214" s="176">
        <v>16.2</v>
      </c>
      <c r="V214" s="199"/>
      <c r="W214" s="180"/>
      <c r="X214" s="199"/>
      <c r="Y214" s="200">
        <f>(AE214*BU214)/100</f>
        <v>5.5435999185999201</v>
      </c>
      <c r="Z214" s="198"/>
      <c r="AA214" s="200"/>
      <c r="AB214" s="198"/>
      <c r="AC214" s="378">
        <f t="shared" si="3"/>
        <v>27.121913580246915</v>
      </c>
      <c r="AD214" s="196"/>
      <c r="AE214" s="176">
        <f>(M214/U214)*((100-CC214)/(100-9))*100</f>
        <v>29.804300637633972</v>
      </c>
      <c r="AF214" s="198">
        <v>41822</v>
      </c>
      <c r="AG214" s="176">
        <v>4.0999999999999996</v>
      </c>
      <c r="AH214" s="196">
        <v>41927</v>
      </c>
      <c r="AI214" s="176">
        <v>160</v>
      </c>
      <c r="AJ214" s="196"/>
      <c r="AK214" s="180"/>
      <c r="AL214" s="199"/>
      <c r="AM214" s="176">
        <v>95</v>
      </c>
      <c r="AN214" s="199"/>
      <c r="AO214" s="180"/>
      <c r="AP214" s="180"/>
      <c r="AQ214" s="180"/>
      <c r="AR214" s="180"/>
      <c r="AS214" s="180"/>
      <c r="AT214" s="180"/>
      <c r="AU214" s="180"/>
      <c r="AV214" s="180"/>
      <c r="AW214" s="180"/>
      <c r="AX214" s="180"/>
      <c r="AY214" s="180"/>
      <c r="AZ214" s="180"/>
      <c r="BA214" s="180"/>
      <c r="BB214" s="180"/>
      <c r="BC214" s="180"/>
      <c r="BD214" s="180"/>
      <c r="BE214" s="179"/>
      <c r="BF214" s="179"/>
      <c r="BG214" s="201">
        <v>0</v>
      </c>
      <c r="BH214" s="178"/>
      <c r="BI214" s="201">
        <v>4.4000000000000004</v>
      </c>
      <c r="BJ214" s="178"/>
      <c r="BK214" s="201">
        <v>1.7</v>
      </c>
      <c r="BL214" s="178"/>
      <c r="BM214" s="201">
        <v>62.6</v>
      </c>
      <c r="BN214" s="178"/>
      <c r="BO214" s="201">
        <v>21.5</v>
      </c>
      <c r="BP214" s="178"/>
      <c r="BQ214" s="201">
        <v>7.6</v>
      </c>
      <c r="BR214" s="178"/>
      <c r="BS214" s="201">
        <v>46.7</v>
      </c>
      <c r="BT214" s="178"/>
      <c r="BU214" s="201">
        <v>18.600000000000001</v>
      </c>
      <c r="BV214" s="178"/>
      <c r="BW214" s="201">
        <v>16.899999999999999</v>
      </c>
      <c r="BX214" s="178"/>
      <c r="BY214" s="178">
        <v>6.7000000000000028</v>
      </c>
      <c r="BZ214" s="178"/>
      <c r="CA214" s="179"/>
      <c r="CB214" s="179"/>
      <c r="CC214" s="201">
        <v>7.5</v>
      </c>
      <c r="CD214" s="198">
        <v>41822</v>
      </c>
      <c r="CE214" s="178"/>
      <c r="CF214" s="178"/>
      <c r="CG214" s="179"/>
      <c r="CH214" s="179"/>
      <c r="CI214" s="174" t="s">
        <v>9349</v>
      </c>
      <c r="CJ214" s="178"/>
      <c r="CK214" s="178"/>
      <c r="CL214" s="174">
        <v>5</v>
      </c>
      <c r="CM214" s="174"/>
    </row>
    <row r="215" spans="1:91" s="181" customFormat="1">
      <c r="A215" s="191" t="s">
        <v>7684</v>
      </c>
      <c r="B215" s="192" t="s">
        <v>271</v>
      </c>
      <c r="C215" s="192" t="s">
        <v>8998</v>
      </c>
      <c r="D215" s="192" t="s">
        <v>8431</v>
      </c>
      <c r="E215" s="193">
        <v>231</v>
      </c>
      <c r="F215" s="193">
        <v>10</v>
      </c>
      <c r="G215" s="193"/>
      <c r="H215" s="193"/>
      <c r="I215" s="195"/>
      <c r="J215" s="195"/>
      <c r="K215" s="176">
        <v>7</v>
      </c>
      <c r="L215" s="196"/>
      <c r="M215" s="197">
        <v>5.5</v>
      </c>
      <c r="N215" s="198">
        <v>41822</v>
      </c>
      <c r="O215" s="180"/>
      <c r="P215" s="199"/>
      <c r="Q215" s="180"/>
      <c r="R215" s="199"/>
      <c r="S215" s="176">
        <f>(AE215*BS215)/100</f>
        <v>16.913824447157779</v>
      </c>
      <c r="T215" s="198"/>
      <c r="U215" s="176">
        <v>16.2</v>
      </c>
      <c r="V215" s="199"/>
      <c r="W215" s="180"/>
      <c r="X215" s="199"/>
      <c r="Y215" s="200">
        <f>(AE215*BU215)/100</f>
        <v>6.6546194546194544</v>
      </c>
      <c r="Z215" s="198"/>
      <c r="AA215" s="200"/>
      <c r="AB215" s="198"/>
      <c r="AC215" s="378">
        <f t="shared" si="3"/>
        <v>31.540123456790127</v>
      </c>
      <c r="AD215" s="196"/>
      <c r="AE215" s="176">
        <f>(M215/U215)*((100-CC215)/(100-9))*100</f>
        <v>34.659476326142993</v>
      </c>
      <c r="AF215" s="198">
        <v>41822</v>
      </c>
      <c r="AG215" s="176">
        <v>5.3</v>
      </c>
      <c r="AH215" s="196">
        <v>41927</v>
      </c>
      <c r="AI215" s="176">
        <v>150</v>
      </c>
      <c r="AJ215" s="196"/>
      <c r="AK215" s="180"/>
      <c r="AL215" s="199"/>
      <c r="AM215" s="176">
        <v>79</v>
      </c>
      <c r="AN215" s="199"/>
      <c r="AO215" s="180"/>
      <c r="AP215" s="180"/>
      <c r="AQ215" s="180"/>
      <c r="AR215" s="180"/>
      <c r="AS215" s="180"/>
      <c r="AT215" s="180"/>
      <c r="AU215" s="180"/>
      <c r="AV215" s="180"/>
      <c r="AW215" s="180"/>
      <c r="AX215" s="180"/>
      <c r="AY215" s="180"/>
      <c r="AZ215" s="180"/>
      <c r="BA215" s="180"/>
      <c r="BB215" s="180"/>
      <c r="BC215" s="180"/>
      <c r="BD215" s="180"/>
      <c r="BE215" s="179"/>
      <c r="BF215" s="179"/>
      <c r="BG215" s="201">
        <v>0</v>
      </c>
      <c r="BH215" s="178"/>
      <c r="BI215" s="201">
        <v>4.3</v>
      </c>
      <c r="BJ215" s="178"/>
      <c r="BK215" s="201">
        <v>1.8</v>
      </c>
      <c r="BL215" s="178"/>
      <c r="BM215" s="201">
        <v>72.2</v>
      </c>
      <c r="BN215" s="178"/>
      <c r="BO215" s="201">
        <v>18.600000000000001</v>
      </c>
      <c r="BP215" s="178"/>
      <c r="BQ215" s="201">
        <v>5.8</v>
      </c>
      <c r="BR215" s="178"/>
      <c r="BS215" s="201">
        <v>48.8</v>
      </c>
      <c r="BT215" s="178"/>
      <c r="BU215" s="201">
        <v>19.2</v>
      </c>
      <c r="BV215" s="178"/>
      <c r="BW215" s="201">
        <v>19.100000000000001</v>
      </c>
      <c r="BX215" s="178"/>
      <c r="BY215" s="178">
        <v>6.4000000000000057</v>
      </c>
      <c r="BZ215" s="178"/>
      <c r="CA215" s="179"/>
      <c r="CB215" s="179"/>
      <c r="CC215" s="201">
        <v>7.1</v>
      </c>
      <c r="CD215" s="198">
        <v>41822</v>
      </c>
      <c r="CE215" s="178"/>
      <c r="CF215" s="178"/>
      <c r="CG215" s="179"/>
      <c r="CH215" s="179"/>
      <c r="CI215" s="174" t="s">
        <v>9355</v>
      </c>
      <c r="CJ215" s="178"/>
      <c r="CK215" s="178"/>
      <c r="CL215" s="174">
        <v>2</v>
      </c>
      <c r="CM215" s="174"/>
    </row>
    <row r="216" spans="1:91" s="181" customFormat="1">
      <c r="A216" s="191" t="s">
        <v>7712</v>
      </c>
      <c r="B216" s="192" t="s">
        <v>271</v>
      </c>
      <c r="C216" s="192" t="s">
        <v>8998</v>
      </c>
      <c r="D216" s="192" t="s">
        <v>8543</v>
      </c>
      <c r="E216" s="193">
        <v>231</v>
      </c>
      <c r="F216" s="193">
        <v>11</v>
      </c>
      <c r="G216" s="193"/>
      <c r="H216" s="193"/>
      <c r="I216" s="195"/>
      <c r="J216" s="195"/>
      <c r="K216" s="176">
        <v>7</v>
      </c>
      <c r="L216" s="196"/>
      <c r="M216" s="197">
        <v>6.05</v>
      </c>
      <c r="N216" s="198">
        <v>41822</v>
      </c>
      <c r="O216" s="180"/>
      <c r="P216" s="199"/>
      <c r="Q216" s="180"/>
      <c r="R216" s="199"/>
      <c r="S216" s="176">
        <f>(AE216*BS216)/100</f>
        <v>18.892399267399263</v>
      </c>
      <c r="T216" s="198"/>
      <c r="U216" s="176">
        <v>16.2</v>
      </c>
      <c r="V216" s="199"/>
      <c r="W216" s="180"/>
      <c r="X216" s="199"/>
      <c r="Y216" s="200">
        <f>(AE216*BU216)/100</f>
        <v>6.9844627594627582</v>
      </c>
      <c r="Z216" s="198"/>
      <c r="AA216" s="200"/>
      <c r="AB216" s="198"/>
      <c r="AC216" s="378">
        <f t="shared" si="3"/>
        <v>34.731481481481481</v>
      </c>
      <c r="AD216" s="196"/>
      <c r="AE216" s="176">
        <f>(M216/U216)*((100-CC216)/(100-9))*100</f>
        <v>38.16646316646316</v>
      </c>
      <c r="AF216" s="198">
        <v>41822</v>
      </c>
      <c r="AG216" s="176">
        <v>5.0999999999999996</v>
      </c>
      <c r="AH216" s="196">
        <v>41927</v>
      </c>
      <c r="AI216" s="176">
        <v>165</v>
      </c>
      <c r="AJ216" s="196"/>
      <c r="AK216" s="180"/>
      <c r="AL216" s="199"/>
      <c r="AM216" s="176">
        <v>85</v>
      </c>
      <c r="AN216" s="199"/>
      <c r="AO216" s="180"/>
      <c r="AP216" s="180"/>
      <c r="AQ216" s="180"/>
      <c r="AR216" s="180"/>
      <c r="AS216" s="180"/>
      <c r="AT216" s="180"/>
      <c r="AU216" s="180"/>
      <c r="AV216" s="180"/>
      <c r="AW216" s="180"/>
      <c r="AX216" s="180"/>
      <c r="AY216" s="180"/>
      <c r="AZ216" s="180"/>
      <c r="BA216" s="180"/>
      <c r="BB216" s="180"/>
      <c r="BC216" s="180"/>
      <c r="BD216" s="180"/>
      <c r="BE216" s="179"/>
      <c r="BF216" s="179"/>
      <c r="BG216" s="201">
        <v>5</v>
      </c>
      <c r="BH216" s="178"/>
      <c r="BI216" s="201">
        <v>4.8</v>
      </c>
      <c r="BJ216" s="178"/>
      <c r="BK216" s="201">
        <v>1.6</v>
      </c>
      <c r="BL216" s="178"/>
      <c r="BM216" s="201">
        <v>66.3</v>
      </c>
      <c r="BN216" s="178"/>
      <c r="BO216" s="201">
        <v>20.9</v>
      </c>
      <c r="BP216" s="178"/>
      <c r="BQ216" s="201">
        <v>7.8</v>
      </c>
      <c r="BR216" s="178"/>
      <c r="BS216" s="201">
        <v>49.5</v>
      </c>
      <c r="BT216" s="178"/>
      <c r="BU216" s="201">
        <v>18.3</v>
      </c>
      <c r="BV216" s="178"/>
      <c r="BW216" s="201">
        <v>17.100000000000001</v>
      </c>
      <c r="BX216" s="178"/>
      <c r="BY216" s="178">
        <v>6.4000000000000057</v>
      </c>
      <c r="BZ216" s="178"/>
      <c r="CA216" s="179"/>
      <c r="CB216" s="179"/>
      <c r="CC216" s="201">
        <v>7</v>
      </c>
      <c r="CD216" s="198">
        <v>41822</v>
      </c>
      <c r="CE216" s="178"/>
      <c r="CF216" s="178"/>
      <c r="CG216" s="179"/>
      <c r="CH216" s="179"/>
      <c r="CI216" s="174" t="s">
        <v>9355</v>
      </c>
      <c r="CJ216" s="178"/>
      <c r="CK216" s="178"/>
      <c r="CL216" s="174">
        <v>3</v>
      </c>
      <c r="CM216" s="174"/>
    </row>
    <row r="217" spans="1:91" s="181" customFormat="1">
      <c r="A217" s="191" t="s">
        <v>7709</v>
      </c>
      <c r="B217" s="192" t="s">
        <v>271</v>
      </c>
      <c r="C217" s="192" t="s">
        <v>8998</v>
      </c>
      <c r="D217" s="192" t="s">
        <v>8531</v>
      </c>
      <c r="E217" s="193">
        <v>231</v>
      </c>
      <c r="F217" s="193">
        <v>12</v>
      </c>
      <c r="G217" s="193"/>
      <c r="H217" s="193"/>
      <c r="I217" s="195"/>
      <c r="J217" s="195"/>
      <c r="K217" s="176">
        <v>7</v>
      </c>
      <c r="L217" s="196"/>
      <c r="M217" s="197">
        <v>5.3</v>
      </c>
      <c r="N217" s="198">
        <v>41822</v>
      </c>
      <c r="O217" s="180"/>
      <c r="P217" s="199"/>
      <c r="Q217" s="180"/>
      <c r="R217" s="199"/>
      <c r="S217" s="176">
        <f>(AE217*BS217)/100</f>
        <v>16.295109211775877</v>
      </c>
      <c r="T217" s="198"/>
      <c r="U217" s="176">
        <v>16.2</v>
      </c>
      <c r="V217" s="199"/>
      <c r="W217" s="180"/>
      <c r="X217" s="199"/>
      <c r="Y217" s="200">
        <f>(AE217*BU217)/100</f>
        <v>6.3185117351784017</v>
      </c>
      <c r="Z217" s="198"/>
      <c r="AA217" s="200"/>
      <c r="AB217" s="198"/>
      <c r="AC217" s="378">
        <f t="shared" si="3"/>
        <v>30.262345679012345</v>
      </c>
      <c r="AD217" s="196"/>
      <c r="AE217" s="176">
        <f>(M217/U217)*((100-CC217)/(100-9))*100</f>
        <v>33.255324921991587</v>
      </c>
      <c r="AF217" s="198">
        <v>41822</v>
      </c>
      <c r="AG217" s="176">
        <v>5</v>
      </c>
      <c r="AH217" s="196">
        <v>41927</v>
      </c>
      <c r="AI217" s="176">
        <v>145</v>
      </c>
      <c r="AJ217" s="196"/>
      <c r="AK217" s="180"/>
      <c r="AL217" s="199"/>
      <c r="AM217" s="176">
        <v>84</v>
      </c>
      <c r="AN217" s="199"/>
      <c r="AO217" s="180"/>
      <c r="AP217" s="180"/>
      <c r="AQ217" s="180"/>
      <c r="AR217" s="180"/>
      <c r="AS217" s="180"/>
      <c r="AT217" s="180"/>
      <c r="AU217" s="180"/>
      <c r="AV217" s="180"/>
      <c r="AW217" s="180"/>
      <c r="AX217" s="180"/>
      <c r="AY217" s="180"/>
      <c r="AZ217" s="180"/>
      <c r="BA217" s="180"/>
      <c r="BB217" s="180"/>
      <c r="BC217" s="180"/>
      <c r="BD217" s="180"/>
      <c r="BE217" s="179"/>
      <c r="BF217" s="179"/>
      <c r="BG217" s="201">
        <v>0.3</v>
      </c>
      <c r="BH217" s="178"/>
      <c r="BI217" s="201">
        <v>4.4000000000000004</v>
      </c>
      <c r="BJ217" s="178"/>
      <c r="BK217" s="201">
        <v>1.6</v>
      </c>
      <c r="BL217" s="178"/>
      <c r="BM217" s="201">
        <v>65</v>
      </c>
      <c r="BN217" s="178"/>
      <c r="BO217" s="201">
        <v>21.7</v>
      </c>
      <c r="BP217" s="178"/>
      <c r="BQ217" s="201">
        <v>7.6</v>
      </c>
      <c r="BR217" s="178"/>
      <c r="BS217" s="201">
        <v>49</v>
      </c>
      <c r="BT217" s="178"/>
      <c r="BU217" s="201">
        <v>19</v>
      </c>
      <c r="BV217" s="178"/>
      <c r="BW217" s="201">
        <v>15.6</v>
      </c>
      <c r="BX217" s="178"/>
      <c r="BY217" s="178">
        <v>6.2999999999999972</v>
      </c>
      <c r="BZ217" s="178"/>
      <c r="CA217" s="179"/>
      <c r="CB217" s="179"/>
      <c r="CC217" s="201">
        <v>7.5</v>
      </c>
      <c r="CD217" s="198">
        <v>41822</v>
      </c>
      <c r="CE217" s="178"/>
      <c r="CF217" s="178"/>
      <c r="CG217" s="179"/>
      <c r="CH217" s="179"/>
      <c r="CI217" s="174" t="s">
        <v>9358</v>
      </c>
      <c r="CJ217" s="178"/>
      <c r="CK217" s="178"/>
      <c r="CL217" s="174">
        <v>5</v>
      </c>
      <c r="CM217" s="174"/>
    </row>
    <row r="218" spans="1:91">
      <c r="A218" s="191" t="s">
        <v>7688</v>
      </c>
      <c r="B218" s="192" t="s">
        <v>269</v>
      </c>
      <c r="C218" s="192" t="s">
        <v>417</v>
      </c>
      <c r="D218" s="192" t="s">
        <v>8445</v>
      </c>
      <c r="E218" s="193">
        <v>232</v>
      </c>
      <c r="F218" s="193">
        <v>1</v>
      </c>
      <c r="K218" s="176">
        <v>7</v>
      </c>
      <c r="M218" s="197">
        <v>5.3</v>
      </c>
      <c r="N218" s="198">
        <v>41822</v>
      </c>
      <c r="S218" s="176">
        <f>(AE218*BS218)/100</f>
        <v>16.951587301587303</v>
      </c>
      <c r="T218" s="198"/>
      <c r="U218" s="176">
        <v>16.2</v>
      </c>
      <c r="Y218" s="200">
        <f>(AE218*BU218)/100</f>
        <v>5.6170940170940176</v>
      </c>
      <c r="Z218" s="198"/>
      <c r="AA218" s="200"/>
      <c r="AB218" s="198"/>
      <c r="AC218" s="378">
        <f t="shared" si="3"/>
        <v>30.425925925925927</v>
      </c>
      <c r="AE218" s="176">
        <f>(M218/U218)*((100-CC218)/(100-9))*100</f>
        <v>33.435083435083435</v>
      </c>
      <c r="AF218" s="198">
        <v>41822</v>
      </c>
      <c r="AG218" s="176">
        <v>4</v>
      </c>
      <c r="AH218" s="196">
        <v>41927</v>
      </c>
      <c r="AI218" s="176">
        <v>150</v>
      </c>
      <c r="AM218" s="176">
        <v>78</v>
      </c>
      <c r="BG218" s="201">
        <v>0</v>
      </c>
      <c r="BI218" s="201">
        <v>4.8</v>
      </c>
      <c r="BK218" s="201">
        <v>1.5</v>
      </c>
      <c r="BM218" s="201">
        <v>63.7</v>
      </c>
      <c r="BO218" s="201">
        <v>20</v>
      </c>
      <c r="BQ218" s="201">
        <v>8.6999999999999993</v>
      </c>
      <c r="BS218" s="201">
        <v>50.7</v>
      </c>
      <c r="BU218" s="201">
        <v>16.8</v>
      </c>
      <c r="BW218" s="201">
        <v>11.9</v>
      </c>
      <c r="BY218" s="178">
        <v>6.7999999999999972</v>
      </c>
      <c r="CC218" s="201">
        <v>7</v>
      </c>
      <c r="CD218" s="198">
        <v>41822</v>
      </c>
      <c r="CI218" s="174" t="s">
        <v>9335</v>
      </c>
      <c r="CL218" s="174">
        <v>1</v>
      </c>
    </row>
    <row r="219" spans="1:91">
      <c r="A219" s="191" t="s">
        <v>7800</v>
      </c>
      <c r="B219" s="192" t="s">
        <v>269</v>
      </c>
      <c r="C219" s="192" t="s">
        <v>417</v>
      </c>
      <c r="D219" s="192" t="s">
        <v>8893</v>
      </c>
      <c r="E219" s="193">
        <v>232</v>
      </c>
      <c r="F219" s="193">
        <v>2</v>
      </c>
      <c r="K219" s="176">
        <v>7</v>
      </c>
      <c r="M219" s="197">
        <v>4.3</v>
      </c>
      <c r="N219" s="198">
        <v>41822</v>
      </c>
      <c r="S219" s="176">
        <f>(AE219*BS219)/100</f>
        <v>14.338233618233621</v>
      </c>
      <c r="T219" s="198"/>
      <c r="U219" s="176">
        <v>16.2</v>
      </c>
      <c r="Y219" s="200">
        <f>(AE219*BU219)/100</f>
        <v>4.3661538461538472</v>
      </c>
      <c r="Z219" s="198"/>
      <c r="AA219" s="200"/>
      <c r="AB219" s="198"/>
      <c r="AC219" s="378">
        <f t="shared" si="3"/>
        <v>24.525925925925929</v>
      </c>
      <c r="AE219" s="176">
        <f>(M219/U219)*((100-CC219)/(100-9))*100</f>
        <v>26.951566951566956</v>
      </c>
      <c r="AF219" s="198">
        <v>41822</v>
      </c>
      <c r="AG219" s="176">
        <v>4.2</v>
      </c>
      <c r="AH219" s="196">
        <v>41927</v>
      </c>
      <c r="AI219" s="176">
        <v>140</v>
      </c>
      <c r="AM219" s="176">
        <v>84</v>
      </c>
      <c r="BG219" s="201">
        <v>0</v>
      </c>
      <c r="BI219" s="201">
        <v>4.7</v>
      </c>
      <c r="BK219" s="201">
        <v>1.6</v>
      </c>
      <c r="BM219" s="201">
        <v>65.599999999999994</v>
      </c>
      <c r="BO219" s="201">
        <v>19.899999999999999</v>
      </c>
      <c r="BQ219" s="201">
        <v>8.5</v>
      </c>
      <c r="BS219" s="201">
        <v>53.2</v>
      </c>
      <c r="BU219" s="201">
        <v>16.2</v>
      </c>
      <c r="BW219" s="201">
        <v>11.8</v>
      </c>
      <c r="BY219" s="178">
        <v>6.7999999999999972</v>
      </c>
      <c r="CC219" s="201">
        <v>7.6</v>
      </c>
      <c r="CD219" s="198">
        <v>41822</v>
      </c>
      <c r="CI219" s="174" t="s">
        <v>9360</v>
      </c>
      <c r="CL219" s="174">
        <v>1</v>
      </c>
    </row>
    <row r="220" spans="1:91">
      <c r="A220" s="191" t="s">
        <v>7772</v>
      </c>
      <c r="B220" s="192" t="s">
        <v>269</v>
      </c>
      <c r="C220" s="192" t="s">
        <v>417</v>
      </c>
      <c r="D220" s="192" t="s">
        <v>8781</v>
      </c>
      <c r="E220" s="193">
        <v>232</v>
      </c>
      <c r="F220" s="193">
        <v>3</v>
      </c>
      <c r="K220" s="176">
        <v>7</v>
      </c>
      <c r="M220" s="197">
        <v>4.75</v>
      </c>
      <c r="N220" s="198">
        <v>41822</v>
      </c>
      <c r="S220" s="176">
        <f>(AE220*BS220)/100</f>
        <v>15.681250847917516</v>
      </c>
      <c r="T220" s="198"/>
      <c r="U220" s="176">
        <v>16.2</v>
      </c>
      <c r="Y220" s="200">
        <f>(AE220*BU220)/100</f>
        <v>4.6539818206484878</v>
      </c>
      <c r="Z220" s="198"/>
      <c r="AA220" s="200"/>
      <c r="AB220" s="198"/>
      <c r="AC220" s="378">
        <f t="shared" si="3"/>
        <v>26.97530864197531</v>
      </c>
      <c r="AE220" s="176">
        <f>(M220/U220)*((100-CC220)/(100-9))*100</f>
        <v>29.643196309862979</v>
      </c>
      <c r="AF220" s="198">
        <v>41822</v>
      </c>
      <c r="AG220" s="176">
        <v>4.5999999999999996</v>
      </c>
      <c r="AH220" s="196">
        <v>41927</v>
      </c>
      <c r="AI220" s="176">
        <v>150</v>
      </c>
      <c r="AM220" s="176">
        <v>78</v>
      </c>
      <c r="BG220" s="201">
        <v>0.1</v>
      </c>
      <c r="BI220" s="201">
        <v>4.5999999999999996</v>
      </c>
      <c r="BK220" s="201">
        <v>1.5</v>
      </c>
      <c r="BM220" s="201">
        <v>63.6</v>
      </c>
      <c r="BO220" s="201">
        <v>19.2</v>
      </c>
      <c r="BQ220" s="201">
        <v>9</v>
      </c>
      <c r="BS220" s="201">
        <v>52.9</v>
      </c>
      <c r="BU220" s="201">
        <v>15.7</v>
      </c>
      <c r="BW220" s="201">
        <v>11.8</v>
      </c>
      <c r="BY220" s="178">
        <v>7</v>
      </c>
      <c r="CC220" s="201">
        <v>8</v>
      </c>
      <c r="CD220" s="198">
        <v>41822</v>
      </c>
      <c r="CI220" s="174" t="s">
        <v>9347</v>
      </c>
      <c r="CL220" s="174">
        <v>3</v>
      </c>
    </row>
    <row r="221" spans="1:91">
      <c r="A221" s="191" t="s">
        <v>7641</v>
      </c>
      <c r="B221" s="192" t="s">
        <v>269</v>
      </c>
      <c r="C221" s="192" t="s">
        <v>417</v>
      </c>
      <c r="D221" s="192" t="s">
        <v>8257</v>
      </c>
      <c r="E221" s="193">
        <v>232</v>
      </c>
      <c r="F221" s="193">
        <v>4</v>
      </c>
      <c r="K221" s="176">
        <v>8</v>
      </c>
      <c r="M221" s="197">
        <v>3.9</v>
      </c>
      <c r="N221" s="198">
        <v>41822</v>
      </c>
      <c r="S221" s="176">
        <f>(AE221*BS221)/100</f>
        <v>12.983015873015873</v>
      </c>
      <c r="T221" s="198"/>
      <c r="U221" s="176">
        <v>16.2</v>
      </c>
      <c r="Y221" s="200">
        <f>(AE221*BU221)/100</f>
        <v>4.2700793650793649</v>
      </c>
      <c r="Z221" s="198"/>
      <c r="AA221" s="200"/>
      <c r="AB221" s="198"/>
      <c r="AC221" s="378">
        <f t="shared" si="3"/>
        <v>22.461111111111112</v>
      </c>
      <c r="AE221" s="176">
        <f>(M221/U221)*((100-CC221)/(100-9))*100</f>
        <v>24.68253968253968</v>
      </c>
      <c r="AF221" s="198">
        <v>41822</v>
      </c>
      <c r="AG221" s="176">
        <v>4.9000000000000004</v>
      </c>
      <c r="AH221" s="196">
        <v>41927</v>
      </c>
      <c r="AI221" s="176">
        <v>140</v>
      </c>
      <c r="AM221" s="176">
        <v>84</v>
      </c>
      <c r="BG221" s="201">
        <v>46.5</v>
      </c>
      <c r="BI221" s="201">
        <v>4</v>
      </c>
      <c r="BK221" s="201">
        <v>1</v>
      </c>
      <c r="BM221" s="201">
        <v>30.7</v>
      </c>
      <c r="BO221" s="201">
        <v>14.3</v>
      </c>
      <c r="BQ221" s="201">
        <v>9.3000000000000007</v>
      </c>
      <c r="BS221" s="201">
        <v>52.6</v>
      </c>
      <c r="BU221" s="201">
        <v>17.3</v>
      </c>
      <c r="BW221" s="201">
        <v>51.5</v>
      </c>
      <c r="BY221" s="178">
        <v>6.2999999999999972</v>
      </c>
      <c r="CC221" s="201">
        <v>6.7</v>
      </c>
      <c r="CD221" s="198">
        <v>41822</v>
      </c>
      <c r="CI221" s="174" t="s">
        <v>9358</v>
      </c>
      <c r="CL221" s="174">
        <v>5</v>
      </c>
    </row>
    <row r="222" spans="1:91">
      <c r="A222" s="191" t="s">
        <v>7671</v>
      </c>
      <c r="B222" s="192" t="s">
        <v>269</v>
      </c>
      <c r="C222" s="192" t="s">
        <v>417</v>
      </c>
      <c r="D222" s="192" t="s">
        <v>8377</v>
      </c>
      <c r="E222" s="193">
        <v>232</v>
      </c>
      <c r="F222" s="193">
        <v>5</v>
      </c>
      <c r="K222" s="176">
        <v>8</v>
      </c>
      <c r="M222" s="197">
        <v>2.95</v>
      </c>
      <c r="N222" s="198">
        <v>41822</v>
      </c>
      <c r="S222" s="176">
        <f>(AE222*BS222)/100</f>
        <v>8.8648280423280443</v>
      </c>
      <c r="T222" s="198"/>
      <c r="U222" s="176">
        <v>16.2</v>
      </c>
      <c r="Y222" s="200">
        <f>(AE222*BU222)/100</f>
        <v>3.5938492063492067</v>
      </c>
      <c r="Z222" s="198"/>
      <c r="AA222" s="200"/>
      <c r="AB222" s="198"/>
      <c r="AC222" s="378">
        <f t="shared" si="3"/>
        <v>16.771296296296299</v>
      </c>
      <c r="AE222" s="176">
        <f>(M222/U222)*((100-CC222)/(100-9))*100</f>
        <v>18.429995929995933</v>
      </c>
      <c r="AF222" s="198">
        <v>41822</v>
      </c>
      <c r="AG222" s="176">
        <v>4.8</v>
      </c>
      <c r="AH222" s="196">
        <v>41927</v>
      </c>
      <c r="AI222" s="176">
        <v>135</v>
      </c>
      <c r="AM222" s="176">
        <v>84</v>
      </c>
      <c r="BG222" s="201">
        <v>3.1</v>
      </c>
      <c r="BI222" s="201">
        <v>4.3</v>
      </c>
      <c r="BK222" s="201">
        <v>1.5</v>
      </c>
      <c r="BM222" s="201">
        <v>61.7</v>
      </c>
      <c r="BO222" s="201">
        <v>18.8</v>
      </c>
      <c r="BQ222" s="201">
        <v>9.1999999999999993</v>
      </c>
      <c r="BS222" s="201">
        <v>48.1</v>
      </c>
      <c r="BU222" s="201">
        <v>19.5</v>
      </c>
      <c r="BW222" s="201">
        <v>14</v>
      </c>
      <c r="BY222" s="178">
        <v>7</v>
      </c>
      <c r="CC222" s="201">
        <v>7.9</v>
      </c>
      <c r="CD222" s="198">
        <v>41822</v>
      </c>
      <c r="CI222" s="174" t="s">
        <v>9355</v>
      </c>
      <c r="CL222" s="174">
        <v>1</v>
      </c>
    </row>
    <row r="223" spans="1:91">
      <c r="A223" s="191" t="s">
        <v>7741</v>
      </c>
      <c r="B223" s="192" t="s">
        <v>269</v>
      </c>
      <c r="C223" s="192" t="s">
        <v>417</v>
      </c>
      <c r="D223" s="192" t="s">
        <v>8657</v>
      </c>
      <c r="E223" s="193">
        <v>232</v>
      </c>
      <c r="F223" s="193">
        <v>6</v>
      </c>
      <c r="K223" s="176">
        <v>8</v>
      </c>
      <c r="M223" s="197">
        <v>3.05</v>
      </c>
      <c r="N223" s="198">
        <v>41822</v>
      </c>
      <c r="S223" s="176">
        <f>(AE223*BS223)/100</f>
        <v>9.893734907068243</v>
      </c>
      <c r="T223" s="198"/>
      <c r="U223" s="176">
        <v>16.2</v>
      </c>
      <c r="Y223" s="200">
        <f>(AE223*BU223)/100</f>
        <v>3.4009713743047083</v>
      </c>
      <c r="Z223" s="198"/>
      <c r="AA223" s="200"/>
      <c r="AB223" s="198"/>
      <c r="AC223" s="378">
        <f t="shared" si="3"/>
        <v>17.584567901234568</v>
      </c>
      <c r="AE223" s="176">
        <f>(M223/U223)*((100-CC223)/(100-9))*100</f>
        <v>19.323700990367659</v>
      </c>
      <c r="AF223" s="198">
        <v>41822</v>
      </c>
      <c r="AG223" s="176">
        <v>4.3</v>
      </c>
      <c r="AH223" s="196">
        <v>41927</v>
      </c>
      <c r="AI223" s="176">
        <v>135</v>
      </c>
      <c r="AM223" s="176">
        <v>71</v>
      </c>
      <c r="BG223" s="201">
        <v>55.1</v>
      </c>
      <c r="BI223" s="201">
        <v>4.7</v>
      </c>
      <c r="BK223" s="201">
        <v>0.8</v>
      </c>
      <c r="BM223" s="201">
        <v>26.6</v>
      </c>
      <c r="BO223" s="201">
        <v>14.3</v>
      </c>
      <c r="BQ223" s="201">
        <v>10.7</v>
      </c>
      <c r="BS223" s="201">
        <v>51.2</v>
      </c>
      <c r="BU223" s="201">
        <v>17.600000000000001</v>
      </c>
      <c r="BW223" s="201">
        <v>64.099999999999994</v>
      </c>
      <c r="BY223" s="178">
        <v>6.2999999999999972</v>
      </c>
      <c r="CC223" s="201">
        <v>6.6</v>
      </c>
      <c r="CD223" s="198">
        <v>41822</v>
      </c>
      <c r="CI223" s="174" t="s">
        <v>9349</v>
      </c>
      <c r="CL223" s="174">
        <v>5</v>
      </c>
    </row>
    <row r="224" spans="1:91">
      <c r="A224" s="191" t="s">
        <v>7759</v>
      </c>
      <c r="B224" s="192" t="s">
        <v>271</v>
      </c>
      <c r="C224" s="192" t="s">
        <v>8998</v>
      </c>
      <c r="D224" s="192" t="s">
        <v>8731</v>
      </c>
      <c r="E224" s="193">
        <v>232</v>
      </c>
      <c r="F224" s="193">
        <v>7</v>
      </c>
      <c r="K224" s="176">
        <v>8</v>
      </c>
      <c r="M224" s="197">
        <v>3.9</v>
      </c>
      <c r="N224" s="198">
        <v>41822</v>
      </c>
      <c r="S224" s="176">
        <f>(AE224*BS224)/100</f>
        <v>11.75873015873016</v>
      </c>
      <c r="T224" s="198"/>
      <c r="U224" s="176">
        <v>16.2</v>
      </c>
      <c r="Y224" s="200">
        <f>(AE224*BU224)/100</f>
        <v>4.629999999999999</v>
      </c>
      <c r="Z224" s="198"/>
      <c r="AA224" s="200"/>
      <c r="AB224" s="198"/>
      <c r="AC224" s="378">
        <f t="shared" si="3"/>
        <v>22.292592592592591</v>
      </c>
      <c r="AE224" s="176">
        <f>(M224/U224)*((100-CC224)/(100-9))*100</f>
        <v>24.497354497354497</v>
      </c>
      <c r="AF224" s="198">
        <v>41822</v>
      </c>
      <c r="AG224" s="176">
        <v>4</v>
      </c>
      <c r="AH224" s="196">
        <v>41927</v>
      </c>
      <c r="AI224" s="176">
        <v>125</v>
      </c>
      <c r="AM224" s="176">
        <v>85</v>
      </c>
      <c r="BG224" s="201">
        <v>0</v>
      </c>
      <c r="BI224" s="201">
        <v>4.5</v>
      </c>
      <c r="BK224" s="201">
        <v>1.5</v>
      </c>
      <c r="BM224" s="201">
        <v>60.2</v>
      </c>
      <c r="BO224" s="201">
        <v>21.6</v>
      </c>
      <c r="BQ224" s="201">
        <v>9.9</v>
      </c>
      <c r="BS224" s="201">
        <v>48</v>
      </c>
      <c r="BU224" s="201">
        <v>18.899999999999999</v>
      </c>
      <c r="BW224" s="201">
        <v>14.8</v>
      </c>
      <c r="BY224" s="178">
        <v>6.5999999999999943</v>
      </c>
      <c r="CC224" s="201">
        <v>7.4</v>
      </c>
      <c r="CD224" s="198">
        <v>41822</v>
      </c>
      <c r="CI224" s="174" t="s">
        <v>9373</v>
      </c>
      <c r="CL224" s="174">
        <v>1</v>
      </c>
    </row>
    <row r="225" spans="1:91">
      <c r="A225" s="191" t="s">
        <v>7748</v>
      </c>
      <c r="B225" s="192" t="s">
        <v>271</v>
      </c>
      <c r="C225" s="192" t="s">
        <v>8998</v>
      </c>
      <c r="D225" s="192" t="s">
        <v>8687</v>
      </c>
      <c r="E225" s="193">
        <v>232</v>
      </c>
      <c r="F225" s="193">
        <v>8</v>
      </c>
      <c r="K225" s="176">
        <v>9</v>
      </c>
      <c r="M225" s="197">
        <v>2.15</v>
      </c>
      <c r="N225" s="198">
        <v>41822</v>
      </c>
      <c r="S225" s="176">
        <f>(AE225*BS225)/100</f>
        <v>6.4156396689730038</v>
      </c>
      <c r="T225" s="198"/>
      <c r="U225" s="176">
        <v>16.2</v>
      </c>
      <c r="Y225" s="200">
        <f>(AE225*BU225)/100</f>
        <v>2.8544159544159551</v>
      </c>
      <c r="Z225" s="198"/>
      <c r="AA225" s="200"/>
      <c r="AB225" s="198"/>
      <c r="AC225" s="378">
        <f t="shared" si="3"/>
        <v>12.369135802469136</v>
      </c>
      <c r="AE225" s="176">
        <f>(M225/U225)*((100-CC225)/(100-9))*100</f>
        <v>13.592456925790261</v>
      </c>
      <c r="AF225" s="198">
        <v>41822</v>
      </c>
      <c r="AG225" s="176">
        <v>4</v>
      </c>
      <c r="AH225" s="196">
        <v>41927</v>
      </c>
      <c r="AI225" s="176">
        <v>90</v>
      </c>
      <c r="AM225" s="176">
        <v>90</v>
      </c>
      <c r="BG225" s="201">
        <v>48.9</v>
      </c>
      <c r="BI225" s="201">
        <v>4.2</v>
      </c>
      <c r="BK225" s="201">
        <v>1</v>
      </c>
      <c r="BM225" s="201">
        <v>30</v>
      </c>
      <c r="BO225" s="201">
        <v>15.8</v>
      </c>
      <c r="BQ225" s="201">
        <v>8.9</v>
      </c>
      <c r="BS225" s="201">
        <v>47.2</v>
      </c>
      <c r="BU225" s="201">
        <v>21</v>
      </c>
      <c r="BW225" s="201">
        <v>71.7</v>
      </c>
      <c r="BY225" s="178">
        <v>6.2000000000000028</v>
      </c>
      <c r="CC225" s="201">
        <v>6.8</v>
      </c>
      <c r="CD225" s="198">
        <v>41822</v>
      </c>
      <c r="CI225" s="174" t="s">
        <v>9349</v>
      </c>
      <c r="CL225" s="174">
        <v>9</v>
      </c>
    </row>
    <row r="226" spans="1:91">
      <c r="A226" s="191" t="s">
        <v>7672</v>
      </c>
      <c r="B226" s="192" t="s">
        <v>271</v>
      </c>
      <c r="C226" s="192" t="s">
        <v>8998</v>
      </c>
      <c r="D226" s="192" t="s">
        <v>8383</v>
      </c>
      <c r="E226" s="193">
        <v>232</v>
      </c>
      <c r="F226" s="193">
        <v>9</v>
      </c>
      <c r="K226" s="176">
        <v>8</v>
      </c>
      <c r="M226" s="197">
        <v>5.0999999999999996</v>
      </c>
      <c r="N226" s="198">
        <v>41822</v>
      </c>
      <c r="S226" s="176">
        <f>(AE226*BS226)/100</f>
        <v>15.9771978021978</v>
      </c>
      <c r="T226" s="198"/>
      <c r="U226" s="176">
        <v>16.2</v>
      </c>
      <c r="Y226" s="200">
        <f>(AE226*BU226)/100</f>
        <v>5.8421672771672766</v>
      </c>
      <c r="Z226" s="198"/>
      <c r="AA226" s="200"/>
      <c r="AB226" s="198"/>
      <c r="AC226" s="378">
        <f t="shared" si="3"/>
        <v>29.372222222222224</v>
      </c>
      <c r="AE226" s="176">
        <f>(M226/U226)*((100-CC226)/(100-9))*100</f>
        <v>32.277167277167273</v>
      </c>
      <c r="AF226" s="198">
        <v>41822</v>
      </c>
      <c r="AG226" s="176">
        <v>5</v>
      </c>
      <c r="AH226" s="196">
        <v>41927</v>
      </c>
      <c r="AI226" s="176">
        <v>155</v>
      </c>
      <c r="AM226" s="176">
        <v>84</v>
      </c>
      <c r="BG226" s="201">
        <v>1.7</v>
      </c>
      <c r="BI226" s="201">
        <v>4.7</v>
      </c>
      <c r="BK226" s="201">
        <v>1.6</v>
      </c>
      <c r="BM226" s="201">
        <v>66.2</v>
      </c>
      <c r="BO226" s="201">
        <v>21.4</v>
      </c>
      <c r="BQ226" s="201">
        <v>7.2</v>
      </c>
      <c r="BS226" s="201">
        <v>49.5</v>
      </c>
      <c r="BU226" s="201">
        <v>18.100000000000001</v>
      </c>
      <c r="BW226" s="201">
        <v>19.100000000000001</v>
      </c>
      <c r="BY226" s="178">
        <v>6.2000000000000028</v>
      </c>
      <c r="CC226" s="201">
        <v>6.7</v>
      </c>
      <c r="CD226" s="198">
        <v>41822</v>
      </c>
      <c r="CI226" s="174" t="s">
        <v>9355</v>
      </c>
      <c r="CL226" s="174">
        <v>3</v>
      </c>
    </row>
    <row r="227" spans="1:91">
      <c r="A227" s="191" t="s">
        <v>7767</v>
      </c>
      <c r="B227" s="192" t="s">
        <v>271</v>
      </c>
      <c r="C227" s="192" t="s">
        <v>8998</v>
      </c>
      <c r="D227" s="192" t="s">
        <v>8763</v>
      </c>
      <c r="E227" s="193">
        <v>232</v>
      </c>
      <c r="F227" s="193">
        <v>10</v>
      </c>
      <c r="K227" s="176">
        <v>9</v>
      </c>
      <c r="M227" s="197">
        <v>7.8</v>
      </c>
      <c r="N227" s="198">
        <v>41822</v>
      </c>
      <c r="S227" s="176">
        <f>(AE227*BS227)/100</f>
        <v>24.974444444444448</v>
      </c>
      <c r="T227" s="198"/>
      <c r="U227" s="176">
        <v>16.2</v>
      </c>
      <c r="Y227" s="200">
        <f>(AE227*BU227)/100</f>
        <v>8.7188888888888894</v>
      </c>
      <c r="Z227" s="198"/>
      <c r="AA227" s="200"/>
      <c r="AB227" s="198"/>
      <c r="AC227" s="378">
        <f t="shared" si="3"/>
        <v>44.825925925925922</v>
      </c>
      <c r="AE227" s="176">
        <f>(M227/U227)*((100-CC227)/(100-9))*100</f>
        <v>49.25925925925926</v>
      </c>
      <c r="AF227" s="198">
        <v>41822</v>
      </c>
      <c r="AG227" s="176">
        <v>4.4000000000000004</v>
      </c>
      <c r="AH227" s="196">
        <v>41927</v>
      </c>
      <c r="AI227" s="176">
        <v>150</v>
      </c>
      <c r="AM227" s="176">
        <v>77</v>
      </c>
      <c r="BG227" s="201">
        <v>0</v>
      </c>
      <c r="BI227" s="201">
        <v>4.4000000000000004</v>
      </c>
      <c r="BK227" s="201">
        <v>1.6</v>
      </c>
      <c r="BM227" s="201">
        <v>63</v>
      </c>
      <c r="BO227" s="201">
        <v>21.6</v>
      </c>
      <c r="BQ227" s="201">
        <v>7.5</v>
      </c>
      <c r="BS227" s="201">
        <v>50.7</v>
      </c>
      <c r="BU227" s="201">
        <v>17.7</v>
      </c>
      <c r="BW227" s="201">
        <v>8.6999999999999993</v>
      </c>
      <c r="BY227" s="178">
        <v>6.2000000000000028</v>
      </c>
      <c r="CC227" s="201">
        <v>6.9</v>
      </c>
      <c r="CD227" s="198">
        <v>41822</v>
      </c>
      <c r="CI227" s="174" t="s">
        <v>9358</v>
      </c>
      <c r="CL227" s="174">
        <v>1</v>
      </c>
    </row>
    <row r="228" spans="1:91">
      <c r="A228" s="191" t="s">
        <v>7731</v>
      </c>
      <c r="B228" s="192" t="s">
        <v>271</v>
      </c>
      <c r="C228" s="192" t="s">
        <v>8998</v>
      </c>
      <c r="D228" s="192" t="s">
        <v>8619</v>
      </c>
      <c r="E228" s="193">
        <v>232</v>
      </c>
      <c r="F228" s="193">
        <v>11</v>
      </c>
      <c r="K228" s="176">
        <v>9</v>
      </c>
      <c r="M228" s="197">
        <v>3.8</v>
      </c>
      <c r="N228" s="198">
        <v>41822</v>
      </c>
      <c r="S228" s="176">
        <f>(AE228*BS228)/100</f>
        <v>11.374017094017093</v>
      </c>
      <c r="T228" s="198"/>
      <c r="U228" s="176">
        <v>16.2</v>
      </c>
      <c r="Y228" s="200">
        <f>(AE228*BU228)/100</f>
        <v>4.7073137973137964</v>
      </c>
      <c r="Z228" s="198"/>
      <c r="AA228" s="200"/>
      <c r="AB228" s="198"/>
      <c r="AC228" s="378">
        <f t="shared" si="3"/>
        <v>21.744444444444444</v>
      </c>
      <c r="AE228" s="176">
        <f>(M228/U228)*((100-CC228)/(100-9))*100</f>
        <v>23.894993894993892</v>
      </c>
      <c r="AF228" s="198">
        <v>41822</v>
      </c>
      <c r="AG228" s="176">
        <v>4.7</v>
      </c>
      <c r="AH228" s="196">
        <v>41927</v>
      </c>
      <c r="AI228" s="176">
        <v>145</v>
      </c>
      <c r="AM228" s="176">
        <v>88</v>
      </c>
      <c r="BG228" s="201">
        <v>3</v>
      </c>
      <c r="BI228" s="201">
        <v>4.8</v>
      </c>
      <c r="BK228" s="201">
        <v>1.4</v>
      </c>
      <c r="BM228" s="201">
        <v>62.9</v>
      </c>
      <c r="BO228" s="201">
        <v>21.9</v>
      </c>
      <c r="BQ228" s="201">
        <v>9.1</v>
      </c>
      <c r="BS228" s="201">
        <v>47.6</v>
      </c>
      <c r="BU228" s="201">
        <v>19.7</v>
      </c>
      <c r="BW228" s="201">
        <v>15.6</v>
      </c>
      <c r="BY228" s="178">
        <v>6.7999999999999972</v>
      </c>
      <c r="CC228" s="201">
        <v>7.3</v>
      </c>
      <c r="CD228" s="198">
        <v>41822</v>
      </c>
      <c r="CI228" s="174" t="s">
        <v>9349</v>
      </c>
      <c r="CL228" s="174">
        <v>7</v>
      </c>
    </row>
    <row r="229" spans="1:91">
      <c r="A229" s="191" t="s">
        <v>7706</v>
      </c>
      <c r="B229" s="192" t="s">
        <v>271</v>
      </c>
      <c r="C229" s="192" t="s">
        <v>8998</v>
      </c>
      <c r="D229" s="192" t="s">
        <v>8519</v>
      </c>
      <c r="E229" s="193">
        <v>232</v>
      </c>
      <c r="F229" s="193">
        <v>12</v>
      </c>
      <c r="K229" s="176">
        <v>9</v>
      </c>
      <c r="M229" s="197">
        <v>5.55</v>
      </c>
      <c r="N229" s="198">
        <v>41822</v>
      </c>
      <c r="S229" s="176">
        <f>(AE229*BS229)/100</f>
        <v>17.120970695970694</v>
      </c>
      <c r="T229" s="198"/>
      <c r="U229" s="176">
        <v>16.2</v>
      </c>
      <c r="Y229" s="200">
        <f>(AE229*BU229)/100</f>
        <v>6.5122710622710631</v>
      </c>
      <c r="Z229" s="198"/>
      <c r="AA229" s="200"/>
      <c r="AB229" s="198"/>
      <c r="AC229" s="378">
        <f t="shared" si="3"/>
        <v>31.861111111111114</v>
      </c>
      <c r="AE229" s="176">
        <f>(M229/U229)*((100-CC229)/(100-9))*100</f>
        <v>35.012210012210012</v>
      </c>
      <c r="AF229" s="198">
        <v>41822</v>
      </c>
      <c r="AG229" s="176">
        <v>4.5</v>
      </c>
      <c r="AH229" s="196">
        <v>41927</v>
      </c>
      <c r="AI229" s="176">
        <v>150</v>
      </c>
      <c r="AM229" s="176">
        <v>85</v>
      </c>
      <c r="BG229" s="201">
        <v>0.8</v>
      </c>
      <c r="BI229" s="201">
        <v>4.4000000000000004</v>
      </c>
      <c r="BK229" s="201">
        <v>1.6</v>
      </c>
      <c r="BM229" s="201">
        <v>64.599999999999994</v>
      </c>
      <c r="BO229" s="201">
        <v>20.2</v>
      </c>
      <c r="BQ229" s="201">
        <v>7.8</v>
      </c>
      <c r="BS229" s="201">
        <v>48.9</v>
      </c>
      <c r="BU229" s="201">
        <v>18.600000000000001</v>
      </c>
      <c r="BW229" s="201">
        <v>15.9</v>
      </c>
      <c r="BY229" s="178">
        <v>6.5</v>
      </c>
      <c r="CC229" s="201">
        <v>7</v>
      </c>
      <c r="CD229" s="198">
        <v>41822</v>
      </c>
      <c r="CI229" s="174" t="s">
        <v>9349</v>
      </c>
      <c r="CL229" s="174">
        <v>4</v>
      </c>
    </row>
    <row r="230" spans="1:91">
      <c r="A230" s="191" t="s">
        <v>7622</v>
      </c>
      <c r="B230" s="192" t="s">
        <v>269</v>
      </c>
      <c r="C230" s="192" t="s">
        <v>417</v>
      </c>
      <c r="D230" s="192" t="s">
        <v>8181</v>
      </c>
      <c r="E230" s="193">
        <v>233</v>
      </c>
      <c r="F230" s="193">
        <v>1</v>
      </c>
      <c r="I230" s="184"/>
      <c r="K230" s="176">
        <v>8</v>
      </c>
      <c r="M230" s="197">
        <v>4.5999999999999996</v>
      </c>
      <c r="N230" s="198">
        <v>41822</v>
      </c>
      <c r="O230" s="179"/>
      <c r="S230" s="176">
        <f>(AE230*BS230)/100</f>
        <v>14.239780219780219</v>
      </c>
      <c r="T230" s="198"/>
      <c r="U230" s="176">
        <v>16.2</v>
      </c>
      <c r="Y230" s="200">
        <f>(AE230*BU230)/100</f>
        <v>5.9478917378917382</v>
      </c>
      <c r="Z230" s="198"/>
      <c r="AA230" s="200"/>
      <c r="AB230" s="198"/>
      <c r="AC230" s="378">
        <f t="shared" si="3"/>
        <v>26.662962962962965</v>
      </c>
      <c r="AE230" s="176">
        <f>(M230/U230)*((100-CC230)/(100-9))*100</f>
        <v>29.299959299959298</v>
      </c>
      <c r="AF230" s="198">
        <v>41822</v>
      </c>
      <c r="AG230" s="176">
        <v>4.9000000000000004</v>
      </c>
      <c r="AH230" s="196">
        <v>41927</v>
      </c>
      <c r="AI230" s="176">
        <v>130</v>
      </c>
      <c r="AM230" s="176">
        <v>84</v>
      </c>
      <c r="BG230" s="201">
        <v>51.9</v>
      </c>
      <c r="BI230" s="201">
        <v>4.5</v>
      </c>
      <c r="BK230" s="201">
        <v>0.7</v>
      </c>
      <c r="BM230" s="201">
        <v>23.1</v>
      </c>
      <c r="BO230" s="201">
        <v>15.4</v>
      </c>
      <c r="BQ230" s="201">
        <v>10.1</v>
      </c>
      <c r="BS230" s="201">
        <v>48.6</v>
      </c>
      <c r="BU230" s="201">
        <v>20.3</v>
      </c>
      <c r="BW230" s="201">
        <v>77.7</v>
      </c>
      <c r="BY230" s="178">
        <v>6.0999999999999943</v>
      </c>
      <c r="CC230" s="201">
        <v>6.1</v>
      </c>
      <c r="CD230" s="198">
        <v>41822</v>
      </c>
      <c r="CI230" s="174" t="s">
        <v>9345</v>
      </c>
      <c r="CL230" s="174">
        <v>5</v>
      </c>
    </row>
    <row r="231" spans="1:91">
      <c r="A231" s="191" t="s">
        <v>7810</v>
      </c>
      <c r="B231" s="192" t="s">
        <v>269</v>
      </c>
      <c r="C231" s="192" t="s">
        <v>417</v>
      </c>
      <c r="D231" s="192" t="s">
        <v>8933</v>
      </c>
      <c r="E231" s="193">
        <v>233</v>
      </c>
      <c r="F231" s="193">
        <v>2</v>
      </c>
      <c r="K231" s="176">
        <v>7</v>
      </c>
      <c r="M231" s="197">
        <v>5.5</v>
      </c>
      <c r="N231" s="198">
        <v>41822</v>
      </c>
      <c r="S231" s="176">
        <f>(AE231*BS231)/100</f>
        <v>18.147574955908286</v>
      </c>
      <c r="T231" s="198"/>
      <c r="U231" s="176">
        <v>16.2</v>
      </c>
      <c r="Y231" s="200">
        <f>(AE231*BU231)/100</f>
        <v>5.4063932980599638</v>
      </c>
      <c r="Z231" s="198"/>
      <c r="AA231" s="200"/>
      <c r="AB231" s="198"/>
      <c r="AC231" s="378">
        <f t="shared" si="3"/>
        <v>31.336419753086421</v>
      </c>
      <c r="AE231" s="176">
        <f>(M231/U231)*((100-CC231)/(100-9))*100</f>
        <v>34.435626102292765</v>
      </c>
      <c r="AF231" s="198">
        <v>41822</v>
      </c>
      <c r="AG231" s="176">
        <v>4.9000000000000004</v>
      </c>
      <c r="AH231" s="196">
        <v>41927</v>
      </c>
      <c r="AI231" s="176">
        <v>160</v>
      </c>
      <c r="AM231" s="176">
        <v>84</v>
      </c>
      <c r="BG231" s="201">
        <v>2.2999999999999998</v>
      </c>
      <c r="BI231" s="201">
        <v>4.7</v>
      </c>
      <c r="BK231" s="201">
        <v>1.4</v>
      </c>
      <c r="BM231" s="201">
        <v>62.4</v>
      </c>
      <c r="BO231" s="201">
        <v>20</v>
      </c>
      <c r="BQ231" s="201">
        <v>9.6999999999999993</v>
      </c>
      <c r="BS231" s="201">
        <v>52.7</v>
      </c>
      <c r="BU231" s="201">
        <v>15.7</v>
      </c>
      <c r="BW231" s="201">
        <v>12.9</v>
      </c>
      <c r="BY231" s="178">
        <v>7.2000000000000028</v>
      </c>
      <c r="CC231" s="201">
        <v>7.7</v>
      </c>
      <c r="CD231" s="198">
        <v>41822</v>
      </c>
      <c r="CI231" s="174" t="s">
        <v>9358</v>
      </c>
      <c r="CL231" s="174">
        <v>1</v>
      </c>
    </row>
    <row r="232" spans="1:91">
      <c r="A232" s="191" t="s">
        <v>7718</v>
      </c>
      <c r="B232" s="192" t="s">
        <v>269</v>
      </c>
      <c r="C232" s="192" t="s">
        <v>417</v>
      </c>
      <c r="D232" s="192" t="s">
        <v>8565</v>
      </c>
      <c r="E232" s="193">
        <v>233</v>
      </c>
      <c r="F232" s="193">
        <v>3</v>
      </c>
      <c r="K232" s="176">
        <v>8</v>
      </c>
      <c r="M232" s="197">
        <v>4.8</v>
      </c>
      <c r="N232" s="198">
        <v>41822</v>
      </c>
      <c r="S232" s="176">
        <f>(AE232*BS232)/100</f>
        <v>16.144045584045585</v>
      </c>
      <c r="T232" s="198"/>
      <c r="U232" s="176">
        <v>16.2</v>
      </c>
      <c r="Y232" s="200">
        <f>(AE232*BU232)/100</f>
        <v>4.7339682539682544</v>
      </c>
      <c r="Z232" s="198"/>
      <c r="AA232" s="200"/>
      <c r="AB232" s="198"/>
      <c r="AC232" s="378">
        <f t="shared" si="3"/>
        <v>27.614814814814814</v>
      </c>
      <c r="AE232" s="176">
        <f>(M232/U232)*((100-CC232)/(100-9))*100</f>
        <v>30.345950345950349</v>
      </c>
      <c r="AF232" s="198">
        <v>41822</v>
      </c>
      <c r="AG232" s="176">
        <v>4.5999999999999996</v>
      </c>
      <c r="AH232" s="196">
        <v>41927</v>
      </c>
      <c r="AI232" s="176">
        <v>145</v>
      </c>
      <c r="AM232" s="176">
        <v>78</v>
      </c>
      <c r="BG232" s="201">
        <v>0</v>
      </c>
      <c r="BI232" s="201">
        <v>4.7</v>
      </c>
      <c r="BK232" s="201">
        <v>1.5</v>
      </c>
      <c r="BM232" s="201">
        <v>61.3</v>
      </c>
      <c r="BO232" s="201">
        <v>19.7</v>
      </c>
      <c r="BQ232" s="201">
        <v>9.4</v>
      </c>
      <c r="BS232" s="201">
        <v>53.2</v>
      </c>
      <c r="BU232" s="201">
        <v>15.6</v>
      </c>
      <c r="BW232" s="201">
        <v>12.5</v>
      </c>
      <c r="BY232" s="178">
        <v>6.7000000000000028</v>
      </c>
      <c r="CC232" s="201">
        <v>6.8</v>
      </c>
      <c r="CD232" s="198">
        <v>41822</v>
      </c>
      <c r="CI232" s="174" t="s">
        <v>9375</v>
      </c>
      <c r="CL232" s="174">
        <v>3</v>
      </c>
    </row>
    <row r="233" spans="1:91">
      <c r="A233" s="191" t="s">
        <v>7782</v>
      </c>
      <c r="B233" s="192" t="s">
        <v>269</v>
      </c>
      <c r="C233" s="192" t="s">
        <v>417</v>
      </c>
      <c r="D233" s="192" t="s">
        <v>8821</v>
      </c>
      <c r="E233" s="193">
        <v>233</v>
      </c>
      <c r="F233" s="193">
        <v>4</v>
      </c>
      <c r="K233" s="176">
        <v>7</v>
      </c>
      <c r="M233" s="197">
        <v>5.6</v>
      </c>
      <c r="N233" s="198">
        <v>41822</v>
      </c>
      <c r="S233" s="176">
        <f>(AE233*BS233)/100</f>
        <v>18.32205128205128</v>
      </c>
      <c r="T233" s="198"/>
      <c r="U233" s="176">
        <v>16.2</v>
      </c>
      <c r="Y233" s="200">
        <f>(AE233*BU233)/100</f>
        <v>5.5457549857549857</v>
      </c>
      <c r="Z233" s="198"/>
      <c r="AA233" s="200"/>
      <c r="AB233" s="198"/>
      <c r="AC233" s="378">
        <f t="shared" si="3"/>
        <v>31.94074074074074</v>
      </c>
      <c r="AE233" s="176">
        <f>(M233/U233)*((100-CC233)/(100-9))*100</f>
        <v>35.099715099715098</v>
      </c>
      <c r="AF233" s="198">
        <v>41822</v>
      </c>
      <c r="AG233" s="176">
        <v>4.9000000000000004</v>
      </c>
      <c r="AH233" s="196">
        <v>41927</v>
      </c>
      <c r="AI233" s="176">
        <v>160</v>
      </c>
      <c r="AM233" s="176">
        <v>82</v>
      </c>
      <c r="BG233" s="201">
        <v>0</v>
      </c>
      <c r="BI233" s="201">
        <v>4.8</v>
      </c>
      <c r="BK233" s="201">
        <v>1.6</v>
      </c>
      <c r="BM233" s="201">
        <v>65.2</v>
      </c>
      <c r="BO233" s="201">
        <v>20.8</v>
      </c>
      <c r="BQ233" s="201">
        <v>7.2</v>
      </c>
      <c r="BS233" s="201">
        <v>52.2</v>
      </c>
      <c r="BU233" s="201">
        <v>15.8</v>
      </c>
      <c r="BW233" s="201">
        <v>9.5</v>
      </c>
      <c r="BY233" s="178">
        <v>7.0999999999999943</v>
      </c>
      <c r="CC233" s="201">
        <v>7.6</v>
      </c>
      <c r="CD233" s="198">
        <v>41822</v>
      </c>
      <c r="CI233" s="174" t="s">
        <v>9383</v>
      </c>
      <c r="CL233" s="174">
        <v>1</v>
      </c>
    </row>
    <row r="234" spans="1:91">
      <c r="A234" s="191" t="s">
        <v>7680</v>
      </c>
      <c r="B234" s="192" t="s">
        <v>269</v>
      </c>
      <c r="C234" s="192" t="s">
        <v>417</v>
      </c>
      <c r="D234" s="192" t="s">
        <v>8413</v>
      </c>
      <c r="E234" s="193">
        <v>233</v>
      </c>
      <c r="F234" s="193">
        <v>5</v>
      </c>
      <c r="K234" s="176">
        <v>8</v>
      </c>
      <c r="M234" s="197">
        <v>3.05</v>
      </c>
      <c r="N234" s="198">
        <v>41822</v>
      </c>
      <c r="S234" s="176">
        <f>(AE234*BS234)/100</f>
        <v>9.4391727716727711</v>
      </c>
      <c r="T234" s="198"/>
      <c r="U234" s="176">
        <v>16.2</v>
      </c>
      <c r="Y234" s="200">
        <f>(AE234*BU234)/100</f>
        <v>3.3587240537240537</v>
      </c>
      <c r="Z234" s="198"/>
      <c r="AA234" s="200"/>
      <c r="AB234" s="198"/>
      <c r="AC234" s="378">
        <f t="shared" si="3"/>
        <v>17.56574074074074</v>
      </c>
      <c r="AE234" s="176">
        <f>(M234/U234)*((100-CC234)/(100-9))*100</f>
        <v>19.303011803011803</v>
      </c>
      <c r="AF234" s="198">
        <v>41822</v>
      </c>
      <c r="AG234" s="176">
        <v>4.5999999999999996</v>
      </c>
      <c r="AH234" s="196">
        <v>41927</v>
      </c>
      <c r="AI234" s="176">
        <v>130</v>
      </c>
      <c r="AM234" s="176">
        <v>81</v>
      </c>
      <c r="BG234" s="201">
        <v>0</v>
      </c>
      <c r="BI234" s="201">
        <v>4.9000000000000004</v>
      </c>
      <c r="BK234" s="201">
        <v>1.5</v>
      </c>
      <c r="BM234" s="201">
        <v>57.3</v>
      </c>
      <c r="BO234" s="201">
        <v>21.6</v>
      </c>
      <c r="BQ234" s="201">
        <v>10.3</v>
      </c>
      <c r="BS234" s="201">
        <v>48.9</v>
      </c>
      <c r="BU234" s="201">
        <v>17.399999999999999</v>
      </c>
      <c r="BW234" s="201">
        <v>12</v>
      </c>
      <c r="BY234" s="178">
        <v>6.7000000000000028</v>
      </c>
      <c r="CC234" s="201">
        <v>6.7</v>
      </c>
      <c r="CD234" s="198">
        <v>41822</v>
      </c>
      <c r="CI234" s="174" t="s">
        <v>9353</v>
      </c>
      <c r="CL234" s="174">
        <v>2</v>
      </c>
    </row>
    <row r="235" spans="1:91">
      <c r="A235" s="191" t="s">
        <v>7636</v>
      </c>
      <c r="B235" s="192" t="s">
        <v>269</v>
      </c>
      <c r="C235" s="192" t="s">
        <v>417</v>
      </c>
      <c r="D235" s="192" t="s">
        <v>8237</v>
      </c>
      <c r="E235" s="193">
        <v>233</v>
      </c>
      <c r="F235" s="193">
        <v>6</v>
      </c>
      <c r="K235" s="176">
        <v>8</v>
      </c>
      <c r="M235" s="197">
        <v>2.5</v>
      </c>
      <c r="N235" s="198">
        <v>41822</v>
      </c>
      <c r="S235" s="176">
        <f>(AE235*BS235)/100</f>
        <v>7.2393162393162411</v>
      </c>
      <c r="T235" s="198"/>
      <c r="U235" s="176">
        <v>16.2</v>
      </c>
      <c r="Y235" s="200">
        <f>(AE235*BU235)/100</f>
        <v>3.1652421652421658</v>
      </c>
      <c r="Z235" s="198"/>
      <c r="AA235" s="200"/>
      <c r="AB235" s="198"/>
      <c r="AC235" s="378">
        <f t="shared" si="3"/>
        <v>14.259259259259261</v>
      </c>
      <c r="AE235" s="176">
        <f>(M235/U235)*((100-CC235)/(100-9))*100</f>
        <v>15.669515669515674</v>
      </c>
      <c r="AF235" s="198">
        <v>41822</v>
      </c>
      <c r="AG235" s="176">
        <v>4.9000000000000004</v>
      </c>
      <c r="AH235" s="196">
        <v>41927</v>
      </c>
      <c r="AI235" s="176">
        <v>125</v>
      </c>
      <c r="AM235" s="176">
        <v>85</v>
      </c>
      <c r="BG235" s="201">
        <v>14</v>
      </c>
      <c r="BI235" s="201">
        <v>4.5999999999999996</v>
      </c>
      <c r="BK235" s="201">
        <v>1.3</v>
      </c>
      <c r="BM235" s="201">
        <v>53.1</v>
      </c>
      <c r="BO235" s="201">
        <v>17.100000000000001</v>
      </c>
      <c r="BQ235" s="201">
        <v>9.6</v>
      </c>
      <c r="BS235" s="201">
        <v>46.2</v>
      </c>
      <c r="BU235" s="201">
        <v>20.2</v>
      </c>
      <c r="BW235" s="201">
        <v>58.2</v>
      </c>
      <c r="BY235" s="178">
        <v>7.2999999999999972</v>
      </c>
      <c r="CC235" s="201">
        <v>7.6</v>
      </c>
      <c r="CD235" s="198">
        <v>41822</v>
      </c>
      <c r="CI235" s="174" t="s">
        <v>9373</v>
      </c>
      <c r="CL235" s="174">
        <v>7</v>
      </c>
    </row>
    <row r="236" spans="1:91">
      <c r="A236" s="191" t="s">
        <v>7680</v>
      </c>
      <c r="B236" s="192" t="s">
        <v>271</v>
      </c>
      <c r="C236" s="192" t="s">
        <v>8998</v>
      </c>
      <c r="D236" s="192" t="s">
        <v>8415</v>
      </c>
      <c r="E236" s="193">
        <v>233</v>
      </c>
      <c r="F236" s="193">
        <v>7</v>
      </c>
      <c r="K236" s="176">
        <v>8</v>
      </c>
      <c r="M236" s="197">
        <v>5.5</v>
      </c>
      <c r="N236" s="198">
        <v>41822</v>
      </c>
      <c r="S236" s="176">
        <f>(AE236*BS236)/100</f>
        <v>17.162596662596663</v>
      </c>
      <c r="T236" s="198"/>
      <c r="U236" s="176">
        <v>16.2</v>
      </c>
      <c r="Y236" s="200">
        <f>(AE236*BU236)/100</f>
        <v>5.8255155338488667</v>
      </c>
      <c r="Z236" s="198"/>
      <c r="AA236" s="200"/>
      <c r="AB236" s="198"/>
      <c r="AC236" s="378">
        <f t="shared" si="3"/>
        <v>31.743827160493829</v>
      </c>
      <c r="AE236" s="176">
        <f>(M236/U236)*((100-CC236)/(100-9))*100</f>
        <v>34.883326549993214</v>
      </c>
      <c r="AF236" s="198">
        <v>41822</v>
      </c>
      <c r="AG236" s="176">
        <v>4.7</v>
      </c>
      <c r="AH236" s="196">
        <v>41927</v>
      </c>
      <c r="AI236" s="176">
        <v>130</v>
      </c>
      <c r="AM236" s="176">
        <v>84</v>
      </c>
      <c r="BG236" s="201">
        <v>1.1000000000000001</v>
      </c>
      <c r="BI236" s="201">
        <v>4.9000000000000004</v>
      </c>
      <c r="BK236" s="201">
        <v>1.6</v>
      </c>
      <c r="BM236" s="201">
        <v>61.1</v>
      </c>
      <c r="BO236" s="201">
        <v>23.3</v>
      </c>
      <c r="BQ236" s="201">
        <v>8.8000000000000007</v>
      </c>
      <c r="BS236" s="201">
        <v>49.2</v>
      </c>
      <c r="BU236" s="201">
        <v>16.7</v>
      </c>
      <c r="BW236" s="201">
        <v>14.8</v>
      </c>
      <c r="BY236" s="178">
        <v>6.2000000000000028</v>
      </c>
      <c r="CC236" s="201">
        <v>6.5</v>
      </c>
      <c r="CD236" s="198">
        <v>41822</v>
      </c>
      <c r="CI236" s="174" t="s">
        <v>9349</v>
      </c>
      <c r="CL236" s="174">
        <v>2</v>
      </c>
    </row>
    <row r="237" spans="1:91">
      <c r="A237" s="191" t="s">
        <v>7733</v>
      </c>
      <c r="B237" s="192" t="s">
        <v>271</v>
      </c>
      <c r="C237" s="192" t="s">
        <v>8998</v>
      </c>
      <c r="D237" s="192" t="s">
        <v>8627</v>
      </c>
      <c r="E237" s="193">
        <v>233</v>
      </c>
      <c r="F237" s="193">
        <v>8</v>
      </c>
      <c r="K237" s="176">
        <v>9</v>
      </c>
      <c r="M237" s="197">
        <v>4.7</v>
      </c>
      <c r="N237" s="198">
        <v>41822</v>
      </c>
      <c r="S237" s="176">
        <f>(AE237*BS237)/100</f>
        <v>14.157450820784154</v>
      </c>
      <c r="T237" s="198"/>
      <c r="U237" s="176">
        <v>16.2</v>
      </c>
      <c r="Y237" s="200">
        <f>(AE237*BU237)/100</f>
        <v>5.7459110025776692</v>
      </c>
      <c r="Z237" s="198"/>
      <c r="AA237" s="200"/>
      <c r="AB237" s="198"/>
      <c r="AC237" s="378">
        <f t="shared" si="3"/>
        <v>26.95246913580247</v>
      </c>
      <c r="AE237" s="176">
        <f>(M237/U237)*((100-CC237)/(100-9))*100</f>
        <v>29.618097951431288</v>
      </c>
      <c r="AF237" s="198">
        <v>41822</v>
      </c>
      <c r="AG237" s="176">
        <v>4.5</v>
      </c>
      <c r="AH237" s="196">
        <v>41927</v>
      </c>
      <c r="AI237" s="176">
        <v>130</v>
      </c>
      <c r="AM237" s="176">
        <v>88</v>
      </c>
      <c r="BG237" s="201">
        <v>4.5</v>
      </c>
      <c r="BI237" s="201">
        <v>4.0999999999999996</v>
      </c>
      <c r="BK237" s="201">
        <v>1.7</v>
      </c>
      <c r="BM237" s="201">
        <v>65.5</v>
      </c>
      <c r="BO237" s="201">
        <v>19.399999999999999</v>
      </c>
      <c r="BQ237" s="201">
        <v>8.1999999999999993</v>
      </c>
      <c r="BS237" s="201">
        <v>47.8</v>
      </c>
      <c r="BU237" s="201">
        <v>19.399999999999999</v>
      </c>
      <c r="BW237" s="201">
        <v>10.8</v>
      </c>
      <c r="BY237" s="178">
        <v>6.5</v>
      </c>
      <c r="CC237" s="201">
        <v>7.1</v>
      </c>
      <c r="CD237" s="198">
        <v>41822</v>
      </c>
      <c r="CI237" s="174" t="s">
        <v>9373</v>
      </c>
      <c r="CL237" s="174">
        <v>7</v>
      </c>
    </row>
    <row r="238" spans="1:91" s="181" customFormat="1">
      <c r="A238" s="191" t="s">
        <v>7802</v>
      </c>
      <c r="B238" s="192" t="s">
        <v>271</v>
      </c>
      <c r="C238" s="192" t="s">
        <v>8998</v>
      </c>
      <c r="D238" s="192" t="s">
        <v>8903</v>
      </c>
      <c r="E238" s="193">
        <v>233</v>
      </c>
      <c r="F238" s="193">
        <v>9</v>
      </c>
      <c r="G238" s="193"/>
      <c r="H238" s="193"/>
      <c r="I238" s="195"/>
      <c r="J238" s="195"/>
      <c r="K238" s="176">
        <v>8</v>
      </c>
      <c r="L238" s="196"/>
      <c r="M238" s="197">
        <v>7.1</v>
      </c>
      <c r="N238" s="198">
        <v>41822</v>
      </c>
      <c r="O238" s="180"/>
      <c r="P238" s="199"/>
      <c r="Q238" s="180"/>
      <c r="R238" s="199"/>
      <c r="S238" s="176">
        <f>(AE238*BS238)/100</f>
        <v>23.231332926332925</v>
      </c>
      <c r="T238" s="198"/>
      <c r="U238" s="176">
        <v>16.2</v>
      </c>
      <c r="V238" s="199"/>
      <c r="W238" s="180"/>
      <c r="X238" s="199"/>
      <c r="Y238" s="200">
        <f>(AE238*BU238)/100</f>
        <v>7.9534737484737468</v>
      </c>
      <c r="Z238" s="198"/>
      <c r="AA238" s="200"/>
      <c r="AB238" s="198"/>
      <c r="AC238" s="378">
        <f t="shared" si="3"/>
        <v>40.890740740740739</v>
      </c>
      <c r="AD238" s="196"/>
      <c r="AE238" s="176">
        <f>(M238/U238)*((100-CC238)/(100-9))*100</f>
        <v>44.93487993487993</v>
      </c>
      <c r="AF238" s="198">
        <v>41822</v>
      </c>
      <c r="AG238" s="176">
        <v>5.4</v>
      </c>
      <c r="AH238" s="196">
        <v>41927</v>
      </c>
      <c r="AI238" s="176">
        <v>160</v>
      </c>
      <c r="AJ238" s="196"/>
      <c r="AK238" s="180"/>
      <c r="AL238" s="199"/>
      <c r="AM238" s="176">
        <v>82</v>
      </c>
      <c r="AN238" s="199"/>
      <c r="AO238" s="180"/>
      <c r="AP238" s="180"/>
      <c r="AQ238" s="180"/>
      <c r="AR238" s="180"/>
      <c r="AS238" s="180"/>
      <c r="AT238" s="180"/>
      <c r="AU238" s="180"/>
      <c r="AV238" s="180"/>
      <c r="AW238" s="180"/>
      <c r="AX238" s="180"/>
      <c r="AY238" s="180"/>
      <c r="AZ238" s="180"/>
      <c r="BA238" s="180"/>
      <c r="BB238" s="180"/>
      <c r="BC238" s="180"/>
      <c r="BD238" s="180"/>
      <c r="BE238" s="179"/>
      <c r="BF238" s="179"/>
      <c r="BG238" s="201">
        <v>0</v>
      </c>
      <c r="BH238" s="178"/>
      <c r="BI238" s="201">
        <v>4.5999999999999996</v>
      </c>
      <c r="BJ238" s="178"/>
      <c r="BK238" s="201">
        <v>1.6</v>
      </c>
      <c r="BL238" s="178"/>
      <c r="BM238" s="201">
        <v>61.9</v>
      </c>
      <c r="BN238" s="178"/>
      <c r="BO238" s="201">
        <v>21.4</v>
      </c>
      <c r="BP238" s="178"/>
      <c r="BQ238" s="201">
        <v>9.1</v>
      </c>
      <c r="BR238" s="178"/>
      <c r="BS238" s="201">
        <v>51.7</v>
      </c>
      <c r="BT238" s="178"/>
      <c r="BU238" s="201">
        <v>17.7</v>
      </c>
      <c r="BV238" s="178"/>
      <c r="BW238" s="201">
        <v>11.9</v>
      </c>
      <c r="BX238" s="178"/>
      <c r="BY238" s="178">
        <v>6.5</v>
      </c>
      <c r="BZ238" s="178"/>
      <c r="CA238" s="179"/>
      <c r="CB238" s="179"/>
      <c r="CC238" s="201">
        <v>6.7</v>
      </c>
      <c r="CD238" s="198">
        <v>41822</v>
      </c>
      <c r="CE238" s="178"/>
      <c r="CF238" s="178"/>
      <c r="CG238" s="179"/>
      <c r="CH238" s="179"/>
      <c r="CI238" s="174" t="s">
        <v>9358</v>
      </c>
      <c r="CJ238" s="178"/>
      <c r="CK238" s="178"/>
      <c r="CL238" s="174">
        <v>1</v>
      </c>
      <c r="CM238" s="174"/>
    </row>
    <row r="239" spans="1:91" s="181" customFormat="1">
      <c r="A239" s="191" t="s">
        <v>7778</v>
      </c>
      <c r="B239" s="192" t="s">
        <v>271</v>
      </c>
      <c r="C239" s="192" t="s">
        <v>8998</v>
      </c>
      <c r="D239" s="192" t="s">
        <v>8807</v>
      </c>
      <c r="E239" s="193">
        <v>233</v>
      </c>
      <c r="F239" s="193">
        <v>10</v>
      </c>
      <c r="G239" s="193"/>
      <c r="H239" s="193"/>
      <c r="I239" s="195"/>
      <c r="J239" s="195"/>
      <c r="K239" s="176">
        <v>9</v>
      </c>
      <c r="L239" s="196"/>
      <c r="M239" s="197">
        <v>7.25</v>
      </c>
      <c r="N239" s="198">
        <v>41822</v>
      </c>
      <c r="O239" s="180"/>
      <c r="P239" s="199"/>
      <c r="Q239" s="180"/>
      <c r="R239" s="199"/>
      <c r="S239" s="176">
        <f>(AE239*BS239)/100</f>
        <v>22.952136752136752</v>
      </c>
      <c r="T239" s="198"/>
      <c r="U239" s="176">
        <v>16.2</v>
      </c>
      <c r="V239" s="199"/>
      <c r="W239" s="180"/>
      <c r="X239" s="199"/>
      <c r="Y239" s="200">
        <f>(AE239*BU239)/100</f>
        <v>8.242731651064986</v>
      </c>
      <c r="Z239" s="198"/>
      <c r="AA239" s="200"/>
      <c r="AB239" s="198"/>
      <c r="AC239" s="378">
        <f t="shared" si="3"/>
        <v>41.441358024691361</v>
      </c>
      <c r="AD239" s="196"/>
      <c r="AE239" s="176">
        <f>(M239/U239)*((100-CC239)/(100-9))*100</f>
        <v>45.53995387328721</v>
      </c>
      <c r="AF239" s="198">
        <v>41822</v>
      </c>
      <c r="AG239" s="176">
        <v>4.5999999999999996</v>
      </c>
      <c r="AH239" s="196">
        <v>41927</v>
      </c>
      <c r="AI239" s="176">
        <v>160</v>
      </c>
      <c r="AJ239" s="196"/>
      <c r="AK239" s="180"/>
      <c r="AL239" s="199"/>
      <c r="AM239" s="176">
        <v>86</v>
      </c>
      <c r="AN239" s="199"/>
      <c r="AO239" s="180"/>
      <c r="AP239" s="180"/>
      <c r="AQ239" s="180"/>
      <c r="AR239" s="180"/>
      <c r="AS239" s="180"/>
      <c r="AT239" s="180"/>
      <c r="AU239" s="180"/>
      <c r="AV239" s="180"/>
      <c r="AW239" s="180"/>
      <c r="AX239" s="180"/>
      <c r="AY239" s="180"/>
      <c r="AZ239" s="180"/>
      <c r="BA239" s="180"/>
      <c r="BB239" s="180"/>
      <c r="BC239" s="180"/>
      <c r="BD239" s="180"/>
      <c r="BE239" s="179"/>
      <c r="BF239" s="179"/>
      <c r="BG239" s="201">
        <v>0</v>
      </c>
      <c r="BH239" s="178"/>
      <c r="BI239" s="201">
        <v>4.4000000000000004</v>
      </c>
      <c r="BJ239" s="178"/>
      <c r="BK239" s="201">
        <v>1.6</v>
      </c>
      <c r="BL239" s="178"/>
      <c r="BM239" s="201">
        <v>67.2</v>
      </c>
      <c r="BN239" s="178"/>
      <c r="BO239" s="201">
        <v>20</v>
      </c>
      <c r="BP239" s="178"/>
      <c r="BQ239" s="201">
        <v>8.1</v>
      </c>
      <c r="BR239" s="178"/>
      <c r="BS239" s="201">
        <v>50.4</v>
      </c>
      <c r="BT239" s="178"/>
      <c r="BU239" s="201">
        <v>18.100000000000001</v>
      </c>
      <c r="BV239" s="178"/>
      <c r="BW239" s="201">
        <v>17.2</v>
      </c>
      <c r="BX239" s="178"/>
      <c r="BY239" s="178">
        <v>6.4000000000000057</v>
      </c>
      <c r="BZ239" s="178"/>
      <c r="CA239" s="179"/>
      <c r="CB239" s="179"/>
      <c r="CC239" s="201">
        <v>7.4</v>
      </c>
      <c r="CD239" s="198">
        <v>41822</v>
      </c>
      <c r="CE239" s="178"/>
      <c r="CF239" s="178"/>
      <c r="CG239" s="179"/>
      <c r="CH239" s="179"/>
      <c r="CI239" s="174" t="s">
        <v>9347</v>
      </c>
      <c r="CJ239" s="178"/>
      <c r="CK239" s="178"/>
      <c r="CL239" s="174">
        <v>1</v>
      </c>
      <c r="CM239" s="174"/>
    </row>
    <row r="240" spans="1:91" s="181" customFormat="1">
      <c r="A240" s="191" t="s">
        <v>7738</v>
      </c>
      <c r="B240" s="192" t="s">
        <v>271</v>
      </c>
      <c r="C240" s="192" t="s">
        <v>8998</v>
      </c>
      <c r="D240" s="192" t="s">
        <v>8647</v>
      </c>
      <c r="E240" s="193">
        <v>233</v>
      </c>
      <c r="F240" s="193">
        <v>11</v>
      </c>
      <c r="G240" s="193"/>
      <c r="H240" s="193"/>
      <c r="I240" s="195"/>
      <c r="J240" s="195"/>
      <c r="K240" s="176">
        <v>9</v>
      </c>
      <c r="L240" s="196"/>
      <c r="M240" s="197">
        <v>7.45</v>
      </c>
      <c r="N240" s="198">
        <v>41822</v>
      </c>
      <c r="O240" s="180"/>
      <c r="P240" s="199"/>
      <c r="Q240" s="180"/>
      <c r="R240" s="199"/>
      <c r="S240" s="176">
        <f>(AE240*BS240)/100</f>
        <v>23.222653642653651</v>
      </c>
      <c r="T240" s="198"/>
      <c r="U240" s="176">
        <v>16.2</v>
      </c>
      <c r="V240" s="199"/>
      <c r="W240" s="180"/>
      <c r="X240" s="199"/>
      <c r="Y240" s="200">
        <f>(AE240*BU240)/100</f>
        <v>8.4960927960927979</v>
      </c>
      <c r="Z240" s="198"/>
      <c r="AA240" s="200"/>
      <c r="AB240" s="198"/>
      <c r="AC240" s="378">
        <f t="shared" si="3"/>
        <v>42.952469135802474</v>
      </c>
      <c r="AD240" s="196"/>
      <c r="AE240" s="176">
        <f>(M240/U240)*((100-CC240)/(100-9))*100</f>
        <v>47.200515533848879</v>
      </c>
      <c r="AF240" s="198">
        <v>41822</v>
      </c>
      <c r="AG240" s="176">
        <v>4.7</v>
      </c>
      <c r="AH240" s="196">
        <v>41927</v>
      </c>
      <c r="AI240" s="176">
        <v>145</v>
      </c>
      <c r="AJ240" s="196"/>
      <c r="AK240" s="180"/>
      <c r="AL240" s="199"/>
      <c r="AM240" s="176">
        <v>86</v>
      </c>
      <c r="AN240" s="199"/>
      <c r="AO240" s="180"/>
      <c r="AP240" s="180"/>
      <c r="AQ240" s="180"/>
      <c r="AR240" s="180"/>
      <c r="AS240" s="180"/>
      <c r="AT240" s="180"/>
      <c r="AU240" s="180"/>
      <c r="AV240" s="180"/>
      <c r="AW240" s="180"/>
      <c r="AX240" s="180"/>
      <c r="AY240" s="180"/>
      <c r="AZ240" s="180"/>
      <c r="BA240" s="180"/>
      <c r="BB240" s="180"/>
      <c r="BC240" s="180"/>
      <c r="BD240" s="180"/>
      <c r="BE240" s="179"/>
      <c r="BF240" s="179"/>
      <c r="BG240" s="201">
        <v>1.5</v>
      </c>
      <c r="BH240" s="178"/>
      <c r="BI240" s="201">
        <v>4.7</v>
      </c>
      <c r="BJ240" s="178"/>
      <c r="BK240" s="201">
        <v>1.4</v>
      </c>
      <c r="BL240" s="178"/>
      <c r="BM240" s="201">
        <v>62.3</v>
      </c>
      <c r="BN240" s="178"/>
      <c r="BO240" s="201">
        <v>22.1</v>
      </c>
      <c r="BP240" s="178"/>
      <c r="BQ240" s="201">
        <v>9.1</v>
      </c>
      <c r="BR240" s="178"/>
      <c r="BS240" s="201">
        <v>49.2</v>
      </c>
      <c r="BT240" s="178"/>
      <c r="BU240" s="201">
        <v>18</v>
      </c>
      <c r="BV240" s="178"/>
      <c r="BW240" s="201">
        <v>16.100000000000001</v>
      </c>
      <c r="BX240" s="178"/>
      <c r="BY240" s="178">
        <v>6.0999999999999943</v>
      </c>
      <c r="BZ240" s="178"/>
      <c r="CA240" s="179"/>
      <c r="CB240" s="179"/>
      <c r="CC240" s="201">
        <v>6.6</v>
      </c>
      <c r="CD240" s="198">
        <v>41822</v>
      </c>
      <c r="CE240" s="178"/>
      <c r="CF240" s="178"/>
      <c r="CG240" s="179"/>
      <c r="CH240" s="179"/>
      <c r="CI240" s="174" t="s">
        <v>9355</v>
      </c>
      <c r="CJ240" s="178"/>
      <c r="CK240" s="178"/>
      <c r="CL240" s="174">
        <v>4</v>
      </c>
      <c r="CM240" s="174"/>
    </row>
    <row r="241" spans="1:91" s="181" customFormat="1">
      <c r="A241" s="191" t="s">
        <v>7621</v>
      </c>
      <c r="B241" s="192" t="s">
        <v>271</v>
      </c>
      <c r="C241" s="192" t="s">
        <v>8998</v>
      </c>
      <c r="D241" s="192" t="s">
        <v>8179</v>
      </c>
      <c r="E241" s="193">
        <v>233</v>
      </c>
      <c r="F241" s="193">
        <v>12</v>
      </c>
      <c r="G241" s="193"/>
      <c r="H241" s="193"/>
      <c r="I241" s="184"/>
      <c r="J241" s="195"/>
      <c r="K241" s="176">
        <v>9</v>
      </c>
      <c r="L241" s="196"/>
      <c r="M241" s="197">
        <v>5.15</v>
      </c>
      <c r="N241" s="198">
        <v>41822</v>
      </c>
      <c r="O241" s="179"/>
      <c r="P241" s="199"/>
      <c r="Q241" s="180"/>
      <c r="R241" s="199"/>
      <c r="S241" s="176">
        <f>(AE241*BS241)/100</f>
        <v>15.965314407814407</v>
      </c>
      <c r="T241" s="198"/>
      <c r="U241" s="176">
        <v>16.2</v>
      </c>
      <c r="V241" s="199"/>
      <c r="W241" s="180"/>
      <c r="X241" s="199"/>
      <c r="Y241" s="200">
        <f>(AE241*BU241)/100</f>
        <v>6.3796489621489627</v>
      </c>
      <c r="Z241" s="198"/>
      <c r="AA241" s="200"/>
      <c r="AB241" s="198"/>
      <c r="AC241" s="378">
        <f t="shared" si="3"/>
        <v>29.469444444444449</v>
      </c>
      <c r="AD241" s="196"/>
      <c r="AE241" s="176">
        <f>(M241/U241)*((100-CC241)/(100-9))*100</f>
        <v>32.384004884004888</v>
      </c>
      <c r="AF241" s="198">
        <v>41822</v>
      </c>
      <c r="AG241" s="176">
        <v>4.9000000000000004</v>
      </c>
      <c r="AH241" s="196">
        <v>41927</v>
      </c>
      <c r="AI241" s="176">
        <v>175</v>
      </c>
      <c r="AJ241" s="196"/>
      <c r="AK241" s="180"/>
      <c r="AL241" s="199"/>
      <c r="AM241" s="176">
        <v>94</v>
      </c>
      <c r="AN241" s="199"/>
      <c r="AO241" s="180"/>
      <c r="AP241" s="180"/>
      <c r="AQ241" s="180"/>
      <c r="AR241" s="180"/>
      <c r="AS241" s="180"/>
      <c r="AT241" s="180"/>
      <c r="AU241" s="180"/>
      <c r="AV241" s="180"/>
      <c r="AW241" s="180"/>
      <c r="AX241" s="180"/>
      <c r="AY241" s="180"/>
      <c r="AZ241" s="180"/>
      <c r="BA241" s="180"/>
      <c r="BB241" s="180"/>
      <c r="BC241" s="180"/>
      <c r="BD241" s="180"/>
      <c r="BE241" s="179"/>
      <c r="BF241" s="179"/>
      <c r="BG241" s="201">
        <v>53.9</v>
      </c>
      <c r="BH241" s="178"/>
      <c r="BI241" s="201">
        <v>4.5</v>
      </c>
      <c r="BJ241" s="178"/>
      <c r="BK241" s="201">
        <v>0.8</v>
      </c>
      <c r="BL241" s="178"/>
      <c r="BM241" s="201">
        <v>21.2</v>
      </c>
      <c r="BN241" s="178"/>
      <c r="BO241" s="201">
        <v>15.6</v>
      </c>
      <c r="BP241" s="178"/>
      <c r="BQ241" s="201">
        <v>8.6</v>
      </c>
      <c r="BR241" s="178"/>
      <c r="BS241" s="201">
        <v>49.3</v>
      </c>
      <c r="BT241" s="178"/>
      <c r="BU241" s="201">
        <v>19.7</v>
      </c>
      <c r="BV241" s="178"/>
      <c r="BW241" s="201">
        <v>63.8</v>
      </c>
      <c r="BX241" s="178"/>
      <c r="BY241" s="178">
        <v>6.4000000000000057</v>
      </c>
      <c r="BZ241" s="178"/>
      <c r="CA241" s="179"/>
      <c r="CB241" s="179"/>
      <c r="CC241" s="201">
        <v>7.3</v>
      </c>
      <c r="CD241" s="198">
        <v>41822</v>
      </c>
      <c r="CE241" s="178"/>
      <c r="CF241" s="178"/>
      <c r="CG241" s="179"/>
      <c r="CH241" s="179"/>
      <c r="CI241" s="174" t="s">
        <v>9356</v>
      </c>
      <c r="CJ241" s="178"/>
      <c r="CK241" s="178"/>
      <c r="CL241" s="174">
        <v>5</v>
      </c>
      <c r="CM241" s="174"/>
    </row>
    <row r="242" spans="1:91">
      <c r="A242" s="191" t="s">
        <v>7726</v>
      </c>
      <c r="B242" s="192" t="s">
        <v>269</v>
      </c>
      <c r="C242" s="192" t="s">
        <v>417</v>
      </c>
      <c r="D242" s="192" t="s">
        <v>8597</v>
      </c>
      <c r="E242" s="193">
        <v>234</v>
      </c>
      <c r="F242" s="193">
        <v>1</v>
      </c>
      <c r="K242" s="176">
        <v>8</v>
      </c>
      <c r="M242" s="197">
        <v>2.25</v>
      </c>
      <c r="N242" s="198">
        <v>41822</v>
      </c>
      <c r="S242" s="176">
        <f>(AE242*BS242)/100</f>
        <v>6.6921703296703292</v>
      </c>
      <c r="T242" s="198"/>
      <c r="U242" s="176">
        <v>16.2</v>
      </c>
      <c r="Y242" s="200">
        <f>(AE242*BU242)/100</f>
        <v>2.6740384615384611</v>
      </c>
      <c r="Z242" s="198"/>
      <c r="AA242" s="200"/>
      <c r="AB242" s="198"/>
      <c r="AC242" s="378">
        <f t="shared" si="3"/>
        <v>12.875000000000002</v>
      </c>
      <c r="AE242" s="176">
        <f>(M242/U242)*((100-CC242)/(100-9))*100</f>
        <v>14.148351648351648</v>
      </c>
      <c r="AF242" s="198">
        <v>41822</v>
      </c>
      <c r="AG242" s="176">
        <v>4.7</v>
      </c>
      <c r="AH242" s="196">
        <v>41927</v>
      </c>
      <c r="AI242" s="176">
        <v>110</v>
      </c>
      <c r="AM242" s="176">
        <v>84</v>
      </c>
      <c r="BG242" s="201">
        <v>8.3000000000000007</v>
      </c>
      <c r="BI242" s="201">
        <v>4.5999999999999996</v>
      </c>
      <c r="BK242" s="201">
        <v>1.3</v>
      </c>
      <c r="BM242" s="201">
        <v>62.7</v>
      </c>
      <c r="BO242" s="201">
        <v>19.5</v>
      </c>
      <c r="BQ242" s="201">
        <v>9.3000000000000007</v>
      </c>
      <c r="BS242" s="201">
        <v>47.3</v>
      </c>
      <c r="BU242" s="201">
        <v>18.899999999999999</v>
      </c>
      <c r="BW242" s="201">
        <v>22.8</v>
      </c>
      <c r="BY242" s="178">
        <v>7.0999999999999943</v>
      </c>
      <c r="CC242" s="201">
        <v>7.3</v>
      </c>
      <c r="CD242" s="198">
        <v>41822</v>
      </c>
      <c r="CI242" s="174" t="s">
        <v>9337</v>
      </c>
      <c r="CL242" s="174">
        <v>7</v>
      </c>
    </row>
    <row r="243" spans="1:91">
      <c r="A243" s="191" t="s">
        <v>7712</v>
      </c>
      <c r="B243" s="192" t="s">
        <v>269</v>
      </c>
      <c r="C243" s="192" t="s">
        <v>417</v>
      </c>
      <c r="D243" s="192" t="s">
        <v>8541</v>
      </c>
      <c r="E243" s="193">
        <v>234</v>
      </c>
      <c r="F243" s="193">
        <v>2</v>
      </c>
      <c r="K243" s="176">
        <v>7</v>
      </c>
      <c r="M243" s="197">
        <v>3.7</v>
      </c>
      <c r="N243" s="198">
        <v>41822</v>
      </c>
      <c r="S243" s="176">
        <f>(AE243*BS243)/100</f>
        <v>11.963684710351378</v>
      </c>
      <c r="T243" s="198"/>
      <c r="U243" s="176">
        <v>16.2</v>
      </c>
      <c r="Y243" s="200">
        <f>(AE243*BU243)/100</f>
        <v>3.8788509021842361</v>
      </c>
      <c r="Z243" s="198"/>
      <c r="AA243" s="200"/>
      <c r="AB243" s="198"/>
      <c r="AC243" s="378">
        <f t="shared" si="3"/>
        <v>21.26358024691358</v>
      </c>
      <c r="AE243" s="176">
        <f>(M243/U243)*((100-CC243)/(100-9))*100</f>
        <v>23.366571699905034</v>
      </c>
      <c r="AF243" s="198">
        <v>41822</v>
      </c>
      <c r="AG243" s="176">
        <v>5</v>
      </c>
      <c r="AH243" s="196">
        <v>41927</v>
      </c>
      <c r="AI243" s="176">
        <v>145</v>
      </c>
      <c r="AM243" s="176">
        <v>80</v>
      </c>
      <c r="BG243" s="201">
        <v>0.6</v>
      </c>
      <c r="BI243" s="201">
        <v>4.7</v>
      </c>
      <c r="BK243" s="201">
        <v>1.4</v>
      </c>
      <c r="BM243" s="201">
        <v>61.9</v>
      </c>
      <c r="BO243" s="201">
        <v>20.100000000000001</v>
      </c>
      <c r="BQ243" s="201">
        <v>9.4</v>
      </c>
      <c r="BS243" s="201">
        <v>51.2</v>
      </c>
      <c r="BU243" s="201">
        <v>16.600000000000001</v>
      </c>
      <c r="BW243" s="201">
        <v>15.3</v>
      </c>
      <c r="BY243" s="178">
        <v>6.5999999999999943</v>
      </c>
      <c r="CC243" s="201">
        <v>6.9</v>
      </c>
      <c r="CD243" s="198">
        <v>41822</v>
      </c>
      <c r="CI243" s="174" t="s">
        <v>9358</v>
      </c>
      <c r="CL243" s="174">
        <v>1</v>
      </c>
    </row>
    <row r="244" spans="1:91">
      <c r="A244" s="191" t="s">
        <v>7670</v>
      </c>
      <c r="B244" s="192" t="s">
        <v>269</v>
      </c>
      <c r="C244" s="192" t="s">
        <v>417</v>
      </c>
      <c r="D244" s="192" t="s">
        <v>8373</v>
      </c>
      <c r="E244" s="193">
        <v>234</v>
      </c>
      <c r="F244" s="193">
        <v>3</v>
      </c>
      <c r="K244" s="176">
        <v>7</v>
      </c>
      <c r="M244" s="197">
        <v>4.6500000000000004</v>
      </c>
      <c r="N244" s="198">
        <v>41822</v>
      </c>
      <c r="S244" s="176">
        <f>(AE244*BS244)/100</f>
        <v>15.496341066341069</v>
      </c>
      <c r="T244" s="198"/>
      <c r="U244" s="176">
        <v>16.2</v>
      </c>
      <c r="Y244" s="200">
        <f>(AE244*BU244)/100</f>
        <v>4.7431766381766396</v>
      </c>
      <c r="Z244" s="198"/>
      <c r="AA244" s="200"/>
      <c r="AB244" s="198"/>
      <c r="AC244" s="378">
        <f t="shared" si="3"/>
        <v>26.809259259259267</v>
      </c>
      <c r="AE244" s="176">
        <f>(M244/U244)*((100-CC244)/(100-9))*100</f>
        <v>29.460724460724467</v>
      </c>
      <c r="AF244" s="198">
        <v>41822</v>
      </c>
      <c r="AG244" s="176">
        <v>5</v>
      </c>
      <c r="AH244" s="196">
        <v>41927</v>
      </c>
      <c r="AI244" s="176">
        <v>145</v>
      </c>
      <c r="AM244" s="176">
        <v>78</v>
      </c>
      <c r="BG244" s="201">
        <v>0</v>
      </c>
      <c r="BI244" s="201">
        <v>4.5</v>
      </c>
      <c r="BK244" s="201">
        <v>1.5</v>
      </c>
      <c r="BM244" s="201">
        <v>62.6</v>
      </c>
      <c r="BO244" s="201">
        <v>19.3</v>
      </c>
      <c r="BQ244" s="201">
        <v>8</v>
      </c>
      <c r="BS244" s="201">
        <v>52.6</v>
      </c>
      <c r="BU244" s="201">
        <v>16.100000000000001</v>
      </c>
      <c r="BW244" s="201">
        <v>15.9</v>
      </c>
      <c r="BY244" s="178">
        <v>6.5</v>
      </c>
      <c r="CC244" s="201">
        <v>6.6</v>
      </c>
      <c r="CD244" s="198">
        <v>41822</v>
      </c>
      <c r="CI244" s="174" t="s">
        <v>9376</v>
      </c>
      <c r="CL244" s="174">
        <v>1</v>
      </c>
    </row>
    <row r="245" spans="1:91">
      <c r="A245" s="191" t="s">
        <v>7722</v>
      </c>
      <c r="B245" s="192" t="s">
        <v>269</v>
      </c>
      <c r="C245" s="192" t="s">
        <v>417</v>
      </c>
      <c r="D245" s="192" t="s">
        <v>8581</v>
      </c>
      <c r="E245" s="193">
        <v>234</v>
      </c>
      <c r="F245" s="193">
        <v>4</v>
      </c>
      <c r="K245" s="176">
        <v>7</v>
      </c>
      <c r="M245" s="197">
        <v>4.55</v>
      </c>
      <c r="N245" s="198">
        <v>41822</v>
      </c>
      <c r="S245" s="176">
        <f>(AE245*BS245)/100</f>
        <v>15.14311728395062</v>
      </c>
      <c r="T245" s="198"/>
      <c r="U245" s="176">
        <v>16.2</v>
      </c>
      <c r="Y245" s="200">
        <f>(AE245*BU245)/100</f>
        <v>4.4251234567901241</v>
      </c>
      <c r="Z245" s="198"/>
      <c r="AA245" s="200"/>
      <c r="AB245" s="198"/>
      <c r="AC245" s="378">
        <f t="shared" si="3"/>
        <v>26.148456790123458</v>
      </c>
      <c r="AE245" s="176">
        <f>(M245/U245)*((100-CC245)/(100-9))*100</f>
        <v>28.73456790123457</v>
      </c>
      <c r="AF245" s="198">
        <v>41822</v>
      </c>
      <c r="AG245" s="176">
        <v>4.5</v>
      </c>
      <c r="AH245" s="196">
        <v>41927</v>
      </c>
      <c r="AI245" s="176">
        <v>150</v>
      </c>
      <c r="AM245" s="176">
        <v>76</v>
      </c>
      <c r="BG245" s="201">
        <v>1.2</v>
      </c>
      <c r="BI245" s="201">
        <v>4.7</v>
      </c>
      <c r="BK245" s="201">
        <v>1.6</v>
      </c>
      <c r="BM245" s="201">
        <v>62.2</v>
      </c>
      <c r="BO245" s="201">
        <v>20.399999999999999</v>
      </c>
      <c r="BQ245" s="201">
        <v>8.5</v>
      </c>
      <c r="BS245" s="201">
        <v>52.7</v>
      </c>
      <c r="BU245" s="201">
        <v>15.4</v>
      </c>
      <c r="BW245" s="201">
        <v>10.7</v>
      </c>
      <c r="BY245" s="178">
        <v>6.5</v>
      </c>
      <c r="CC245" s="201">
        <v>6.9</v>
      </c>
      <c r="CD245" s="198">
        <v>41822</v>
      </c>
      <c r="CI245" s="174" t="s">
        <v>9355</v>
      </c>
      <c r="CL245" s="174">
        <v>1</v>
      </c>
    </row>
    <row r="246" spans="1:91">
      <c r="A246" s="191" t="s">
        <v>7756</v>
      </c>
      <c r="B246" s="192" t="s">
        <v>269</v>
      </c>
      <c r="C246" s="192" t="s">
        <v>417</v>
      </c>
      <c r="D246" s="192" t="s">
        <v>8717</v>
      </c>
      <c r="E246" s="193">
        <v>234</v>
      </c>
      <c r="F246" s="193">
        <v>5</v>
      </c>
      <c r="K246" s="176">
        <v>8</v>
      </c>
      <c r="M246" s="197">
        <v>2.2999999999999998</v>
      </c>
      <c r="N246" s="198">
        <v>41822</v>
      </c>
      <c r="S246" s="176">
        <f>(AE246*BS246)/100</f>
        <v>6.9629059829059834</v>
      </c>
      <c r="T246" s="198"/>
      <c r="U246" s="176">
        <v>16.2</v>
      </c>
      <c r="Y246" s="200">
        <f>(AE246*BU246)/100</f>
        <v>2.796695156695157</v>
      </c>
      <c r="Z246" s="198"/>
      <c r="AA246" s="200"/>
      <c r="AB246" s="198"/>
      <c r="AC246" s="378">
        <f t="shared" si="3"/>
        <v>13.118518518518519</v>
      </c>
      <c r="AE246" s="176">
        <f>(M246/U246)*((100-CC246)/(100-9))*100</f>
        <v>14.415954415954419</v>
      </c>
      <c r="AF246" s="198">
        <v>41822</v>
      </c>
      <c r="AG246" s="176">
        <v>4.8</v>
      </c>
      <c r="AH246" s="196">
        <v>41927</v>
      </c>
      <c r="AI246" s="176">
        <v>90</v>
      </c>
      <c r="AM246" s="176">
        <v>78</v>
      </c>
      <c r="BG246" s="201">
        <v>3.3</v>
      </c>
      <c r="BI246" s="201">
        <v>4.7</v>
      </c>
      <c r="BK246" s="201">
        <v>1.4</v>
      </c>
      <c r="BM246" s="201">
        <v>63.6</v>
      </c>
      <c r="BO246" s="201">
        <v>19.899999999999999</v>
      </c>
      <c r="BQ246" s="201">
        <v>9.4</v>
      </c>
      <c r="BS246" s="201">
        <v>48.3</v>
      </c>
      <c r="BU246" s="201">
        <v>19.399999999999999</v>
      </c>
      <c r="BW246" s="201">
        <v>69.8</v>
      </c>
      <c r="BY246" s="178">
        <v>6.7000000000000028</v>
      </c>
      <c r="CC246" s="201">
        <v>7.6</v>
      </c>
      <c r="CD246" s="198">
        <v>41822</v>
      </c>
      <c r="CI246" s="174" t="s">
        <v>9349</v>
      </c>
      <c r="CL246" s="174">
        <v>7</v>
      </c>
    </row>
    <row r="247" spans="1:91">
      <c r="A247" s="191" t="s">
        <v>7801</v>
      </c>
      <c r="B247" s="192" t="s">
        <v>269</v>
      </c>
      <c r="C247" s="192" t="s">
        <v>417</v>
      </c>
      <c r="D247" s="192" t="s">
        <v>8897</v>
      </c>
      <c r="E247" s="193">
        <v>234</v>
      </c>
      <c r="F247" s="193">
        <v>6</v>
      </c>
      <c r="K247" s="176">
        <v>8</v>
      </c>
      <c r="M247" s="197">
        <v>5.55</v>
      </c>
      <c r="N247" s="198">
        <v>41822</v>
      </c>
      <c r="S247" s="176">
        <f>(AE247*BS247)/100</f>
        <v>18.143289580789585</v>
      </c>
      <c r="T247" s="198"/>
      <c r="U247" s="176">
        <v>16.2</v>
      </c>
      <c r="Y247" s="200">
        <f>(AE247*BU247)/100</f>
        <v>5.2932437932437937</v>
      </c>
      <c r="Z247" s="198"/>
      <c r="AA247" s="200"/>
      <c r="AB247" s="198"/>
      <c r="AC247" s="378">
        <f t="shared" si="3"/>
        <v>31.689814814814817</v>
      </c>
      <c r="AE247" s="176">
        <f>(M247/U247)*((100-CC247)/(100-9))*100</f>
        <v>34.823972323972328</v>
      </c>
      <c r="AF247" s="198">
        <v>41822</v>
      </c>
      <c r="AG247" s="176">
        <v>4.9000000000000004</v>
      </c>
      <c r="AH247" s="196">
        <v>41927</v>
      </c>
      <c r="AI247" s="176">
        <v>135</v>
      </c>
      <c r="AM247" s="176">
        <v>79</v>
      </c>
      <c r="BG247" s="201">
        <v>0</v>
      </c>
      <c r="BI247" s="201">
        <v>4.9000000000000004</v>
      </c>
      <c r="BK247" s="201">
        <v>1.7</v>
      </c>
      <c r="BM247" s="201">
        <v>66.7</v>
      </c>
      <c r="BO247" s="201">
        <v>20.3</v>
      </c>
      <c r="BQ247" s="201">
        <v>7.4</v>
      </c>
      <c r="BS247" s="201">
        <v>52.1</v>
      </c>
      <c r="BU247" s="201">
        <v>15.2</v>
      </c>
      <c r="BW247" s="201">
        <v>5.0999999999999996</v>
      </c>
      <c r="BY247" s="178">
        <v>7</v>
      </c>
      <c r="CC247" s="201">
        <v>7.5</v>
      </c>
      <c r="CD247" s="198">
        <v>41822</v>
      </c>
      <c r="CI247" s="174" t="s">
        <v>9355</v>
      </c>
      <c r="CL247" s="174">
        <v>4</v>
      </c>
    </row>
    <row r="248" spans="1:91">
      <c r="A248" s="191" t="s">
        <v>7761</v>
      </c>
      <c r="B248" s="192" t="s">
        <v>271</v>
      </c>
      <c r="C248" s="192" t="s">
        <v>8998</v>
      </c>
      <c r="D248" s="192" t="s">
        <v>8739</v>
      </c>
      <c r="E248" s="193">
        <v>234</v>
      </c>
      <c r="F248" s="193">
        <v>7</v>
      </c>
      <c r="K248" s="176">
        <v>8</v>
      </c>
      <c r="M248" s="197">
        <v>2.35</v>
      </c>
      <c r="N248" s="198">
        <v>41822</v>
      </c>
      <c r="S248" s="176">
        <f>(AE248*BS248)/100</f>
        <v>7.1681695156695158</v>
      </c>
      <c r="T248" s="198"/>
      <c r="U248" s="176">
        <v>16.2</v>
      </c>
      <c r="Y248" s="200">
        <f>(AE248*BU248)/100</f>
        <v>2.8346177587844261</v>
      </c>
      <c r="Z248" s="198"/>
      <c r="AA248" s="200"/>
      <c r="AB248" s="198"/>
      <c r="AC248" s="378">
        <f t="shared" si="3"/>
        <v>13.505246913580246</v>
      </c>
      <c r="AE248" s="176">
        <f>(M248/U248)*((100-CC248)/(100-9))*100</f>
        <v>14.840930674264008</v>
      </c>
      <c r="AF248" s="198">
        <v>41822</v>
      </c>
      <c r="AG248" s="176">
        <v>4.5999999999999996</v>
      </c>
      <c r="AH248" s="196">
        <v>41927</v>
      </c>
      <c r="AI248" s="176">
        <v>100</v>
      </c>
      <c r="AM248" s="176">
        <v>85</v>
      </c>
      <c r="BG248" s="201">
        <v>5.9</v>
      </c>
      <c r="BI248" s="201">
        <v>4</v>
      </c>
      <c r="BK248" s="201">
        <v>1.5</v>
      </c>
      <c r="BM248" s="201">
        <v>64.900000000000006</v>
      </c>
      <c r="BO248" s="201">
        <v>18.8</v>
      </c>
      <c r="BQ248" s="201">
        <v>8</v>
      </c>
      <c r="BS248" s="201">
        <v>48.3</v>
      </c>
      <c r="BU248" s="201">
        <v>19.100000000000001</v>
      </c>
      <c r="BW248" s="201">
        <v>53.7</v>
      </c>
      <c r="BY248" s="178">
        <v>6.2999999999999972</v>
      </c>
      <c r="CC248" s="201">
        <v>6.9</v>
      </c>
      <c r="CD248" s="198">
        <v>41822</v>
      </c>
      <c r="CI248" s="174" t="s">
        <v>9373</v>
      </c>
      <c r="CL248" s="174">
        <v>8</v>
      </c>
    </row>
    <row r="249" spans="1:91">
      <c r="A249" s="191" t="s">
        <v>7708</v>
      </c>
      <c r="B249" s="192" t="s">
        <v>271</v>
      </c>
      <c r="C249" s="192" t="s">
        <v>8998</v>
      </c>
      <c r="D249" s="192" t="s">
        <v>8527</v>
      </c>
      <c r="E249" s="193">
        <v>234</v>
      </c>
      <c r="F249" s="193">
        <v>8</v>
      </c>
      <c r="K249" s="176">
        <v>7</v>
      </c>
      <c r="M249" s="197">
        <v>3.3</v>
      </c>
      <c r="N249" s="198">
        <v>41822</v>
      </c>
      <c r="S249" s="176">
        <f>(AE249*BS249)/100</f>
        <v>9.5452197802197816</v>
      </c>
      <c r="T249" s="198"/>
      <c r="U249" s="176">
        <v>16.2</v>
      </c>
      <c r="Y249" s="200">
        <f>(AE249*BU249)/100</f>
        <v>3.8887932437932444</v>
      </c>
      <c r="Z249" s="198"/>
      <c r="AA249" s="200"/>
      <c r="AB249" s="198"/>
      <c r="AC249" s="378">
        <f t="shared" si="3"/>
        <v>18.924074074074074</v>
      </c>
      <c r="AE249" s="176">
        <f>(M249/U249)*((100-CC249)/(100-9))*100</f>
        <v>20.795685795685799</v>
      </c>
      <c r="AF249" s="198">
        <v>41822</v>
      </c>
      <c r="AG249" s="176">
        <v>4.4000000000000004</v>
      </c>
      <c r="AH249" s="196">
        <v>41927</v>
      </c>
      <c r="AI249" s="176">
        <v>125</v>
      </c>
      <c r="AM249" s="176">
        <v>88</v>
      </c>
      <c r="BG249" s="201">
        <v>0</v>
      </c>
      <c r="BI249" s="201">
        <v>4.4000000000000004</v>
      </c>
      <c r="BK249" s="201">
        <v>1.8</v>
      </c>
      <c r="BM249" s="201">
        <v>65.8</v>
      </c>
      <c r="BO249" s="201">
        <v>21.1</v>
      </c>
      <c r="BQ249" s="201">
        <v>6.4</v>
      </c>
      <c r="BS249" s="201">
        <v>45.9</v>
      </c>
      <c r="BU249" s="201">
        <v>18.7</v>
      </c>
      <c r="BW249" s="201">
        <v>17.8</v>
      </c>
      <c r="BY249" s="178">
        <v>6.7000000000000028</v>
      </c>
      <c r="CC249" s="201">
        <v>7.1</v>
      </c>
      <c r="CD249" s="198">
        <v>41822</v>
      </c>
      <c r="CI249" s="174" t="s">
        <v>9382</v>
      </c>
      <c r="CL249" s="174">
        <v>4</v>
      </c>
    </row>
    <row r="250" spans="1:91">
      <c r="A250" s="191" t="s">
        <v>7665</v>
      </c>
      <c r="B250" s="192" t="s">
        <v>271</v>
      </c>
      <c r="C250" s="192" t="s">
        <v>8998</v>
      </c>
      <c r="D250" s="192" t="s">
        <v>8355</v>
      </c>
      <c r="E250" s="193">
        <v>234</v>
      </c>
      <c r="F250" s="193">
        <v>9</v>
      </c>
      <c r="K250" s="176">
        <v>8</v>
      </c>
      <c r="M250" s="197">
        <v>5.45</v>
      </c>
      <c r="N250" s="198">
        <v>41822</v>
      </c>
      <c r="S250" s="176">
        <f>(AE250*BS250)/100</f>
        <v>16.833742029575365</v>
      </c>
      <c r="T250" s="198"/>
      <c r="U250" s="176">
        <v>16.2</v>
      </c>
      <c r="Y250" s="200">
        <f>(AE250*BU250)/100</f>
        <v>6.1873507665174339</v>
      </c>
      <c r="Z250" s="198"/>
      <c r="AA250" s="200"/>
      <c r="AB250" s="198"/>
      <c r="AC250" s="378">
        <f t="shared" si="3"/>
        <v>31.45524691358025</v>
      </c>
      <c r="AE250" s="176">
        <f>(M250/U250)*((100-CC250)/(100-9))*100</f>
        <v>34.566205399538738</v>
      </c>
      <c r="AF250" s="198">
        <v>41822</v>
      </c>
      <c r="AG250" s="176">
        <v>4.4000000000000004</v>
      </c>
      <c r="AH250" s="196">
        <v>41927</v>
      </c>
      <c r="AI250" s="176">
        <v>160</v>
      </c>
      <c r="AM250" s="176">
        <v>89</v>
      </c>
      <c r="BG250" s="201">
        <v>1.3</v>
      </c>
      <c r="BI250" s="201">
        <v>4.7</v>
      </c>
      <c r="BK250" s="201">
        <v>1.6</v>
      </c>
      <c r="BM250" s="201">
        <v>61.1</v>
      </c>
      <c r="BO250" s="201">
        <v>21.7</v>
      </c>
      <c r="BQ250" s="201">
        <v>8.1999999999999993</v>
      </c>
      <c r="BS250" s="201">
        <v>48.7</v>
      </c>
      <c r="BU250" s="201">
        <v>17.899999999999999</v>
      </c>
      <c r="BW250" s="201">
        <v>19.3</v>
      </c>
      <c r="BY250" s="178">
        <v>6.2999999999999972</v>
      </c>
      <c r="CC250" s="201">
        <v>6.5</v>
      </c>
      <c r="CD250" s="198">
        <v>41822</v>
      </c>
      <c r="CI250" s="174" t="s">
        <v>9355</v>
      </c>
      <c r="CL250" s="174">
        <v>1</v>
      </c>
    </row>
    <row r="251" spans="1:91">
      <c r="A251" s="191" t="s">
        <v>7645</v>
      </c>
      <c r="B251" s="192" t="s">
        <v>271</v>
      </c>
      <c r="C251" s="192" t="s">
        <v>8998</v>
      </c>
      <c r="D251" s="192" t="s">
        <v>8275</v>
      </c>
      <c r="E251" s="193">
        <v>234</v>
      </c>
      <c r="F251" s="193">
        <v>10</v>
      </c>
      <c r="K251" s="176">
        <v>6</v>
      </c>
      <c r="M251" s="197">
        <v>5</v>
      </c>
      <c r="N251" s="198">
        <v>41822</v>
      </c>
      <c r="S251" s="176">
        <f>(AE251*BS251)/100</f>
        <v>15.522317188983859</v>
      </c>
      <c r="T251" s="198"/>
      <c r="U251" s="176">
        <v>16.2</v>
      </c>
      <c r="Y251" s="200">
        <f>(AE251*BU251)/100</f>
        <v>5.6703975037308387</v>
      </c>
      <c r="Z251" s="198"/>
      <c r="AA251" s="200"/>
      <c r="AB251" s="198"/>
      <c r="AC251" s="378">
        <f t="shared" si="3"/>
        <v>28.827160493827165</v>
      </c>
      <c r="AE251" s="176">
        <f>(M251/U251)*((100-CC251)/(100-9))*100</f>
        <v>31.67819834486502</v>
      </c>
      <c r="AF251" s="198">
        <v>41822</v>
      </c>
      <c r="AG251" s="176">
        <v>4.0999999999999996</v>
      </c>
      <c r="AH251" s="196">
        <v>41927</v>
      </c>
      <c r="AI251" s="176">
        <v>150</v>
      </c>
      <c r="AM251" s="176">
        <v>78</v>
      </c>
      <c r="BG251" s="201">
        <v>3.5</v>
      </c>
      <c r="BI251" s="201">
        <v>4.9000000000000004</v>
      </c>
      <c r="BK251" s="201">
        <v>1.5</v>
      </c>
      <c r="BM251" s="201">
        <v>63.2</v>
      </c>
      <c r="BO251" s="201">
        <v>20.7</v>
      </c>
      <c r="BQ251" s="201">
        <v>9.5</v>
      </c>
      <c r="BS251" s="201">
        <v>49</v>
      </c>
      <c r="BU251" s="201">
        <v>17.899999999999999</v>
      </c>
      <c r="BW251" s="201">
        <v>44</v>
      </c>
      <c r="BY251" s="178">
        <v>6.4000000000000057</v>
      </c>
      <c r="CC251" s="201">
        <v>6.6</v>
      </c>
      <c r="CD251" s="198">
        <v>41822</v>
      </c>
      <c r="CI251" s="174" t="s">
        <v>9355</v>
      </c>
      <c r="CL251" s="174">
        <v>1</v>
      </c>
    </row>
    <row r="252" spans="1:91">
      <c r="A252" s="191" t="s">
        <v>7743</v>
      </c>
      <c r="B252" s="192" t="s">
        <v>271</v>
      </c>
      <c r="C252" s="192" t="s">
        <v>8998</v>
      </c>
      <c r="D252" s="192" t="s">
        <v>8667</v>
      </c>
      <c r="E252" s="193">
        <v>234</v>
      </c>
      <c r="F252" s="193">
        <v>11</v>
      </c>
      <c r="K252" s="176">
        <v>7</v>
      </c>
      <c r="M252" s="197">
        <v>2.15</v>
      </c>
      <c r="N252" s="198">
        <v>41822</v>
      </c>
      <c r="S252" s="176">
        <f>(AE252*BS252)/100</f>
        <v>6.6609747659747667</v>
      </c>
      <c r="T252" s="198"/>
      <c r="U252" s="176">
        <v>16.2</v>
      </c>
      <c r="Y252" s="200">
        <f>(AE252*BU252)/100</f>
        <v>2.8332980599647271</v>
      </c>
      <c r="Z252" s="198"/>
      <c r="AA252" s="200"/>
      <c r="AB252" s="198"/>
      <c r="AC252" s="378">
        <f t="shared" si="3"/>
        <v>12.395679012345681</v>
      </c>
      <c r="AE252" s="176">
        <f>(M252/U252)*((100-CC252)/(100-9))*100</f>
        <v>13.621625288291957</v>
      </c>
      <c r="AF252" s="198">
        <v>41822</v>
      </c>
      <c r="AG252" s="176">
        <v>4</v>
      </c>
      <c r="AH252" s="196">
        <v>41927</v>
      </c>
      <c r="AI252" s="176">
        <v>155</v>
      </c>
      <c r="AM252" s="176">
        <v>95</v>
      </c>
      <c r="BG252" s="201">
        <v>29.6</v>
      </c>
      <c r="BI252" s="201">
        <v>4.2</v>
      </c>
      <c r="BK252" s="201">
        <v>1.3</v>
      </c>
      <c r="BM252" s="201">
        <v>42.4</v>
      </c>
      <c r="BO252" s="201">
        <v>15.1</v>
      </c>
      <c r="BQ252" s="201">
        <v>8.3000000000000007</v>
      </c>
      <c r="BS252" s="201">
        <v>48.9</v>
      </c>
      <c r="BU252" s="201">
        <v>20.8</v>
      </c>
      <c r="BW252" s="201">
        <v>59.7</v>
      </c>
      <c r="BY252" s="178">
        <v>6</v>
      </c>
      <c r="CC252" s="201">
        <v>6.6</v>
      </c>
      <c r="CD252" s="198">
        <v>41822</v>
      </c>
      <c r="CI252" s="174" t="s">
        <v>9370</v>
      </c>
      <c r="CL252" s="174">
        <v>6</v>
      </c>
    </row>
    <row r="253" spans="1:91">
      <c r="A253" s="202" t="s">
        <v>7616</v>
      </c>
      <c r="B253" s="203" t="s">
        <v>271</v>
      </c>
      <c r="C253" s="203" t="s">
        <v>8998</v>
      </c>
      <c r="D253" s="203" t="s">
        <v>8159</v>
      </c>
      <c r="E253" s="204">
        <v>234</v>
      </c>
      <c r="F253" s="204">
        <v>12</v>
      </c>
      <c r="G253" s="204"/>
      <c r="H253" s="204"/>
      <c r="I253" s="185"/>
      <c r="J253" s="206"/>
      <c r="K253" s="177">
        <v>7</v>
      </c>
      <c r="L253" s="207"/>
      <c r="M253" s="208">
        <v>0.4</v>
      </c>
      <c r="N253" s="209">
        <v>41822</v>
      </c>
      <c r="O253" s="182"/>
      <c r="P253" s="210"/>
      <c r="Q253" s="183"/>
      <c r="R253" s="210"/>
      <c r="S253" s="177">
        <f>(AE253*BS253)/100</f>
        <v>1.2189770723104059</v>
      </c>
      <c r="T253" s="209"/>
      <c r="U253" s="177">
        <v>16.2</v>
      </c>
      <c r="V253" s="210"/>
      <c r="W253" s="183"/>
      <c r="X253" s="210"/>
      <c r="Y253" s="213">
        <f>(AE253*BU253)/100</f>
        <v>0.50938542938542952</v>
      </c>
      <c r="Z253" s="209"/>
      <c r="AA253" s="213"/>
      <c r="AB253" s="209"/>
      <c r="AC253" s="378">
        <f t="shared" si="3"/>
        <v>2.3061728395061731</v>
      </c>
      <c r="AD253" s="207"/>
      <c r="AE253" s="177">
        <f>(M253/U253)*((100-CC253)/(100-9))*100</f>
        <v>2.5342558675892013</v>
      </c>
      <c r="AF253" s="209">
        <v>41822</v>
      </c>
      <c r="AG253" s="177">
        <v>4.5999999999999996</v>
      </c>
      <c r="AH253" s="207">
        <v>41927</v>
      </c>
      <c r="AI253" s="177">
        <v>20</v>
      </c>
      <c r="AJ253" s="207"/>
      <c r="AK253" s="183"/>
      <c r="AL253" s="210"/>
      <c r="AM253" s="177">
        <v>74</v>
      </c>
      <c r="AN253" s="210"/>
      <c r="AO253" s="183"/>
      <c r="AP253" s="183"/>
      <c r="AQ253" s="183"/>
      <c r="AR253" s="183"/>
      <c r="AS253" s="183"/>
      <c r="AT253" s="183"/>
      <c r="AU253" s="183"/>
      <c r="AV253" s="183"/>
      <c r="AW253" s="183"/>
      <c r="AX253" s="183"/>
      <c r="AY253" s="183"/>
      <c r="AZ253" s="183"/>
      <c r="BA253" s="183"/>
      <c r="BB253" s="183"/>
      <c r="BC253" s="183"/>
      <c r="BD253" s="183"/>
      <c r="BE253" s="182"/>
      <c r="BF253" s="182"/>
      <c r="BG253" s="211">
        <v>29.5</v>
      </c>
      <c r="BH253" s="181"/>
      <c r="BI253" s="211">
        <v>4.3</v>
      </c>
      <c r="BJ253" s="181"/>
      <c r="BK253" s="211">
        <v>1.3</v>
      </c>
      <c r="BL253" s="181"/>
      <c r="BM253" s="211">
        <v>46.3</v>
      </c>
      <c r="BN253" s="181"/>
      <c r="BO253" s="211">
        <v>18.100000000000001</v>
      </c>
      <c r="BP253" s="181"/>
      <c r="BQ253" s="211">
        <v>8.5</v>
      </c>
      <c r="BR253" s="181"/>
      <c r="BS253" s="211">
        <v>48.1</v>
      </c>
      <c r="BT253" s="181"/>
      <c r="BU253" s="211">
        <v>20.100000000000001</v>
      </c>
      <c r="BV253" s="181"/>
      <c r="BW253" s="211">
        <v>29.8</v>
      </c>
      <c r="BX253" s="181"/>
      <c r="BY253" s="181">
        <v>6.4000000000000057</v>
      </c>
      <c r="BZ253" s="181"/>
      <c r="CA253" s="182"/>
      <c r="CB253" s="182"/>
      <c r="CC253" s="211">
        <v>6.6</v>
      </c>
      <c r="CD253" s="209">
        <v>41822</v>
      </c>
      <c r="CE253" s="181"/>
      <c r="CF253" s="181"/>
      <c r="CG253" s="182"/>
      <c r="CH253" s="182"/>
      <c r="CI253" s="175" t="s">
        <v>9349</v>
      </c>
      <c r="CJ253" s="181"/>
      <c r="CK253" s="181"/>
      <c r="CL253" s="175">
        <v>9</v>
      </c>
      <c r="CM253" s="175"/>
    </row>
    <row r="254" spans="1:91">
      <c r="A254" s="202" t="s">
        <v>7613</v>
      </c>
      <c r="B254" s="203" t="s">
        <v>269</v>
      </c>
      <c r="C254" s="203" t="s">
        <v>417</v>
      </c>
      <c r="D254" s="203" t="s">
        <v>8145</v>
      </c>
      <c r="E254" s="204">
        <v>235</v>
      </c>
      <c r="F254" s="204">
        <v>1</v>
      </c>
      <c r="G254" s="204"/>
      <c r="H254" s="204"/>
      <c r="I254" s="185"/>
      <c r="J254" s="206"/>
      <c r="K254" s="177">
        <v>8</v>
      </c>
      <c r="L254" s="207"/>
      <c r="M254" s="208">
        <v>0.7</v>
      </c>
      <c r="N254" s="209">
        <v>41822</v>
      </c>
      <c r="O254" s="182"/>
      <c r="P254" s="210"/>
      <c r="Q254" s="183"/>
      <c r="R254" s="210"/>
      <c r="S254" s="177">
        <f>(AE254*BS254)/100</f>
        <v>2.0270085470085473</v>
      </c>
      <c r="T254" s="209"/>
      <c r="U254" s="177">
        <v>16.2</v>
      </c>
      <c r="V254" s="210"/>
      <c r="W254" s="183"/>
      <c r="X254" s="210"/>
      <c r="Y254" s="213">
        <f>(AE254*BU254)/100</f>
        <v>0.93452991452991452</v>
      </c>
      <c r="Z254" s="209"/>
      <c r="AA254" s="213"/>
      <c r="AB254" s="209"/>
      <c r="AC254" s="378">
        <f t="shared" si="3"/>
        <v>3.9925925925925925</v>
      </c>
      <c r="AD254" s="207"/>
      <c r="AE254" s="177">
        <f>(M254/U254)*((100-CC254)/(100-9))*100</f>
        <v>4.3874643874643873</v>
      </c>
      <c r="AF254" s="209">
        <v>41822</v>
      </c>
      <c r="AG254" s="177">
        <v>4.2</v>
      </c>
      <c r="AH254" s="207">
        <v>41927</v>
      </c>
      <c r="AI254" s="177">
        <v>50</v>
      </c>
      <c r="AJ254" s="207"/>
      <c r="AK254" s="183"/>
      <c r="AL254" s="210"/>
      <c r="AM254" s="177">
        <v>79</v>
      </c>
      <c r="AN254" s="210"/>
      <c r="AO254" s="183"/>
      <c r="AP254" s="183"/>
      <c r="AQ254" s="183"/>
      <c r="AR254" s="183"/>
      <c r="AS254" s="183"/>
      <c r="AT254" s="183"/>
      <c r="AU254" s="183"/>
      <c r="AV254" s="183"/>
      <c r="AW254" s="183"/>
      <c r="AX254" s="183"/>
      <c r="AY254" s="183"/>
      <c r="AZ254" s="183"/>
      <c r="BA254" s="183"/>
      <c r="BB254" s="183"/>
      <c r="BC254" s="183"/>
      <c r="BD254" s="183"/>
      <c r="BE254" s="182"/>
      <c r="BF254" s="182"/>
      <c r="BG254" s="211">
        <v>13.7</v>
      </c>
      <c r="BH254" s="181"/>
      <c r="BI254" s="211">
        <v>4</v>
      </c>
      <c r="BJ254" s="181"/>
      <c r="BK254" s="211">
        <v>1.5</v>
      </c>
      <c r="BL254" s="181"/>
      <c r="BM254" s="211">
        <v>52.1</v>
      </c>
      <c r="BN254" s="181"/>
      <c r="BO254" s="211">
        <v>16.399999999999999</v>
      </c>
      <c r="BP254" s="181"/>
      <c r="BQ254" s="211">
        <v>8.9</v>
      </c>
      <c r="BR254" s="181"/>
      <c r="BS254" s="211">
        <v>46.2</v>
      </c>
      <c r="BT254" s="181"/>
      <c r="BU254" s="211">
        <v>21.3</v>
      </c>
      <c r="BV254" s="181"/>
      <c r="BW254" s="211">
        <v>28.5</v>
      </c>
      <c r="BX254" s="181"/>
      <c r="BY254" s="181">
        <v>7.5</v>
      </c>
      <c r="BZ254" s="181"/>
      <c r="CA254" s="182"/>
      <c r="CB254" s="182"/>
      <c r="CC254" s="211">
        <v>7.6</v>
      </c>
      <c r="CD254" s="209">
        <v>41822</v>
      </c>
      <c r="CE254" s="181"/>
      <c r="CF254" s="181"/>
      <c r="CG254" s="182"/>
      <c r="CH254" s="182"/>
      <c r="CI254" s="175" t="s">
        <v>9337</v>
      </c>
      <c r="CJ254" s="181"/>
      <c r="CK254" s="181"/>
      <c r="CL254" s="175">
        <v>9</v>
      </c>
      <c r="CM254" s="175"/>
    </row>
    <row r="255" spans="1:91">
      <c r="A255" s="191" t="s">
        <v>7662</v>
      </c>
      <c r="B255" s="192" t="s">
        <v>269</v>
      </c>
      <c r="C255" s="192" t="s">
        <v>417</v>
      </c>
      <c r="D255" s="192" t="s">
        <v>8341</v>
      </c>
      <c r="E255" s="193">
        <v>235</v>
      </c>
      <c r="F255" s="193">
        <v>2</v>
      </c>
      <c r="K255" s="176">
        <v>6</v>
      </c>
      <c r="M255" s="197">
        <v>3.3</v>
      </c>
      <c r="N255" s="198">
        <v>41822</v>
      </c>
      <c r="S255" s="176">
        <f>(AE255*BS255)/100</f>
        <v>11.146487586487588</v>
      </c>
      <c r="T255" s="198"/>
      <c r="U255" s="176">
        <v>16.2</v>
      </c>
      <c r="Y255" s="200">
        <f>(AE255*BU255)/100</f>
        <v>3.2857183557183567</v>
      </c>
      <c r="Z255" s="198"/>
      <c r="AA255" s="200"/>
      <c r="AB255" s="198"/>
      <c r="AC255" s="378">
        <f t="shared" si="3"/>
        <v>18.924074074074074</v>
      </c>
      <c r="AE255" s="176">
        <f>(M255/U255)*((100-CC255)/(100-9))*100</f>
        <v>20.795685795685799</v>
      </c>
      <c r="AF255" s="198">
        <v>41822</v>
      </c>
      <c r="AG255" s="176">
        <v>5.3</v>
      </c>
      <c r="AH255" s="196">
        <v>41927</v>
      </c>
      <c r="AI255" s="176">
        <v>150</v>
      </c>
      <c r="AM255" s="176">
        <v>85</v>
      </c>
      <c r="BG255" s="201">
        <v>0</v>
      </c>
      <c r="BI255" s="201">
        <v>5</v>
      </c>
      <c r="BK255" s="201">
        <v>1.6</v>
      </c>
      <c r="BM255" s="201">
        <v>66.7</v>
      </c>
      <c r="BO255" s="201">
        <v>20.7</v>
      </c>
      <c r="BQ255" s="201">
        <v>7.4</v>
      </c>
      <c r="BS255" s="201">
        <v>53.6</v>
      </c>
      <c r="BU255" s="201">
        <v>15.8</v>
      </c>
      <c r="BW255" s="201">
        <v>14.6</v>
      </c>
      <c r="BY255" s="178">
        <v>6.5</v>
      </c>
      <c r="CC255" s="201">
        <v>7.1</v>
      </c>
      <c r="CD255" s="198">
        <v>41822</v>
      </c>
      <c r="CI255" s="174" t="s">
        <v>9361</v>
      </c>
      <c r="CL255" s="174">
        <v>3</v>
      </c>
    </row>
    <row r="256" spans="1:91">
      <c r="A256" s="191" t="s">
        <v>7658</v>
      </c>
      <c r="B256" s="192" t="s">
        <v>269</v>
      </c>
      <c r="C256" s="192" t="s">
        <v>417</v>
      </c>
      <c r="D256" s="192" t="s">
        <v>8325</v>
      </c>
      <c r="E256" s="193">
        <v>235</v>
      </c>
      <c r="F256" s="193">
        <v>3</v>
      </c>
      <c r="K256" s="176">
        <v>8</v>
      </c>
      <c r="M256" s="197">
        <v>3.2</v>
      </c>
      <c r="N256" s="198">
        <v>41822</v>
      </c>
      <c r="S256" s="176">
        <f>(AE256*BS256)/100</f>
        <v>9.7687912087912085</v>
      </c>
      <c r="T256" s="198"/>
      <c r="U256" s="176">
        <v>16.2</v>
      </c>
      <c r="Y256" s="200">
        <f>(AE256*BU256)/100</f>
        <v>3.7386731786731793</v>
      </c>
      <c r="Z256" s="198"/>
      <c r="AA256" s="200"/>
      <c r="AB256" s="198"/>
      <c r="AC256" s="378">
        <f t="shared" si="3"/>
        <v>18.291358024691359</v>
      </c>
      <c r="AE256" s="176">
        <f>(M256/U256)*((100-CC256)/(100-9))*100</f>
        <v>20.100393433726769</v>
      </c>
      <c r="AF256" s="198">
        <v>41822</v>
      </c>
      <c r="AG256" s="176">
        <v>5.6</v>
      </c>
      <c r="AH256" s="196">
        <v>41927</v>
      </c>
      <c r="AI256" s="176">
        <v>125</v>
      </c>
      <c r="AM256" s="176">
        <v>78</v>
      </c>
      <c r="BG256" s="201">
        <v>5</v>
      </c>
      <c r="BI256" s="201">
        <v>4.7</v>
      </c>
      <c r="BK256" s="201">
        <v>1.5</v>
      </c>
      <c r="BM256" s="201">
        <v>61.6</v>
      </c>
      <c r="BO256" s="201">
        <v>20</v>
      </c>
      <c r="BQ256" s="201">
        <v>9</v>
      </c>
      <c r="BS256" s="201">
        <v>48.6</v>
      </c>
      <c r="BU256" s="201">
        <v>18.600000000000001</v>
      </c>
      <c r="BW256" s="201">
        <v>62.9</v>
      </c>
      <c r="BY256" s="178">
        <v>7</v>
      </c>
      <c r="CC256" s="201">
        <v>7.4</v>
      </c>
      <c r="CD256" s="198">
        <v>41822</v>
      </c>
      <c r="CI256" s="174" t="s">
        <v>9350</v>
      </c>
      <c r="CL256" s="174">
        <v>3</v>
      </c>
    </row>
    <row r="257" spans="1:91">
      <c r="A257" s="191" t="s">
        <v>7809</v>
      </c>
      <c r="B257" s="192" t="s">
        <v>269</v>
      </c>
      <c r="C257" s="192" t="s">
        <v>417</v>
      </c>
      <c r="D257" s="192" t="s">
        <v>8929</v>
      </c>
      <c r="E257" s="193">
        <v>235</v>
      </c>
      <c r="F257" s="193">
        <v>4</v>
      </c>
      <c r="K257" s="176">
        <v>8</v>
      </c>
      <c r="M257" s="197">
        <v>4.95</v>
      </c>
      <c r="N257" s="198">
        <v>41822</v>
      </c>
      <c r="S257" s="176">
        <f>(AE257*BS257)/100</f>
        <v>16.523369963369966</v>
      </c>
      <c r="T257" s="198"/>
      <c r="U257" s="176">
        <v>16.2</v>
      </c>
      <c r="Y257" s="200">
        <f>(AE257*BU257)/100</f>
        <v>4.8193162393162403</v>
      </c>
      <c r="Z257" s="198"/>
      <c r="AA257" s="200"/>
      <c r="AB257" s="198"/>
      <c r="AC257" s="378">
        <f t="shared" si="3"/>
        <v>28.477777777777781</v>
      </c>
      <c r="AE257" s="176">
        <f>(M257/U257)*((100-CC257)/(100-9))*100</f>
        <v>31.2942612942613</v>
      </c>
      <c r="AF257" s="198">
        <v>41822</v>
      </c>
      <c r="AG257" s="176">
        <v>4.0999999999999996</v>
      </c>
      <c r="AH257" s="196">
        <v>41927</v>
      </c>
      <c r="AI257" s="176">
        <v>150</v>
      </c>
      <c r="AM257" s="176">
        <v>78</v>
      </c>
      <c r="BG257" s="201">
        <v>4.9000000000000004</v>
      </c>
      <c r="BI257" s="201">
        <v>5</v>
      </c>
      <c r="BK257" s="201">
        <v>1.6</v>
      </c>
      <c r="BM257" s="201">
        <v>63.6</v>
      </c>
      <c r="BO257" s="201">
        <v>21.1</v>
      </c>
      <c r="BQ257" s="201">
        <v>8.5</v>
      </c>
      <c r="BS257" s="201">
        <v>52.8</v>
      </c>
      <c r="BU257" s="201">
        <v>15.4</v>
      </c>
      <c r="BW257" s="201">
        <v>15.7</v>
      </c>
      <c r="BY257" s="178">
        <v>6.7999999999999972</v>
      </c>
      <c r="CC257" s="201">
        <v>6.8</v>
      </c>
      <c r="CD257" s="198">
        <v>41822</v>
      </c>
      <c r="CI257" s="174" t="s">
        <v>9347</v>
      </c>
      <c r="CL257" s="174">
        <v>1</v>
      </c>
    </row>
    <row r="258" spans="1:91">
      <c r="A258" s="191" t="s">
        <v>7681</v>
      </c>
      <c r="B258" s="192" t="s">
        <v>269</v>
      </c>
      <c r="C258" s="192" t="s">
        <v>417</v>
      </c>
      <c r="D258" s="192" t="s">
        <v>8417</v>
      </c>
      <c r="E258" s="193">
        <v>235</v>
      </c>
      <c r="F258" s="193">
        <v>5</v>
      </c>
      <c r="K258" s="176">
        <v>8</v>
      </c>
      <c r="M258" s="197">
        <v>4.55</v>
      </c>
      <c r="N258" s="198">
        <v>41822</v>
      </c>
      <c r="S258" s="176">
        <f>(AE258*BS258)/100</f>
        <v>14.464197530864196</v>
      </c>
      <c r="T258" s="198"/>
      <c r="U258" s="176">
        <v>16.2</v>
      </c>
      <c r="Y258" s="200">
        <f>(AE258*BU258)/100</f>
        <v>5.155555555555555</v>
      </c>
      <c r="Z258" s="198"/>
      <c r="AA258" s="200"/>
      <c r="AB258" s="198"/>
      <c r="AC258" s="378">
        <f t="shared" si="3"/>
        <v>26.064197530864199</v>
      </c>
      <c r="AE258" s="176">
        <f>(M258/U258)*((100-CC258)/(100-9))*100</f>
        <v>28.641975308641975</v>
      </c>
      <c r="AF258" s="198">
        <v>41822</v>
      </c>
      <c r="AG258" s="176">
        <v>4.8</v>
      </c>
      <c r="AH258" s="196">
        <v>41927</v>
      </c>
      <c r="AI258" s="176">
        <v>140</v>
      </c>
      <c r="AM258" s="176">
        <v>87</v>
      </c>
      <c r="BG258" s="201">
        <v>0</v>
      </c>
      <c r="BI258" s="201">
        <v>4.2</v>
      </c>
      <c r="BK258" s="201">
        <v>1.6</v>
      </c>
      <c r="BM258" s="201">
        <v>63</v>
      </c>
      <c r="BO258" s="201">
        <v>17</v>
      </c>
      <c r="BQ258" s="201">
        <v>9.6</v>
      </c>
      <c r="BS258" s="201">
        <v>50.5</v>
      </c>
      <c r="BU258" s="201">
        <v>18</v>
      </c>
      <c r="BW258" s="201">
        <v>19.399999999999999</v>
      </c>
      <c r="BY258" s="178">
        <v>6.9000000000000057</v>
      </c>
      <c r="CC258" s="201">
        <v>7.2</v>
      </c>
      <c r="CD258" s="198">
        <v>41822</v>
      </c>
      <c r="CI258" s="174" t="s">
        <v>9352</v>
      </c>
      <c r="CL258" s="174">
        <v>1</v>
      </c>
    </row>
    <row r="259" spans="1:91">
      <c r="A259" s="191" t="s">
        <v>7731</v>
      </c>
      <c r="B259" s="192" t="s">
        <v>269</v>
      </c>
      <c r="C259" s="192" t="s">
        <v>417</v>
      </c>
      <c r="D259" s="192" t="s">
        <v>8617</v>
      </c>
      <c r="E259" s="193">
        <v>235</v>
      </c>
      <c r="F259" s="193">
        <v>6</v>
      </c>
      <c r="K259" s="176">
        <v>7</v>
      </c>
      <c r="M259" s="197">
        <v>2.75</v>
      </c>
      <c r="N259" s="198">
        <v>41822</v>
      </c>
      <c r="S259" s="176">
        <f>(AE259*BS259)/100</f>
        <v>8.5187321937321929</v>
      </c>
      <c r="T259" s="198"/>
      <c r="U259" s="176">
        <v>16.2</v>
      </c>
      <c r="Y259" s="200">
        <f>(AE259*BU259)/100</f>
        <v>3.0961657169990509</v>
      </c>
      <c r="Z259" s="198"/>
      <c r="AA259" s="200"/>
      <c r="AB259" s="198"/>
      <c r="AC259" s="378">
        <f t="shared" ref="AC259:AC322" si="4">(M259/16.2)*(100-CC259)</f>
        <v>15.566358024691359</v>
      </c>
      <c r="AE259" s="176">
        <f>(M259/U259)*((100-CC259)/(100-9))*100</f>
        <v>17.105887939221272</v>
      </c>
      <c r="AF259" s="198">
        <v>41822</v>
      </c>
      <c r="AG259" s="176">
        <v>4.5999999999999996</v>
      </c>
      <c r="AH259" s="196">
        <v>41927</v>
      </c>
      <c r="AI259" s="176">
        <v>130</v>
      </c>
      <c r="AM259" s="176">
        <v>86</v>
      </c>
      <c r="BG259" s="201">
        <v>0.3</v>
      </c>
      <c r="BI259" s="201">
        <v>4.5999999999999996</v>
      </c>
      <c r="BK259" s="201">
        <v>1.4</v>
      </c>
      <c r="BM259" s="201">
        <v>59.5</v>
      </c>
      <c r="BO259" s="201">
        <v>21.2</v>
      </c>
      <c r="BQ259" s="201">
        <v>9.6999999999999993</v>
      </c>
      <c r="BS259" s="201">
        <v>49.8</v>
      </c>
      <c r="BU259" s="201">
        <v>18.100000000000001</v>
      </c>
      <c r="BW259" s="201">
        <v>9.6</v>
      </c>
      <c r="BY259" s="178">
        <v>7.2000000000000028</v>
      </c>
      <c r="CC259" s="201">
        <v>8.3000000000000007</v>
      </c>
      <c r="CD259" s="198">
        <v>41822</v>
      </c>
      <c r="CI259" s="174" t="s">
        <v>9351</v>
      </c>
      <c r="CL259" s="174">
        <v>7</v>
      </c>
    </row>
    <row r="260" spans="1:91">
      <c r="A260" s="191" t="s">
        <v>7688</v>
      </c>
      <c r="B260" s="192" t="s">
        <v>271</v>
      </c>
      <c r="C260" s="192" t="s">
        <v>8998</v>
      </c>
      <c r="D260" s="192" t="s">
        <v>8447</v>
      </c>
      <c r="E260" s="193">
        <v>235</v>
      </c>
      <c r="F260" s="193">
        <v>7</v>
      </c>
      <c r="K260" s="176">
        <v>8</v>
      </c>
      <c r="M260" s="197">
        <v>6.45</v>
      </c>
      <c r="N260" s="198">
        <v>41822</v>
      </c>
      <c r="S260" s="176">
        <f>(AE260*BS260)/100</f>
        <v>20.473302808302815</v>
      </c>
      <c r="T260" s="198"/>
      <c r="U260" s="176">
        <v>16.2</v>
      </c>
      <c r="Y260" s="200">
        <f>(AE260*BU260)/100</f>
        <v>6.9470288970288996</v>
      </c>
      <c r="Z260" s="198"/>
      <c r="AA260" s="200"/>
      <c r="AB260" s="198"/>
      <c r="AC260" s="378">
        <f t="shared" si="4"/>
        <v>37.187037037037044</v>
      </c>
      <c r="AE260" s="176">
        <f>(M260/U260)*((100-CC260)/(100-9))*100</f>
        <v>40.864875864875877</v>
      </c>
      <c r="AF260" s="198">
        <v>41822</v>
      </c>
      <c r="AG260" s="176">
        <v>4.0999999999999996</v>
      </c>
      <c r="AH260" s="196">
        <v>41927</v>
      </c>
      <c r="AI260" s="176">
        <v>155</v>
      </c>
      <c r="AM260" s="176">
        <v>78</v>
      </c>
      <c r="BG260" s="201">
        <v>1.4</v>
      </c>
      <c r="BI260" s="201">
        <v>4.7</v>
      </c>
      <c r="BK260" s="201">
        <v>1.6</v>
      </c>
      <c r="BM260" s="201">
        <v>65</v>
      </c>
      <c r="BO260" s="201">
        <v>21.5</v>
      </c>
      <c r="BQ260" s="201">
        <v>7.6</v>
      </c>
      <c r="BS260" s="201">
        <v>50.1</v>
      </c>
      <c r="BU260" s="201">
        <v>17</v>
      </c>
      <c r="BW260" s="201">
        <v>16</v>
      </c>
      <c r="BY260" s="178">
        <v>6.4000000000000057</v>
      </c>
      <c r="CC260" s="201">
        <v>6.6</v>
      </c>
      <c r="CD260" s="198">
        <v>41822</v>
      </c>
      <c r="CI260" s="174" t="s">
        <v>9358</v>
      </c>
      <c r="CL260" s="174">
        <v>2</v>
      </c>
    </row>
    <row r="261" spans="1:91">
      <c r="A261" s="191" t="s">
        <v>7898</v>
      </c>
      <c r="B261" s="192" t="s">
        <v>271</v>
      </c>
      <c r="C261" s="192" t="s">
        <v>8998</v>
      </c>
      <c r="D261" s="192" t="s">
        <v>8987</v>
      </c>
      <c r="E261" s="193">
        <v>235</v>
      </c>
      <c r="F261" s="193">
        <v>8</v>
      </c>
      <c r="K261" s="176">
        <v>8</v>
      </c>
      <c r="M261" s="197">
        <v>6.9</v>
      </c>
      <c r="N261" s="198">
        <v>41822</v>
      </c>
      <c r="S261" s="176">
        <f>(AE261*BS261)/100</f>
        <v>22.669088319088324</v>
      </c>
      <c r="T261" s="198"/>
      <c r="U261" s="176">
        <v>16.2</v>
      </c>
      <c r="Y261" s="200">
        <f>(AE261*BU261)/100</f>
        <v>7.2208485958485973</v>
      </c>
      <c r="Z261" s="198"/>
      <c r="AA261" s="200"/>
      <c r="AB261" s="198"/>
      <c r="AC261" s="378">
        <f t="shared" si="4"/>
        <v>39.824074074074076</v>
      </c>
      <c r="AE261" s="176">
        <f>(M261/U261)*((100-CC261)/(100-9))*100</f>
        <v>43.762718762718769</v>
      </c>
      <c r="AF261" s="198">
        <v>41822</v>
      </c>
      <c r="AG261" s="176">
        <v>4.5</v>
      </c>
      <c r="AH261" s="196">
        <v>41927</v>
      </c>
      <c r="AI261" s="176">
        <v>165</v>
      </c>
      <c r="AM261" s="176">
        <v>86</v>
      </c>
      <c r="BG261" s="201">
        <v>0</v>
      </c>
      <c r="BI261" s="201">
        <v>4.8</v>
      </c>
      <c r="BK261" s="201">
        <v>1.6</v>
      </c>
      <c r="BM261" s="201">
        <v>63.4</v>
      </c>
      <c r="BO261" s="201">
        <v>21.8</v>
      </c>
      <c r="BQ261" s="201">
        <v>8.3000000000000007</v>
      </c>
      <c r="BS261" s="201">
        <v>51.8</v>
      </c>
      <c r="BU261" s="201">
        <v>16.5</v>
      </c>
      <c r="BW261" s="201">
        <v>12.6</v>
      </c>
      <c r="BY261" s="178">
        <v>6.0999999999999943</v>
      </c>
      <c r="CC261" s="201">
        <v>6.5</v>
      </c>
      <c r="CD261" s="198">
        <v>41822</v>
      </c>
      <c r="CI261" s="174" t="s">
        <v>9350</v>
      </c>
      <c r="CL261" s="174">
        <v>3</v>
      </c>
    </row>
    <row r="262" spans="1:91">
      <c r="A262" s="202" t="s">
        <v>7740</v>
      </c>
      <c r="B262" s="203" t="s">
        <v>271</v>
      </c>
      <c r="C262" s="203" t="s">
        <v>8998</v>
      </c>
      <c r="D262" s="203" t="s">
        <v>8655</v>
      </c>
      <c r="E262" s="204">
        <v>235</v>
      </c>
      <c r="F262" s="204">
        <v>9</v>
      </c>
      <c r="G262" s="204"/>
      <c r="H262" s="204"/>
      <c r="I262" s="206"/>
      <c r="J262" s="206"/>
      <c r="K262" s="177">
        <v>9</v>
      </c>
      <c r="L262" s="207"/>
      <c r="M262" s="208">
        <v>2.85</v>
      </c>
      <c r="N262" s="209">
        <v>41822</v>
      </c>
      <c r="O262" s="183"/>
      <c r="P262" s="210"/>
      <c r="Q262" s="183"/>
      <c r="R262" s="210"/>
      <c r="S262" s="177">
        <f>(AE262*BS262)/100</f>
        <v>8.7113105413105405</v>
      </c>
      <c r="T262" s="209"/>
      <c r="U262" s="177">
        <v>16.2</v>
      </c>
      <c r="V262" s="210"/>
      <c r="W262" s="183"/>
      <c r="X262" s="210"/>
      <c r="Y262" s="213">
        <f>(AE262*BU262)/100</f>
        <v>3.7797008547008546</v>
      </c>
      <c r="Z262" s="209"/>
      <c r="AA262" s="213"/>
      <c r="AB262" s="209"/>
      <c r="AC262" s="378">
        <f t="shared" si="4"/>
        <v>16.378703703703703</v>
      </c>
      <c r="AD262" s="207"/>
      <c r="AE262" s="177">
        <f>(M262/U262)*((100-CC262)/(100-9))*100</f>
        <v>17.998575498575498</v>
      </c>
      <c r="AF262" s="209">
        <v>41822</v>
      </c>
      <c r="AG262" s="177">
        <v>5.5</v>
      </c>
      <c r="AH262" s="207">
        <v>41927</v>
      </c>
      <c r="AI262" s="177">
        <v>100</v>
      </c>
      <c r="AJ262" s="207"/>
      <c r="AK262" s="183"/>
      <c r="AL262" s="210"/>
      <c r="AM262" s="177">
        <v>62</v>
      </c>
      <c r="AN262" s="210"/>
      <c r="AO262" s="183"/>
      <c r="AP262" s="183"/>
      <c r="AQ262" s="183"/>
      <c r="AR262" s="183"/>
      <c r="AS262" s="183"/>
      <c r="AT262" s="183"/>
      <c r="AU262" s="183"/>
      <c r="AV262" s="183"/>
      <c r="AW262" s="183"/>
      <c r="AX262" s="183"/>
      <c r="AY262" s="183"/>
      <c r="AZ262" s="183"/>
      <c r="BA262" s="183"/>
      <c r="BB262" s="183"/>
      <c r="BC262" s="183"/>
      <c r="BD262" s="183"/>
      <c r="BE262" s="182"/>
      <c r="BF262" s="182"/>
      <c r="BG262" s="211">
        <v>42.3</v>
      </c>
      <c r="BH262" s="181"/>
      <c r="BI262" s="211">
        <v>3.8</v>
      </c>
      <c r="BJ262" s="181"/>
      <c r="BK262" s="211">
        <v>1.1000000000000001</v>
      </c>
      <c r="BL262" s="181"/>
      <c r="BM262" s="211">
        <v>33.5</v>
      </c>
      <c r="BN262" s="181"/>
      <c r="BO262" s="211">
        <v>15.1</v>
      </c>
      <c r="BP262" s="181"/>
      <c r="BQ262" s="211">
        <v>10.9</v>
      </c>
      <c r="BR262" s="181"/>
      <c r="BS262" s="211">
        <v>48.4</v>
      </c>
      <c r="BT262" s="181"/>
      <c r="BU262" s="211">
        <v>21</v>
      </c>
      <c r="BV262" s="181"/>
      <c r="BW262" s="211">
        <v>61.7</v>
      </c>
      <c r="BX262" s="181"/>
      <c r="BY262" s="181">
        <v>6.5999999999999943</v>
      </c>
      <c r="BZ262" s="181"/>
      <c r="CA262" s="182"/>
      <c r="CB262" s="182"/>
      <c r="CC262" s="211">
        <v>6.9</v>
      </c>
      <c r="CD262" s="209">
        <v>41822</v>
      </c>
      <c r="CE262" s="181"/>
      <c r="CF262" s="181"/>
      <c r="CG262" s="182"/>
      <c r="CH262" s="182"/>
      <c r="CI262" s="175" t="s">
        <v>9349</v>
      </c>
      <c r="CJ262" s="181"/>
      <c r="CK262" s="181"/>
      <c r="CL262" s="175">
        <v>7</v>
      </c>
      <c r="CM262" s="175"/>
    </row>
    <row r="263" spans="1:91">
      <c r="A263" s="191" t="s">
        <v>7699</v>
      </c>
      <c r="B263" s="192" t="s">
        <v>271</v>
      </c>
      <c r="C263" s="192" t="s">
        <v>8998</v>
      </c>
      <c r="D263" s="192" t="s">
        <v>8491</v>
      </c>
      <c r="E263" s="193">
        <v>235</v>
      </c>
      <c r="F263" s="193">
        <v>10</v>
      </c>
      <c r="K263" s="176">
        <v>7</v>
      </c>
      <c r="M263" s="197">
        <v>6.6</v>
      </c>
      <c r="N263" s="198">
        <v>41822</v>
      </c>
      <c r="S263" s="176">
        <f>(AE263*BS263)/100</f>
        <v>20.462954822954828</v>
      </c>
      <c r="T263" s="198"/>
      <c r="U263" s="176">
        <v>16.2</v>
      </c>
      <c r="Y263" s="200">
        <f>(AE263*BU263)/100</f>
        <v>7.8191778591778611</v>
      </c>
      <c r="Z263" s="198"/>
      <c r="AA263" s="200"/>
      <c r="AB263" s="198"/>
      <c r="AC263" s="378">
        <f t="shared" si="4"/>
        <v>37.848148148148148</v>
      </c>
      <c r="AE263" s="176">
        <f>(M263/U263)*((100-CC263)/(100-9))*100</f>
        <v>41.591371591371598</v>
      </c>
      <c r="AF263" s="198">
        <v>41822</v>
      </c>
      <c r="AG263" s="176">
        <v>4.9000000000000004</v>
      </c>
      <c r="AH263" s="196">
        <v>41927</v>
      </c>
      <c r="AI263" s="176">
        <v>145</v>
      </c>
      <c r="AM263" s="176">
        <v>82</v>
      </c>
      <c r="BG263" s="201">
        <v>1</v>
      </c>
      <c r="BI263" s="201">
        <v>4.3</v>
      </c>
      <c r="BK263" s="201">
        <v>1.6</v>
      </c>
      <c r="BM263" s="201">
        <v>63.2</v>
      </c>
      <c r="BO263" s="201">
        <v>20.399999999999999</v>
      </c>
      <c r="BQ263" s="201">
        <v>9.6999999999999993</v>
      </c>
      <c r="BS263" s="201">
        <v>49.2</v>
      </c>
      <c r="BU263" s="201">
        <v>18.8</v>
      </c>
      <c r="BW263" s="201">
        <v>15.6</v>
      </c>
      <c r="BY263" s="178">
        <v>6.2999999999999972</v>
      </c>
      <c r="CC263" s="201">
        <v>7.1</v>
      </c>
      <c r="CD263" s="198">
        <v>41822</v>
      </c>
      <c r="CI263" s="174" t="s">
        <v>9355</v>
      </c>
      <c r="CL263" s="174">
        <v>2</v>
      </c>
    </row>
    <row r="264" spans="1:91">
      <c r="A264" s="191" t="s">
        <v>7734</v>
      </c>
      <c r="B264" s="192" t="s">
        <v>271</v>
      </c>
      <c r="C264" s="192" t="s">
        <v>8998</v>
      </c>
      <c r="D264" s="192" t="s">
        <v>8631</v>
      </c>
      <c r="E264" s="193">
        <v>235</v>
      </c>
      <c r="F264" s="193">
        <v>11</v>
      </c>
      <c r="K264" s="176">
        <v>7</v>
      </c>
      <c r="M264" s="197">
        <v>6.6</v>
      </c>
      <c r="N264" s="198">
        <v>41822</v>
      </c>
      <c r="S264" s="176">
        <f>(AE264*BS264)/100</f>
        <v>20.731754171754169</v>
      </c>
      <c r="T264" s="198"/>
      <c r="U264" s="176">
        <v>16.2</v>
      </c>
      <c r="Y264" s="200">
        <f>(AE264*BU264)/100</f>
        <v>7.2291086691086681</v>
      </c>
      <c r="Z264" s="198"/>
      <c r="AA264" s="200"/>
      <c r="AB264" s="198"/>
      <c r="AC264" s="378">
        <f t="shared" si="4"/>
        <v>37.807407407407403</v>
      </c>
      <c r="AE264" s="176">
        <f>(M264/U264)*((100-CC264)/(100-9))*100</f>
        <v>41.546601546601543</v>
      </c>
      <c r="AF264" s="198">
        <v>41822</v>
      </c>
      <c r="AG264" s="176">
        <v>4.5</v>
      </c>
      <c r="AH264" s="196">
        <v>41927</v>
      </c>
      <c r="AI264" s="176">
        <v>155</v>
      </c>
      <c r="AM264" s="176">
        <v>85</v>
      </c>
      <c r="BG264" s="201">
        <v>0</v>
      </c>
      <c r="BI264" s="201">
        <v>4.8</v>
      </c>
      <c r="BK264" s="201">
        <v>1.5</v>
      </c>
      <c r="BM264" s="201">
        <v>65</v>
      </c>
      <c r="BO264" s="201">
        <v>20.6</v>
      </c>
      <c r="BQ264" s="201">
        <v>8</v>
      </c>
      <c r="BS264" s="201">
        <v>49.9</v>
      </c>
      <c r="BU264" s="201">
        <v>17.399999999999999</v>
      </c>
      <c r="BW264" s="201">
        <v>22.4</v>
      </c>
      <c r="BY264" s="178">
        <v>6.4000000000000057</v>
      </c>
      <c r="CC264" s="201">
        <v>7.2</v>
      </c>
      <c r="CD264" s="198">
        <v>41822</v>
      </c>
      <c r="CI264" s="174" t="s">
        <v>9358</v>
      </c>
      <c r="CL264" s="174">
        <v>2</v>
      </c>
    </row>
    <row r="265" spans="1:91">
      <c r="A265" s="191" t="s">
        <v>7713</v>
      </c>
      <c r="B265" s="192" t="s">
        <v>271</v>
      </c>
      <c r="C265" s="192" t="s">
        <v>8998</v>
      </c>
      <c r="D265" s="192" t="s">
        <v>8547</v>
      </c>
      <c r="E265" s="193">
        <v>235</v>
      </c>
      <c r="F265" s="193">
        <v>12</v>
      </c>
      <c r="K265" s="176">
        <v>8</v>
      </c>
      <c r="M265" s="197">
        <v>5.0999999999999996</v>
      </c>
      <c r="N265" s="198">
        <v>41822</v>
      </c>
      <c r="S265" s="176">
        <f>(AE265*BS265)/100</f>
        <v>16.323424908424908</v>
      </c>
      <c r="T265" s="198"/>
      <c r="U265" s="176">
        <v>16.2</v>
      </c>
      <c r="Y265" s="200">
        <f>(AE265*BU265)/100</f>
        <v>5.6763186813186799</v>
      </c>
      <c r="Z265" s="198"/>
      <c r="AA265" s="200"/>
      <c r="AB265" s="198"/>
      <c r="AC265" s="378">
        <f t="shared" si="4"/>
        <v>29.183333333333334</v>
      </c>
      <c r="AE265" s="176">
        <f>(M265/U265)*((100-CC265)/(100-9))*100</f>
        <v>32.069597069597066</v>
      </c>
      <c r="AF265" s="198">
        <v>41822</v>
      </c>
      <c r="AG265" s="176">
        <v>4.3</v>
      </c>
      <c r="AH265" s="196">
        <v>41927</v>
      </c>
      <c r="AI265" s="176">
        <v>145</v>
      </c>
      <c r="AM265" s="176">
        <v>78</v>
      </c>
      <c r="BG265" s="201">
        <v>0</v>
      </c>
      <c r="BI265" s="201">
        <v>4.5999999999999996</v>
      </c>
      <c r="BK265" s="201">
        <v>1.7</v>
      </c>
      <c r="BM265" s="201">
        <v>64.3</v>
      </c>
      <c r="BO265" s="201">
        <v>21</v>
      </c>
      <c r="BQ265" s="201">
        <v>8.6999999999999993</v>
      </c>
      <c r="BS265" s="201">
        <v>50.9</v>
      </c>
      <c r="BU265" s="201">
        <v>17.7</v>
      </c>
      <c r="BW265" s="201">
        <v>8.8000000000000007</v>
      </c>
      <c r="BY265" s="178">
        <v>6.5</v>
      </c>
      <c r="CC265" s="201">
        <v>7.3</v>
      </c>
      <c r="CD265" s="198">
        <v>41822</v>
      </c>
      <c r="CI265" s="174" t="s">
        <v>9347</v>
      </c>
      <c r="CL265" s="174">
        <v>2</v>
      </c>
    </row>
    <row r="266" spans="1:91">
      <c r="A266" s="191" t="s">
        <v>7640</v>
      </c>
      <c r="B266" s="192" t="s">
        <v>269</v>
      </c>
      <c r="C266" s="192" t="s">
        <v>417</v>
      </c>
      <c r="D266" s="192" t="s">
        <v>8253</v>
      </c>
      <c r="E266" s="193">
        <v>236</v>
      </c>
      <c r="F266" s="193">
        <v>1</v>
      </c>
      <c r="K266" s="176">
        <v>7</v>
      </c>
      <c r="M266" s="197">
        <v>4.6500000000000004</v>
      </c>
      <c r="N266" s="198">
        <v>41822</v>
      </c>
      <c r="S266" s="176">
        <f>(AE266*BS266)/100</f>
        <v>15.777637362637369</v>
      </c>
      <c r="T266" s="198"/>
      <c r="U266" s="176">
        <v>16.2</v>
      </c>
      <c r="Y266" s="200">
        <f>(AE266*BU266)/100</f>
        <v>5.1106471306471324</v>
      </c>
      <c r="Z266" s="198"/>
      <c r="AA266" s="200"/>
      <c r="AB266" s="198"/>
      <c r="AC266" s="378">
        <f t="shared" si="4"/>
        <v>27.038888888888895</v>
      </c>
      <c r="AE266" s="176">
        <f>(M266/U266)*((100-CC266)/(100-9))*100</f>
        <v>29.713064713064725</v>
      </c>
      <c r="AF266" s="198">
        <v>41822</v>
      </c>
      <c r="AG266" s="176">
        <v>4.9000000000000004</v>
      </c>
      <c r="AH266" s="196">
        <v>41927</v>
      </c>
      <c r="AI266" s="176">
        <v>140</v>
      </c>
      <c r="AM266" s="176">
        <v>82</v>
      </c>
      <c r="BG266" s="201">
        <v>48.4</v>
      </c>
      <c r="BI266" s="201">
        <v>4</v>
      </c>
      <c r="BK266" s="201">
        <v>1</v>
      </c>
      <c r="BM266" s="201">
        <v>24</v>
      </c>
      <c r="BO266" s="201">
        <v>15.8</v>
      </c>
      <c r="BQ266" s="201">
        <v>7.5</v>
      </c>
      <c r="BS266" s="201">
        <v>53.1</v>
      </c>
      <c r="BU266" s="201">
        <v>17.2</v>
      </c>
      <c r="BW266" s="201">
        <v>16.100000000000001</v>
      </c>
      <c r="BY266" s="178">
        <v>6</v>
      </c>
      <c r="CC266" s="201">
        <v>5.8</v>
      </c>
      <c r="CD266" s="198">
        <v>41822</v>
      </c>
      <c r="CI266" s="174" t="s">
        <v>9336</v>
      </c>
      <c r="CL266" s="174">
        <v>4</v>
      </c>
    </row>
    <row r="267" spans="1:91">
      <c r="A267" s="191" t="s">
        <v>7803</v>
      </c>
      <c r="B267" s="192" t="s">
        <v>269</v>
      </c>
      <c r="C267" s="192" t="s">
        <v>417</v>
      </c>
      <c r="D267" s="192" t="s">
        <v>8905</v>
      </c>
      <c r="E267" s="193">
        <v>236</v>
      </c>
      <c r="F267" s="193">
        <v>2</v>
      </c>
      <c r="K267" s="176">
        <v>7</v>
      </c>
      <c r="M267" s="197">
        <v>4.05</v>
      </c>
      <c r="N267" s="198">
        <v>41822</v>
      </c>
      <c r="S267" s="176">
        <f>(AE267*BS267)/100</f>
        <v>13.488681318681319</v>
      </c>
      <c r="T267" s="198"/>
      <c r="U267" s="176">
        <v>16.2</v>
      </c>
      <c r="Y267" s="200">
        <f>(AE267*BU267)/100</f>
        <v>3.8612637362637368</v>
      </c>
      <c r="Z267" s="198"/>
      <c r="AA267" s="200"/>
      <c r="AB267" s="198"/>
      <c r="AC267" s="378">
        <f t="shared" si="4"/>
        <v>23.425000000000001</v>
      </c>
      <c r="AE267" s="176">
        <f>(M267/U267)*((100-CC267)/(100-9))*100</f>
        <v>25.741758241758244</v>
      </c>
      <c r="AF267" s="198">
        <v>41822</v>
      </c>
      <c r="AG267" s="176">
        <v>4.9000000000000004</v>
      </c>
      <c r="AH267" s="196">
        <v>41927</v>
      </c>
      <c r="AI267" s="176">
        <v>150</v>
      </c>
      <c r="AM267" s="176">
        <v>80</v>
      </c>
      <c r="BG267" s="201">
        <v>2.5</v>
      </c>
      <c r="BI267" s="201">
        <v>4.8</v>
      </c>
      <c r="BK267" s="201">
        <v>1.6</v>
      </c>
      <c r="BM267" s="201">
        <v>63.1</v>
      </c>
      <c r="BO267" s="201">
        <v>21.6</v>
      </c>
      <c r="BQ267" s="201">
        <v>8.3000000000000007</v>
      </c>
      <c r="BS267" s="201">
        <v>52.4</v>
      </c>
      <c r="BU267" s="201">
        <v>15</v>
      </c>
      <c r="BW267" s="201">
        <v>9.4</v>
      </c>
      <c r="BY267" s="178">
        <v>6.7000000000000028</v>
      </c>
      <c r="CC267" s="201">
        <v>6.3</v>
      </c>
      <c r="CD267" s="198">
        <v>41822</v>
      </c>
      <c r="CI267" s="174" t="s">
        <v>9350</v>
      </c>
      <c r="CL267" s="174">
        <v>1</v>
      </c>
    </row>
    <row r="268" spans="1:91">
      <c r="A268" s="191" t="s">
        <v>7758</v>
      </c>
      <c r="B268" s="192" t="s">
        <v>269</v>
      </c>
      <c r="C268" s="192" t="s">
        <v>417</v>
      </c>
      <c r="D268" s="192" t="s">
        <v>8725</v>
      </c>
      <c r="E268" s="193">
        <v>236</v>
      </c>
      <c r="F268" s="193">
        <v>3</v>
      </c>
      <c r="K268" s="176">
        <v>8</v>
      </c>
      <c r="M268" s="197">
        <v>3.75</v>
      </c>
      <c r="N268" s="198">
        <v>41822</v>
      </c>
      <c r="S268" s="176">
        <f>(AE268*BS268)/100</f>
        <v>12.534213471713471</v>
      </c>
      <c r="T268" s="198"/>
      <c r="U268" s="176">
        <v>16.2</v>
      </c>
      <c r="Y268" s="200">
        <f>(AE268*BU268)/100</f>
        <v>3.6627492877492873</v>
      </c>
      <c r="Z268" s="198"/>
      <c r="AA268" s="200"/>
      <c r="AB268" s="198"/>
      <c r="AC268" s="378">
        <f t="shared" si="4"/>
        <v>21.643518518518519</v>
      </c>
      <c r="AE268" s="176">
        <f>(M268/U268)*((100-CC268)/(100-9))*100</f>
        <v>23.784086284086282</v>
      </c>
      <c r="AF268" s="198">
        <v>41822</v>
      </c>
      <c r="AG268" s="176">
        <v>4.5999999999999996</v>
      </c>
      <c r="AH268" s="196">
        <v>41927</v>
      </c>
      <c r="AI268" s="176">
        <v>150</v>
      </c>
      <c r="AM268" s="176">
        <v>78</v>
      </c>
      <c r="BG268" s="201">
        <v>6.7</v>
      </c>
      <c r="BI268" s="201">
        <v>4.9000000000000004</v>
      </c>
      <c r="BK268" s="201">
        <v>1.5</v>
      </c>
      <c r="BM268" s="201">
        <v>66</v>
      </c>
      <c r="BO268" s="201">
        <v>20.7</v>
      </c>
      <c r="BQ268" s="201">
        <v>8</v>
      </c>
      <c r="BS268" s="201">
        <v>52.7</v>
      </c>
      <c r="BU268" s="201">
        <v>15.4</v>
      </c>
      <c r="BW268" s="201">
        <v>20.399999999999999</v>
      </c>
      <c r="BY268" s="178">
        <v>6.4000000000000057</v>
      </c>
      <c r="CC268" s="201">
        <v>6.5</v>
      </c>
      <c r="CD268" s="198">
        <v>41822</v>
      </c>
      <c r="CI268" s="174" t="s">
        <v>9355</v>
      </c>
      <c r="CL268" s="174">
        <v>3</v>
      </c>
    </row>
    <row r="269" spans="1:91">
      <c r="A269" s="191" t="s">
        <v>7757</v>
      </c>
      <c r="B269" s="192" t="s">
        <v>269</v>
      </c>
      <c r="C269" s="192" t="s">
        <v>417</v>
      </c>
      <c r="D269" s="192" t="s">
        <v>8721</v>
      </c>
      <c r="E269" s="193">
        <v>236</v>
      </c>
      <c r="F269" s="193">
        <v>4</v>
      </c>
      <c r="K269" s="176">
        <v>5</v>
      </c>
      <c r="M269" s="197">
        <v>4</v>
      </c>
      <c r="N269" s="198">
        <v>41822</v>
      </c>
      <c r="S269" s="176">
        <f>(AE269*BS269)/100</f>
        <v>13.067914801248135</v>
      </c>
      <c r="T269" s="198"/>
      <c r="U269" s="176">
        <v>16.2</v>
      </c>
      <c r="Y269" s="200">
        <f>(AE269*BU269)/100</f>
        <v>4.2712250712250714</v>
      </c>
      <c r="Z269" s="198"/>
      <c r="AA269" s="200"/>
      <c r="AB269" s="198"/>
      <c r="AC269" s="378">
        <f t="shared" si="4"/>
        <v>23.135802469135804</v>
      </c>
      <c r="AE269" s="176">
        <f>(M269/U269)*((100-CC269)/(100-9))*100</f>
        <v>25.423958757292091</v>
      </c>
      <c r="AF269" s="198">
        <v>41822</v>
      </c>
      <c r="AG269" s="176">
        <v>4.3</v>
      </c>
      <c r="AH269" s="196">
        <v>41927</v>
      </c>
      <c r="AI269" s="176">
        <v>135</v>
      </c>
      <c r="AM269" s="176">
        <v>88</v>
      </c>
      <c r="BG269" s="201">
        <v>52.1</v>
      </c>
      <c r="BI269" s="201">
        <v>4.4000000000000004</v>
      </c>
      <c r="BK269" s="201">
        <v>0.7</v>
      </c>
      <c r="BM269" s="201">
        <v>18.8</v>
      </c>
      <c r="BO269" s="201">
        <v>17.3</v>
      </c>
      <c r="BQ269" s="201">
        <v>8.9</v>
      </c>
      <c r="BS269" s="201">
        <v>51.4</v>
      </c>
      <c r="BU269" s="201">
        <v>16.8</v>
      </c>
      <c r="BW269" s="201">
        <v>48</v>
      </c>
      <c r="BY269" s="178">
        <v>6.2999999999999972</v>
      </c>
      <c r="CC269" s="201">
        <v>6.3</v>
      </c>
      <c r="CD269" s="198">
        <v>41822</v>
      </c>
      <c r="CI269" s="174" t="s">
        <v>9355</v>
      </c>
      <c r="CL269" s="174">
        <v>3</v>
      </c>
    </row>
    <row r="270" spans="1:91">
      <c r="A270" s="191" t="s">
        <v>7898</v>
      </c>
      <c r="B270" s="192" t="s">
        <v>269</v>
      </c>
      <c r="C270" s="192" t="s">
        <v>417</v>
      </c>
      <c r="D270" s="192" t="s">
        <v>8985</v>
      </c>
      <c r="E270" s="193">
        <v>236</v>
      </c>
      <c r="F270" s="193">
        <v>5</v>
      </c>
      <c r="K270" s="176">
        <v>8</v>
      </c>
      <c r="M270" s="197">
        <v>4.3499999999999996</v>
      </c>
      <c r="N270" s="198">
        <v>41822</v>
      </c>
      <c r="S270" s="176">
        <f>(AE270*BS270)/100</f>
        <v>14.74461741961742</v>
      </c>
      <c r="T270" s="198"/>
      <c r="U270" s="176">
        <v>16.2</v>
      </c>
      <c r="Y270" s="200">
        <f>(AE270*BU270)/100</f>
        <v>4.078884818884819</v>
      </c>
      <c r="Z270" s="198"/>
      <c r="AA270" s="200"/>
      <c r="AB270" s="198"/>
      <c r="AC270" s="378">
        <f t="shared" si="4"/>
        <v>25.079629629629629</v>
      </c>
      <c r="AE270" s="176">
        <f>(M270/U270)*((100-CC270)/(100-9))*100</f>
        <v>27.56003256003256</v>
      </c>
      <c r="AF270" s="198">
        <v>41822</v>
      </c>
      <c r="AG270" s="176">
        <v>4.8</v>
      </c>
      <c r="AH270" s="196">
        <v>41927</v>
      </c>
      <c r="AI270" s="176">
        <v>155</v>
      </c>
      <c r="AM270" s="176">
        <v>83</v>
      </c>
      <c r="BG270" s="201">
        <v>0</v>
      </c>
      <c r="BI270" s="201">
        <v>5.0999999999999996</v>
      </c>
      <c r="BK270" s="201">
        <v>1.6</v>
      </c>
      <c r="BM270" s="201">
        <v>63.6</v>
      </c>
      <c r="BO270" s="201">
        <v>21.4</v>
      </c>
      <c r="BQ270" s="201">
        <v>9</v>
      </c>
      <c r="BS270" s="201">
        <v>53.5</v>
      </c>
      <c r="BU270" s="201">
        <v>14.8</v>
      </c>
      <c r="BW270" s="201">
        <v>10.8</v>
      </c>
      <c r="BY270" s="178">
        <v>6.2999999999999972</v>
      </c>
      <c r="CC270" s="201">
        <v>6.6</v>
      </c>
      <c r="CD270" s="198">
        <v>41822</v>
      </c>
      <c r="CI270" s="174" t="s">
        <v>9358</v>
      </c>
      <c r="CL270" s="174">
        <v>1</v>
      </c>
    </row>
    <row r="271" spans="1:91">
      <c r="A271" s="191" t="s">
        <v>7665</v>
      </c>
      <c r="B271" s="192" t="s">
        <v>269</v>
      </c>
      <c r="C271" s="192" t="s">
        <v>417</v>
      </c>
      <c r="D271" s="192" t="s">
        <v>8353</v>
      </c>
      <c r="E271" s="193">
        <v>236</v>
      </c>
      <c r="F271" s="193">
        <v>6</v>
      </c>
      <c r="K271" s="176">
        <v>8</v>
      </c>
      <c r="M271" s="197">
        <v>3.8</v>
      </c>
      <c r="N271" s="198">
        <v>41822</v>
      </c>
      <c r="S271" s="176">
        <f>(AE271*BS271)/100</f>
        <v>12.045113281779949</v>
      </c>
      <c r="T271" s="198"/>
      <c r="U271" s="176">
        <v>16.2</v>
      </c>
      <c r="Y271" s="200">
        <f>(AE271*BU271)/100</f>
        <v>4.1666992266992269</v>
      </c>
      <c r="Z271" s="198"/>
      <c r="AA271" s="200"/>
      <c r="AB271" s="198"/>
      <c r="AC271" s="378">
        <f t="shared" si="4"/>
        <v>21.791358024691359</v>
      </c>
      <c r="AE271" s="176">
        <f>(M271/U271)*((100-CC271)/(100-9))*100</f>
        <v>23.946547279880615</v>
      </c>
      <c r="AF271" s="198">
        <v>41822</v>
      </c>
      <c r="AG271" s="176">
        <v>4.5999999999999996</v>
      </c>
      <c r="AH271" s="196">
        <v>41927</v>
      </c>
      <c r="AI271" s="176">
        <v>135</v>
      </c>
      <c r="AM271" s="176">
        <v>87</v>
      </c>
      <c r="BG271" s="201">
        <v>0</v>
      </c>
      <c r="BI271" s="201">
        <v>4.4000000000000004</v>
      </c>
      <c r="BK271" s="201">
        <v>1.6</v>
      </c>
      <c r="BM271" s="201">
        <v>62</v>
      </c>
      <c r="BO271" s="201">
        <v>19.600000000000001</v>
      </c>
      <c r="BQ271" s="201">
        <v>9.1999999999999993</v>
      </c>
      <c r="BS271" s="201">
        <v>50.3</v>
      </c>
      <c r="BU271" s="201">
        <v>17.399999999999999</v>
      </c>
      <c r="BW271" s="201">
        <v>11.3</v>
      </c>
      <c r="BY271" s="178">
        <v>6.9000000000000057</v>
      </c>
      <c r="CC271" s="201">
        <v>7.1</v>
      </c>
      <c r="CD271" s="198">
        <v>41822</v>
      </c>
      <c r="CI271" s="174" t="s">
        <v>9362</v>
      </c>
      <c r="CL271" s="174">
        <v>4</v>
      </c>
    </row>
    <row r="272" spans="1:91">
      <c r="A272" s="191" t="s">
        <v>7617</v>
      </c>
      <c r="B272" s="192" t="s">
        <v>271</v>
      </c>
      <c r="C272" s="192" t="s">
        <v>8998</v>
      </c>
      <c r="D272" s="192" t="s">
        <v>8163</v>
      </c>
      <c r="E272" s="193">
        <v>236</v>
      </c>
      <c r="F272" s="193">
        <v>7</v>
      </c>
      <c r="I272" s="184"/>
      <c r="K272" s="176">
        <v>8</v>
      </c>
      <c r="M272" s="197">
        <v>3.05</v>
      </c>
      <c r="N272" s="198">
        <v>41822</v>
      </c>
      <c r="O272" s="179"/>
      <c r="S272" s="176">
        <f>(AE272*BS272)/100</f>
        <v>9.6232030932030934</v>
      </c>
      <c r="T272" s="198"/>
      <c r="U272" s="176">
        <v>16.2</v>
      </c>
      <c r="Y272" s="200">
        <f>(AE272*BU272)/100</f>
        <v>3.6328557861891198</v>
      </c>
      <c r="Z272" s="198"/>
      <c r="AA272" s="200"/>
      <c r="AB272" s="198"/>
      <c r="AC272" s="378">
        <f t="shared" si="4"/>
        <v>17.584567901234568</v>
      </c>
      <c r="AE272" s="176">
        <f>(M272/U272)*((100-CC272)/(100-9))*100</f>
        <v>19.323700990367659</v>
      </c>
      <c r="AF272" s="198">
        <v>41822</v>
      </c>
      <c r="AG272" s="176">
        <v>5.7</v>
      </c>
      <c r="AH272" s="196">
        <v>41927</v>
      </c>
      <c r="AI272" s="176">
        <v>105</v>
      </c>
      <c r="AM272" s="176">
        <v>76</v>
      </c>
      <c r="BG272" s="201">
        <v>46.4</v>
      </c>
      <c r="BI272" s="201">
        <v>4.3</v>
      </c>
      <c r="BK272" s="201">
        <v>1</v>
      </c>
      <c r="BM272" s="201">
        <v>32.799999999999997</v>
      </c>
      <c r="BO272" s="201">
        <v>15.2</v>
      </c>
      <c r="BQ272" s="201">
        <v>9.4</v>
      </c>
      <c r="BS272" s="201">
        <v>49.8</v>
      </c>
      <c r="BU272" s="201">
        <v>18.8</v>
      </c>
      <c r="BW272" s="201">
        <v>62.1</v>
      </c>
      <c r="BY272" s="178">
        <v>6.2000000000000028</v>
      </c>
      <c r="CC272" s="201">
        <v>6.6</v>
      </c>
      <c r="CD272" s="198">
        <v>41822</v>
      </c>
      <c r="CI272" s="174" t="s">
        <v>9349</v>
      </c>
      <c r="CL272" s="174">
        <v>7</v>
      </c>
    </row>
    <row r="273" spans="1:91">
      <c r="A273" s="191" t="s">
        <v>7782</v>
      </c>
      <c r="B273" s="192" t="s">
        <v>271</v>
      </c>
      <c r="C273" s="192" t="s">
        <v>8998</v>
      </c>
      <c r="D273" s="192" t="s">
        <v>8823</v>
      </c>
      <c r="E273" s="193">
        <v>236</v>
      </c>
      <c r="F273" s="193">
        <v>8</v>
      </c>
      <c r="K273" s="176">
        <v>9</v>
      </c>
      <c r="M273" s="197">
        <v>7.3</v>
      </c>
      <c r="N273" s="198">
        <v>41822</v>
      </c>
      <c r="S273" s="176">
        <f>(AE273*BS273)/100</f>
        <v>23.089481074481071</v>
      </c>
      <c r="T273" s="198"/>
      <c r="U273" s="176">
        <v>16.2</v>
      </c>
      <c r="Y273" s="200">
        <f>(AE273*BU273)/100</f>
        <v>8.0331196581196576</v>
      </c>
      <c r="Z273" s="198"/>
      <c r="AA273" s="200"/>
      <c r="AB273" s="198"/>
      <c r="AC273" s="378">
        <f t="shared" si="4"/>
        <v>41.772222222222226</v>
      </c>
      <c r="AE273" s="176">
        <f>(M273/U273)*((100-CC273)/(100-9))*100</f>
        <v>45.9035409035409</v>
      </c>
      <c r="AF273" s="198">
        <v>41822</v>
      </c>
      <c r="AG273" s="176">
        <v>4.5999999999999996</v>
      </c>
      <c r="AH273" s="196">
        <v>41927</v>
      </c>
      <c r="AI273" s="176">
        <v>165</v>
      </c>
      <c r="AM273" s="176">
        <v>84</v>
      </c>
      <c r="BG273" s="201">
        <v>0</v>
      </c>
      <c r="BI273" s="201">
        <v>4.5999999999999996</v>
      </c>
      <c r="BK273" s="201">
        <v>1.7</v>
      </c>
      <c r="BM273" s="201">
        <v>67.099999999999994</v>
      </c>
      <c r="BO273" s="201">
        <v>20.3</v>
      </c>
      <c r="BQ273" s="201">
        <v>6.8</v>
      </c>
      <c r="BS273" s="201">
        <v>50.3</v>
      </c>
      <c r="BU273" s="201">
        <v>17.5</v>
      </c>
      <c r="BW273" s="201">
        <v>8.6</v>
      </c>
      <c r="BY273" s="178">
        <v>6.5999999999999943</v>
      </c>
      <c r="CC273" s="201">
        <v>7.3</v>
      </c>
      <c r="CD273" s="198">
        <v>41822</v>
      </c>
      <c r="CI273" s="174" t="s">
        <v>9355</v>
      </c>
      <c r="CL273" s="174">
        <v>1</v>
      </c>
    </row>
    <row r="274" spans="1:91">
      <c r="A274" s="191" t="s">
        <v>7735</v>
      </c>
      <c r="B274" s="192" t="s">
        <v>271</v>
      </c>
      <c r="C274" s="192" t="s">
        <v>8998</v>
      </c>
      <c r="D274" s="192" t="s">
        <v>8635</v>
      </c>
      <c r="E274" s="193">
        <v>236</v>
      </c>
      <c r="F274" s="193">
        <v>9</v>
      </c>
      <c r="K274" s="176">
        <v>8</v>
      </c>
      <c r="M274" s="197">
        <v>4.95</v>
      </c>
      <c r="N274" s="198">
        <v>41822</v>
      </c>
      <c r="S274" s="176">
        <f>(AE274*BS274)/100</f>
        <v>15.837515262515264</v>
      </c>
      <c r="T274" s="198"/>
      <c r="U274" s="176">
        <v>16.2</v>
      </c>
      <c r="Y274" s="200">
        <f>(AE274*BU274)/100</f>
        <v>5.6136935286935294</v>
      </c>
      <c r="Z274" s="198"/>
      <c r="AA274" s="200"/>
      <c r="AB274" s="198"/>
      <c r="AC274" s="378">
        <f t="shared" si="4"/>
        <v>28.538888888888891</v>
      </c>
      <c r="AE274" s="176">
        <f>(M274/U274)*((100-CC274)/(100-9))*100</f>
        <v>31.361416361416367</v>
      </c>
      <c r="AF274" s="198">
        <v>41822</v>
      </c>
      <c r="AG274" s="176">
        <v>5.3</v>
      </c>
      <c r="AH274" s="196">
        <v>41927</v>
      </c>
      <c r="AI274" s="176">
        <v>165</v>
      </c>
      <c r="AM274" s="176">
        <v>84</v>
      </c>
      <c r="BG274" s="201">
        <v>0.6</v>
      </c>
      <c r="BI274" s="201">
        <v>4.4000000000000004</v>
      </c>
      <c r="BK274" s="201">
        <v>1.5</v>
      </c>
      <c r="BM274" s="201">
        <v>63</v>
      </c>
      <c r="BO274" s="201">
        <v>21.6</v>
      </c>
      <c r="BQ274" s="201">
        <v>9</v>
      </c>
      <c r="BS274" s="201">
        <v>50.5</v>
      </c>
      <c r="BU274" s="201">
        <v>17.899999999999999</v>
      </c>
      <c r="BW274" s="201">
        <v>12.3</v>
      </c>
      <c r="BY274" s="178">
        <v>6.0999999999999943</v>
      </c>
      <c r="CC274" s="201">
        <v>6.6</v>
      </c>
      <c r="CD274" s="198">
        <v>41822</v>
      </c>
      <c r="CI274" s="174" t="s">
        <v>9355</v>
      </c>
      <c r="CL274" s="174">
        <v>2</v>
      </c>
    </row>
    <row r="275" spans="1:91">
      <c r="A275" s="191" t="s">
        <v>7749</v>
      </c>
      <c r="B275" s="192" t="s">
        <v>271</v>
      </c>
      <c r="C275" s="192" t="s">
        <v>8998</v>
      </c>
      <c r="D275" s="192" t="s">
        <v>8691</v>
      </c>
      <c r="E275" s="193">
        <v>236</v>
      </c>
      <c r="F275" s="193">
        <v>10</v>
      </c>
      <c r="K275" s="176">
        <v>9</v>
      </c>
      <c r="M275" s="197">
        <v>3.65</v>
      </c>
      <c r="N275" s="198">
        <v>41822</v>
      </c>
      <c r="S275" s="176">
        <f>(AE275*BS275)/100</f>
        <v>10.626521164021165</v>
      </c>
      <c r="T275" s="198"/>
      <c r="U275" s="176">
        <v>16.2</v>
      </c>
      <c r="Y275" s="200">
        <f>(AE275*BU275)/100</f>
        <v>4.9590432098765431</v>
      </c>
      <c r="Z275" s="198"/>
      <c r="AA275" s="200"/>
      <c r="AB275" s="198"/>
      <c r="AC275" s="378">
        <f t="shared" si="4"/>
        <v>20.795987654320989</v>
      </c>
      <c r="AE275" s="176">
        <f>(M275/U275)*((100-CC275)/(100-9))*100</f>
        <v>22.852733686067019</v>
      </c>
      <c r="AF275" s="198">
        <v>41822</v>
      </c>
      <c r="AG275" s="176">
        <v>4.4000000000000004</v>
      </c>
      <c r="AH275" s="196">
        <v>41927</v>
      </c>
      <c r="AI275" s="176">
        <v>110</v>
      </c>
      <c r="AM275" s="176">
        <v>94</v>
      </c>
      <c r="BG275" s="201">
        <v>50.6</v>
      </c>
      <c r="BI275" s="201">
        <v>4</v>
      </c>
      <c r="BK275" s="201">
        <v>0.8</v>
      </c>
      <c r="BM275" s="201">
        <v>28.6</v>
      </c>
      <c r="BO275" s="201">
        <v>16.100000000000001</v>
      </c>
      <c r="BQ275" s="201">
        <v>10</v>
      </c>
      <c r="BS275" s="201">
        <v>46.5</v>
      </c>
      <c r="BU275" s="201">
        <v>21.7</v>
      </c>
      <c r="BW275" s="201">
        <v>76</v>
      </c>
      <c r="BY275" s="178">
        <v>6.2999999999999972</v>
      </c>
      <c r="CC275" s="201">
        <v>7.7</v>
      </c>
      <c r="CD275" s="198">
        <v>41822</v>
      </c>
      <c r="CI275" s="174" t="s">
        <v>9347</v>
      </c>
      <c r="CL275" s="174">
        <v>7</v>
      </c>
    </row>
    <row r="276" spans="1:91">
      <c r="A276" s="191" t="s">
        <v>7727</v>
      </c>
      <c r="B276" s="192" t="s">
        <v>271</v>
      </c>
      <c r="C276" s="192" t="s">
        <v>8998</v>
      </c>
      <c r="D276" s="192" t="s">
        <v>8603</v>
      </c>
      <c r="E276" s="193">
        <v>236</v>
      </c>
      <c r="F276" s="193">
        <v>11</v>
      </c>
      <c r="K276" s="176">
        <v>8</v>
      </c>
      <c r="M276" s="197">
        <v>6.95</v>
      </c>
      <c r="N276" s="198">
        <v>41822</v>
      </c>
      <c r="S276" s="176">
        <f>(AE276*BS276)/100</f>
        <v>22.053591778591777</v>
      </c>
      <c r="T276" s="198"/>
      <c r="U276" s="176">
        <v>16.2</v>
      </c>
      <c r="Y276" s="200">
        <f>(AE276*BU276)/100</f>
        <v>7.1904354904354886</v>
      </c>
      <c r="Z276" s="198"/>
      <c r="AA276" s="200"/>
      <c r="AB276" s="198"/>
      <c r="AC276" s="378">
        <f t="shared" si="4"/>
        <v>39.898148148148152</v>
      </c>
      <c r="AE276" s="176">
        <f>(M276/U276)*((100-CC276)/(100-9))*100</f>
        <v>43.844118844118839</v>
      </c>
      <c r="AF276" s="198">
        <v>41822</v>
      </c>
      <c r="AG276" s="176">
        <v>5.0999999999999996</v>
      </c>
      <c r="AH276" s="196">
        <v>41927</v>
      </c>
      <c r="AI276" s="176">
        <v>170</v>
      </c>
      <c r="AM276" s="176">
        <v>82</v>
      </c>
      <c r="BG276" s="201">
        <v>2</v>
      </c>
      <c r="BI276" s="201">
        <v>4.9000000000000004</v>
      </c>
      <c r="BK276" s="201">
        <v>1.7</v>
      </c>
      <c r="BM276" s="201">
        <v>65.400000000000006</v>
      </c>
      <c r="BO276" s="201">
        <v>20.3</v>
      </c>
      <c r="BQ276" s="201">
        <v>7.3</v>
      </c>
      <c r="BS276" s="201">
        <v>50.3</v>
      </c>
      <c r="BU276" s="201">
        <v>16.399999999999999</v>
      </c>
      <c r="BW276" s="201">
        <v>5.4</v>
      </c>
      <c r="BY276" s="178">
        <v>6</v>
      </c>
      <c r="CC276" s="201">
        <v>7</v>
      </c>
      <c r="CD276" s="198">
        <v>41822</v>
      </c>
      <c r="CI276" s="174" t="s">
        <v>9358</v>
      </c>
      <c r="CL276" s="174">
        <v>2</v>
      </c>
    </row>
    <row r="277" spans="1:91">
      <c r="A277" s="191" t="s">
        <v>7790</v>
      </c>
      <c r="B277" s="192" t="s">
        <v>271</v>
      </c>
      <c r="C277" s="192" t="s">
        <v>8998</v>
      </c>
      <c r="D277" s="192" t="s">
        <v>8855</v>
      </c>
      <c r="E277" s="193">
        <v>236</v>
      </c>
      <c r="F277" s="193">
        <v>12</v>
      </c>
      <c r="K277" s="176">
        <v>8</v>
      </c>
      <c r="M277" s="197">
        <v>7.35</v>
      </c>
      <c r="N277" s="198">
        <v>41822</v>
      </c>
      <c r="S277" s="176">
        <f>(AE277*BS277)/100</f>
        <v>23.899914529914533</v>
      </c>
      <c r="T277" s="198"/>
      <c r="U277" s="176">
        <v>16.2</v>
      </c>
      <c r="Y277" s="200">
        <f>(AE277*BU277)/100</f>
        <v>7.6424145299145296</v>
      </c>
      <c r="Z277" s="198"/>
      <c r="AA277" s="200"/>
      <c r="AB277" s="198"/>
      <c r="AC277" s="378">
        <f t="shared" si="4"/>
        <v>42.149074074074079</v>
      </c>
      <c r="AE277" s="176">
        <f>(M277/U277)*((100-CC277)/(100-9))*100</f>
        <v>46.317663817663821</v>
      </c>
      <c r="AF277" s="198">
        <v>41822</v>
      </c>
      <c r="AG277" s="176">
        <v>4.4000000000000004</v>
      </c>
      <c r="AH277" s="196">
        <v>41927</v>
      </c>
      <c r="AI277" s="176">
        <v>160</v>
      </c>
      <c r="AM277" s="176">
        <v>84</v>
      </c>
      <c r="BG277" s="201">
        <v>0</v>
      </c>
      <c r="BI277" s="201">
        <v>4.5</v>
      </c>
      <c r="BK277" s="201">
        <v>1.7</v>
      </c>
      <c r="BM277" s="201">
        <v>65.400000000000006</v>
      </c>
      <c r="BO277" s="201">
        <v>20.8</v>
      </c>
      <c r="BQ277" s="201">
        <v>7.4</v>
      </c>
      <c r="BS277" s="201">
        <v>51.6</v>
      </c>
      <c r="BU277" s="201">
        <v>16.5</v>
      </c>
      <c r="BW277" s="201">
        <v>7.7</v>
      </c>
      <c r="BY277" s="178">
        <v>6.5999999999999943</v>
      </c>
      <c r="CC277" s="201">
        <v>7.1</v>
      </c>
      <c r="CD277" s="198">
        <v>41822</v>
      </c>
      <c r="CI277" s="174" t="s">
        <v>9358</v>
      </c>
      <c r="CL277" s="174">
        <v>1</v>
      </c>
    </row>
    <row r="278" spans="1:91">
      <c r="A278" s="191" t="s">
        <v>7702</v>
      </c>
      <c r="B278" s="192" t="s">
        <v>269</v>
      </c>
      <c r="C278" s="192" t="s">
        <v>417</v>
      </c>
      <c r="D278" s="192" t="s">
        <v>8501</v>
      </c>
      <c r="E278" s="193">
        <v>237</v>
      </c>
      <c r="F278" s="193">
        <v>1</v>
      </c>
      <c r="K278" s="176">
        <v>8</v>
      </c>
      <c r="M278" s="197">
        <v>6.15</v>
      </c>
      <c r="N278" s="198">
        <v>41822</v>
      </c>
      <c r="S278" s="176">
        <f>(AE278*BS278)/100</f>
        <v>18.713571428571427</v>
      </c>
      <c r="T278" s="198"/>
      <c r="U278" s="176">
        <v>16.2</v>
      </c>
      <c r="Y278" s="200">
        <f>(AE278*BU278)/100</f>
        <v>6.6999206349206348</v>
      </c>
      <c r="Z278" s="198"/>
      <c r="AA278" s="200"/>
      <c r="AB278" s="198"/>
      <c r="AC278" s="378">
        <f t="shared" si="4"/>
        <v>35.039814814814818</v>
      </c>
      <c r="AE278" s="176">
        <f>(M278/U278)*((100-CC278)/(100-9))*100</f>
        <v>38.505291005291006</v>
      </c>
      <c r="AF278" s="198">
        <v>41822</v>
      </c>
      <c r="AG278" s="176">
        <v>5</v>
      </c>
      <c r="AH278" s="196">
        <v>41927</v>
      </c>
      <c r="AI278" s="176">
        <v>130</v>
      </c>
      <c r="AM278" s="176">
        <v>79</v>
      </c>
      <c r="BG278" s="201">
        <v>7</v>
      </c>
      <c r="BI278" s="201">
        <v>4.5</v>
      </c>
      <c r="BK278" s="201">
        <v>1.4</v>
      </c>
      <c r="BM278" s="201">
        <v>56.7</v>
      </c>
      <c r="BO278" s="201">
        <v>18.7</v>
      </c>
      <c r="BQ278" s="201">
        <v>10.3</v>
      </c>
      <c r="BS278" s="201">
        <v>48.6</v>
      </c>
      <c r="BU278" s="201">
        <v>17.399999999999999</v>
      </c>
      <c r="BW278" s="201">
        <v>13.1</v>
      </c>
      <c r="BY278" s="178">
        <v>7.5</v>
      </c>
      <c r="CC278" s="201">
        <v>7.7</v>
      </c>
      <c r="CD278" s="198">
        <v>41822</v>
      </c>
      <c r="CI278" s="174" t="s">
        <v>9339</v>
      </c>
      <c r="CL278" s="174">
        <v>1</v>
      </c>
    </row>
    <row r="279" spans="1:91">
      <c r="A279" s="191" t="s">
        <v>7648</v>
      </c>
      <c r="B279" s="192" t="s">
        <v>269</v>
      </c>
      <c r="C279" s="192" t="s">
        <v>417</v>
      </c>
      <c r="D279" s="192" t="s">
        <v>8285</v>
      </c>
      <c r="E279" s="193">
        <v>237</v>
      </c>
      <c r="F279" s="193">
        <v>2</v>
      </c>
      <c r="K279" s="176">
        <v>8</v>
      </c>
      <c r="M279" s="197">
        <v>3.55</v>
      </c>
      <c r="N279" s="198">
        <v>41822</v>
      </c>
      <c r="S279" s="176">
        <f>(AE279*BS279)/100</f>
        <v>10.769344729344731</v>
      </c>
      <c r="T279" s="198"/>
      <c r="U279" s="176">
        <v>16.2</v>
      </c>
      <c r="Y279" s="200">
        <f>(AE279*BU279)/100</f>
        <v>4.2276353276353289</v>
      </c>
      <c r="Z279" s="198"/>
      <c r="AA279" s="200"/>
      <c r="AB279" s="198"/>
      <c r="AC279" s="378">
        <f t="shared" si="4"/>
        <v>20.24814814814815</v>
      </c>
      <c r="AE279" s="176">
        <f>(M279/U279)*((100-CC279)/(100-9))*100</f>
        <v>22.250712250712255</v>
      </c>
      <c r="AF279" s="198">
        <v>41822</v>
      </c>
      <c r="AG279" s="176">
        <v>5.4</v>
      </c>
      <c r="AH279" s="196">
        <v>41927</v>
      </c>
      <c r="AI279" s="176">
        <v>150</v>
      </c>
      <c r="AM279" s="176">
        <v>82</v>
      </c>
      <c r="BG279" s="201">
        <v>1.9</v>
      </c>
      <c r="BI279" s="201">
        <v>4.5999999999999996</v>
      </c>
      <c r="BK279" s="201">
        <v>1.3</v>
      </c>
      <c r="BM279" s="201">
        <v>63.9</v>
      </c>
      <c r="BO279" s="201">
        <v>17.8</v>
      </c>
      <c r="BQ279" s="201">
        <v>9.1999999999999993</v>
      </c>
      <c r="BS279" s="201">
        <v>48.4</v>
      </c>
      <c r="BU279" s="201">
        <v>19</v>
      </c>
      <c r="BW279" s="201">
        <v>84.4</v>
      </c>
      <c r="BY279" s="178">
        <v>6.9000000000000057</v>
      </c>
      <c r="CC279" s="201">
        <v>7.6</v>
      </c>
      <c r="CD279" s="198">
        <v>41822</v>
      </c>
      <c r="CI279" s="174" t="s">
        <v>9362</v>
      </c>
      <c r="CL279" s="174">
        <v>4</v>
      </c>
    </row>
    <row r="280" spans="1:91">
      <c r="A280" s="191" t="s">
        <v>7637</v>
      </c>
      <c r="B280" s="192" t="s">
        <v>269</v>
      </c>
      <c r="C280" s="192" t="s">
        <v>417</v>
      </c>
      <c r="D280" s="192" t="s">
        <v>8241</v>
      </c>
      <c r="E280" s="193">
        <v>237</v>
      </c>
      <c r="F280" s="193">
        <v>3</v>
      </c>
      <c r="K280" s="176">
        <v>9</v>
      </c>
      <c r="M280" s="197">
        <v>3.15</v>
      </c>
      <c r="N280" s="198">
        <v>41822</v>
      </c>
      <c r="S280" s="176">
        <f>(AE280*BS280)/100</f>
        <v>9.7664102564102606</v>
      </c>
      <c r="T280" s="198"/>
      <c r="U280" s="176">
        <v>16.2</v>
      </c>
      <c r="Y280" s="200">
        <f>(AE280*BU280)/100</f>
        <v>3.612777777777779</v>
      </c>
      <c r="Z280" s="198"/>
      <c r="AA280" s="200"/>
      <c r="AB280" s="198"/>
      <c r="AC280" s="378">
        <f t="shared" si="4"/>
        <v>18.06388888888889</v>
      </c>
      <c r="AE280" s="176">
        <f>(M280/U280)*((100-CC280)/(100-9))*100</f>
        <v>19.850427350427356</v>
      </c>
      <c r="AF280" s="198">
        <v>41822</v>
      </c>
      <c r="AG280" s="176">
        <v>5.0999999999999996</v>
      </c>
      <c r="AH280" s="196">
        <v>41927</v>
      </c>
      <c r="AI280" s="176">
        <v>130</v>
      </c>
      <c r="AM280" s="176">
        <v>87</v>
      </c>
      <c r="BG280" s="201">
        <v>49.8</v>
      </c>
      <c r="BI280" s="201">
        <v>4.3</v>
      </c>
      <c r="BK280" s="201">
        <v>0.9</v>
      </c>
      <c r="BM280" s="201">
        <v>28.1</v>
      </c>
      <c r="BO280" s="201">
        <v>14.1</v>
      </c>
      <c r="BQ280" s="201">
        <v>10.199999999999999</v>
      </c>
      <c r="BS280" s="201">
        <v>49.2</v>
      </c>
      <c r="BU280" s="201">
        <v>18.2</v>
      </c>
      <c r="BW280" s="201">
        <v>64.3</v>
      </c>
      <c r="BY280" s="178">
        <v>6.7000000000000028</v>
      </c>
      <c r="CC280" s="201">
        <v>7.1</v>
      </c>
      <c r="CD280" s="198">
        <v>41822</v>
      </c>
      <c r="CI280" s="174" t="s">
        <v>9375</v>
      </c>
      <c r="CL280" s="174">
        <v>5</v>
      </c>
    </row>
    <row r="281" spans="1:91">
      <c r="A281" s="191" t="s">
        <v>7611</v>
      </c>
      <c r="B281" s="192" t="s">
        <v>269</v>
      </c>
      <c r="C281" s="192" t="s">
        <v>417</v>
      </c>
      <c r="D281" s="192" t="s">
        <v>8137</v>
      </c>
      <c r="E281" s="193">
        <v>237</v>
      </c>
      <c r="F281" s="193">
        <v>4</v>
      </c>
      <c r="I281" s="184"/>
      <c r="K281" s="176">
        <v>8</v>
      </c>
      <c r="M281" s="197">
        <v>2.4</v>
      </c>
      <c r="N281" s="198">
        <v>41822</v>
      </c>
      <c r="O281" s="179"/>
      <c r="S281" s="176">
        <f>(AE281*BS281)/100</f>
        <v>7.5106227106227115</v>
      </c>
      <c r="T281" s="198"/>
      <c r="U281" s="176">
        <v>16.2</v>
      </c>
      <c r="Y281" s="200">
        <f>(AE281*BU281)/100</f>
        <v>2.6400976800976803</v>
      </c>
      <c r="Z281" s="198"/>
      <c r="AA281" s="200"/>
      <c r="AB281" s="198"/>
      <c r="AC281" s="378">
        <f t="shared" si="4"/>
        <v>13.807407407407407</v>
      </c>
      <c r="AE281" s="176">
        <f>(M281/U281)*((100-CC281)/(100-9))*100</f>
        <v>15.172975172975175</v>
      </c>
      <c r="AF281" s="198">
        <v>41822</v>
      </c>
      <c r="AG281" s="176">
        <v>5.3</v>
      </c>
      <c r="AH281" s="196">
        <v>41927</v>
      </c>
      <c r="AI281" s="176">
        <v>120</v>
      </c>
      <c r="AM281" s="176">
        <v>85</v>
      </c>
      <c r="BG281" s="201">
        <v>48.2</v>
      </c>
      <c r="BI281" s="201">
        <v>4.5</v>
      </c>
      <c r="BK281" s="201">
        <v>0.8</v>
      </c>
      <c r="BM281" s="201">
        <v>26.8</v>
      </c>
      <c r="BO281" s="201">
        <v>16.5</v>
      </c>
      <c r="BQ281" s="201">
        <v>10.3</v>
      </c>
      <c r="BS281" s="201">
        <v>49.5</v>
      </c>
      <c r="BU281" s="201">
        <v>17.399999999999999</v>
      </c>
      <c r="BW281" s="201">
        <v>55.2</v>
      </c>
      <c r="BY281" s="178">
        <v>6.5999999999999943</v>
      </c>
      <c r="CC281" s="201">
        <v>6.8</v>
      </c>
      <c r="CD281" s="198">
        <v>41822</v>
      </c>
      <c r="CI281" s="174" t="s">
        <v>9355</v>
      </c>
      <c r="CL281" s="174">
        <v>7</v>
      </c>
    </row>
    <row r="282" spans="1:91">
      <c r="A282" s="191" t="s">
        <v>7683</v>
      </c>
      <c r="B282" s="192" t="s">
        <v>269</v>
      </c>
      <c r="C282" s="192" t="s">
        <v>417</v>
      </c>
      <c r="D282" s="192" t="s">
        <v>8425</v>
      </c>
      <c r="E282" s="193">
        <v>237</v>
      </c>
      <c r="F282" s="193">
        <v>5</v>
      </c>
      <c r="K282" s="176">
        <v>8</v>
      </c>
      <c r="M282" s="197">
        <v>4.2</v>
      </c>
      <c r="N282" s="198">
        <v>41822</v>
      </c>
      <c r="S282" s="176">
        <f>(AE282*BS282)/100</f>
        <v>13.200740740740743</v>
      </c>
      <c r="T282" s="198"/>
      <c r="U282" s="176">
        <v>16.2</v>
      </c>
      <c r="Y282" s="200">
        <f>(AE282*BU282)/100</f>
        <v>4.7070370370370371</v>
      </c>
      <c r="Z282" s="198"/>
      <c r="AA282" s="200"/>
      <c r="AB282" s="198"/>
      <c r="AC282" s="378">
        <f t="shared" si="4"/>
        <v>23.929629629629634</v>
      </c>
      <c r="AE282" s="176">
        <f>(M282/U282)*((100-CC282)/(100-9))*100</f>
        <v>26.296296296296301</v>
      </c>
      <c r="AF282" s="198">
        <v>41822</v>
      </c>
      <c r="AG282" s="176">
        <v>5.5</v>
      </c>
      <c r="AH282" s="196">
        <v>41927</v>
      </c>
      <c r="AI282" s="176">
        <v>150</v>
      </c>
      <c r="AM282" s="176">
        <v>80</v>
      </c>
      <c r="BG282" s="201">
        <v>3.5</v>
      </c>
      <c r="BI282" s="201">
        <v>4.5999999999999996</v>
      </c>
      <c r="BK282" s="201">
        <v>1.6</v>
      </c>
      <c r="BM282" s="201">
        <v>62.7</v>
      </c>
      <c r="BO282" s="201">
        <v>19.100000000000001</v>
      </c>
      <c r="BQ282" s="201">
        <v>10</v>
      </c>
      <c r="BS282" s="201">
        <v>50.2</v>
      </c>
      <c r="BU282" s="201">
        <v>17.899999999999999</v>
      </c>
      <c r="BW282" s="201">
        <v>16</v>
      </c>
      <c r="BY282" s="178">
        <v>7.2000000000000028</v>
      </c>
      <c r="CC282" s="201">
        <v>7.7</v>
      </c>
      <c r="CD282" s="198">
        <v>41822</v>
      </c>
      <c r="CI282" s="174" t="s">
        <v>9352</v>
      </c>
      <c r="CL282" s="174">
        <v>1</v>
      </c>
    </row>
    <row r="283" spans="1:91">
      <c r="A283" s="191" t="s">
        <v>7625</v>
      </c>
      <c r="B283" s="192" t="s">
        <v>269</v>
      </c>
      <c r="C283" s="192" t="s">
        <v>417</v>
      </c>
      <c r="D283" s="192" t="s">
        <v>8193</v>
      </c>
      <c r="E283" s="193">
        <v>237</v>
      </c>
      <c r="F283" s="193">
        <v>6</v>
      </c>
      <c r="I283" s="184"/>
      <c r="K283" s="176">
        <v>9</v>
      </c>
      <c r="M283" s="197">
        <v>3.2</v>
      </c>
      <c r="N283" s="198">
        <v>41822</v>
      </c>
      <c r="O283" s="179"/>
      <c r="S283" s="176">
        <f>(AE283*BS283)/100</f>
        <v>9.6904734771401451</v>
      </c>
      <c r="T283" s="198"/>
      <c r="U283" s="176">
        <v>16.2</v>
      </c>
      <c r="Y283" s="200">
        <f>(AE283*BU283)/100</f>
        <v>3.7831284764618101</v>
      </c>
      <c r="Z283" s="198"/>
      <c r="AA283" s="200"/>
      <c r="AB283" s="198"/>
      <c r="AC283" s="378">
        <f t="shared" si="4"/>
        <v>18.409876543209879</v>
      </c>
      <c r="AE283" s="176">
        <f>(M283/U283)*((100-CC283)/(100-9))*100</f>
        <v>20.230633563966901</v>
      </c>
      <c r="AF283" s="198">
        <v>41822</v>
      </c>
      <c r="AG283" s="176">
        <v>5.2</v>
      </c>
      <c r="AH283" s="196">
        <v>41927</v>
      </c>
      <c r="AI283" s="176">
        <v>115</v>
      </c>
      <c r="AM283" s="176">
        <v>83</v>
      </c>
      <c r="BG283" s="201">
        <v>55.9</v>
      </c>
      <c r="BI283" s="201">
        <v>4.5999999999999996</v>
      </c>
      <c r="BK283" s="201">
        <v>0.6</v>
      </c>
      <c r="BM283" s="201">
        <v>23.1</v>
      </c>
      <c r="BO283" s="201">
        <v>17.3</v>
      </c>
      <c r="BQ283" s="201">
        <v>12.1</v>
      </c>
      <c r="BS283" s="201">
        <v>47.9</v>
      </c>
      <c r="BU283" s="201">
        <v>18.7</v>
      </c>
      <c r="BW283" s="201">
        <v>77</v>
      </c>
      <c r="BY283" s="178">
        <v>6.7000000000000028</v>
      </c>
      <c r="CC283" s="201">
        <v>6.8</v>
      </c>
      <c r="CD283" s="198">
        <v>41822</v>
      </c>
      <c r="CI283" s="174" t="s">
        <v>9358</v>
      </c>
      <c r="CL283" s="174">
        <v>3</v>
      </c>
    </row>
    <row r="284" spans="1:91">
      <c r="A284" s="191" t="s">
        <v>7687</v>
      </c>
      <c r="B284" s="192" t="s">
        <v>271</v>
      </c>
      <c r="C284" s="192" t="s">
        <v>8998</v>
      </c>
      <c r="D284" s="192" t="s">
        <v>8443</v>
      </c>
      <c r="E284" s="193">
        <v>237</v>
      </c>
      <c r="F284" s="193">
        <v>7</v>
      </c>
      <c r="K284" s="176">
        <v>9</v>
      </c>
      <c r="M284" s="197">
        <v>5.8</v>
      </c>
      <c r="N284" s="198">
        <v>41822</v>
      </c>
      <c r="S284" s="176">
        <f>(AE284*BS284)/100</f>
        <v>18.787247320580654</v>
      </c>
      <c r="T284" s="198"/>
      <c r="U284" s="176">
        <v>16.2</v>
      </c>
      <c r="Y284" s="200">
        <f>(AE284*BU284)/100</f>
        <v>6.3980192646859324</v>
      </c>
      <c r="Z284" s="198"/>
      <c r="AA284" s="200"/>
      <c r="AB284" s="198"/>
      <c r="AC284" s="378">
        <f t="shared" si="4"/>
        <v>33.654320987654316</v>
      </c>
      <c r="AE284" s="176">
        <f>(M284/U284)*((100-CC284)/(100-9))*100</f>
        <v>36.982770316103654</v>
      </c>
      <c r="AF284" s="198">
        <v>41822</v>
      </c>
      <c r="AG284" s="176">
        <v>4.5</v>
      </c>
      <c r="AH284" s="196">
        <v>41927</v>
      </c>
      <c r="AI284" s="176">
        <v>145</v>
      </c>
      <c r="AM284" s="176">
        <v>83</v>
      </c>
      <c r="BG284" s="201">
        <v>5</v>
      </c>
      <c r="BI284" s="201">
        <v>4.5</v>
      </c>
      <c r="BK284" s="201">
        <v>1.4</v>
      </c>
      <c r="BM284" s="201">
        <v>63.2</v>
      </c>
      <c r="BO284" s="201">
        <v>21.7</v>
      </c>
      <c r="BQ284" s="201">
        <v>9.4</v>
      </c>
      <c r="BS284" s="201">
        <v>50.8</v>
      </c>
      <c r="BU284" s="201">
        <v>17.3</v>
      </c>
      <c r="BW284" s="201">
        <v>16</v>
      </c>
      <c r="BY284" s="178">
        <v>5.9000000000000057</v>
      </c>
      <c r="CC284" s="201">
        <v>6</v>
      </c>
      <c r="CD284" s="198">
        <v>41822</v>
      </c>
      <c r="CI284" s="174" t="s">
        <v>9349</v>
      </c>
      <c r="CL284" s="174">
        <v>4</v>
      </c>
    </row>
    <row r="285" spans="1:91">
      <c r="A285" s="202" t="s">
        <v>7746</v>
      </c>
      <c r="B285" s="203" t="s">
        <v>271</v>
      </c>
      <c r="C285" s="203" t="s">
        <v>8998</v>
      </c>
      <c r="D285" s="203" t="s">
        <v>8679</v>
      </c>
      <c r="E285" s="204">
        <v>237</v>
      </c>
      <c r="F285" s="204">
        <v>8</v>
      </c>
      <c r="G285" s="204"/>
      <c r="H285" s="204"/>
      <c r="I285" s="206"/>
      <c r="J285" s="206"/>
      <c r="K285" s="177">
        <v>9</v>
      </c>
      <c r="L285" s="207"/>
      <c r="M285" s="208">
        <v>3.25</v>
      </c>
      <c r="N285" s="209">
        <v>41822</v>
      </c>
      <c r="O285" s="183"/>
      <c r="P285" s="210"/>
      <c r="Q285" s="183"/>
      <c r="R285" s="210"/>
      <c r="S285" s="177">
        <f>(AE285*BS285)/100</f>
        <v>9.9873015873015856</v>
      </c>
      <c r="T285" s="209"/>
      <c r="U285" s="177">
        <v>16.2</v>
      </c>
      <c r="V285" s="210"/>
      <c r="W285" s="183"/>
      <c r="X285" s="210"/>
      <c r="Y285" s="213">
        <f>(AE285*BU285)/100</f>
        <v>4.0238095238095237</v>
      </c>
      <c r="Z285" s="209"/>
      <c r="AA285" s="213"/>
      <c r="AB285" s="209"/>
      <c r="AC285" s="378">
        <f t="shared" si="4"/>
        <v>18.777777777777779</v>
      </c>
      <c r="AD285" s="207"/>
      <c r="AE285" s="177">
        <f>(M285/U285)*((100-CC285)/(100-9))*100</f>
        <v>20.634920634920633</v>
      </c>
      <c r="AF285" s="209">
        <v>41822</v>
      </c>
      <c r="AG285" s="177">
        <v>6.3</v>
      </c>
      <c r="AH285" s="207">
        <v>41927</v>
      </c>
      <c r="AI285" s="177">
        <v>110</v>
      </c>
      <c r="AJ285" s="207"/>
      <c r="AK285" s="183"/>
      <c r="AL285" s="210"/>
      <c r="AM285" s="177">
        <v>83</v>
      </c>
      <c r="AN285" s="210"/>
      <c r="AO285" s="183"/>
      <c r="AP285" s="183"/>
      <c r="AQ285" s="183"/>
      <c r="AR285" s="183"/>
      <c r="AS285" s="183"/>
      <c r="AT285" s="183"/>
      <c r="AU285" s="183"/>
      <c r="AV285" s="183"/>
      <c r="AW285" s="183"/>
      <c r="AX285" s="183"/>
      <c r="AY285" s="183"/>
      <c r="AZ285" s="183"/>
      <c r="BA285" s="183"/>
      <c r="BB285" s="183"/>
      <c r="BC285" s="183"/>
      <c r="BD285" s="183"/>
      <c r="BE285" s="182"/>
      <c r="BF285" s="182"/>
      <c r="BG285" s="211">
        <v>40.1</v>
      </c>
      <c r="BH285" s="181"/>
      <c r="BI285" s="211">
        <v>4.3</v>
      </c>
      <c r="BJ285" s="181"/>
      <c r="BK285" s="211">
        <v>1</v>
      </c>
      <c r="BL285" s="181"/>
      <c r="BM285" s="211">
        <v>32.9</v>
      </c>
      <c r="BN285" s="181"/>
      <c r="BO285" s="211">
        <v>17.5</v>
      </c>
      <c r="BP285" s="181"/>
      <c r="BQ285" s="211">
        <v>9.6</v>
      </c>
      <c r="BR285" s="181"/>
      <c r="BS285" s="211">
        <v>48.4</v>
      </c>
      <c r="BT285" s="181"/>
      <c r="BU285" s="211">
        <v>19.5</v>
      </c>
      <c r="BV285" s="181"/>
      <c r="BW285" s="211">
        <v>61.9</v>
      </c>
      <c r="BX285" s="181"/>
      <c r="BY285" s="181">
        <v>6.2999999999999972</v>
      </c>
      <c r="BZ285" s="181"/>
      <c r="CA285" s="182"/>
      <c r="CB285" s="182"/>
      <c r="CC285" s="211">
        <v>6.4</v>
      </c>
      <c r="CD285" s="209">
        <v>41822</v>
      </c>
      <c r="CE285" s="181"/>
      <c r="CF285" s="181"/>
      <c r="CG285" s="182"/>
      <c r="CH285" s="182"/>
      <c r="CI285" s="175" t="s">
        <v>9349</v>
      </c>
      <c r="CJ285" s="181"/>
      <c r="CK285" s="181"/>
      <c r="CL285" s="175">
        <v>7</v>
      </c>
      <c r="CM285" s="175"/>
    </row>
    <row r="286" spans="1:91">
      <c r="A286" s="191" t="s">
        <v>7644</v>
      </c>
      <c r="B286" s="192" t="s">
        <v>271</v>
      </c>
      <c r="C286" s="192" t="s">
        <v>8998</v>
      </c>
      <c r="D286" s="192" t="s">
        <v>8271</v>
      </c>
      <c r="E286" s="193">
        <v>237</v>
      </c>
      <c r="F286" s="193">
        <v>9</v>
      </c>
      <c r="K286" s="176">
        <v>8</v>
      </c>
      <c r="M286" s="197">
        <v>3.7</v>
      </c>
      <c r="N286" s="198">
        <v>41822</v>
      </c>
      <c r="S286" s="176">
        <f>(AE286*BS286)/100</f>
        <v>11.264143264143264</v>
      </c>
      <c r="T286" s="198"/>
      <c r="U286" s="176">
        <v>16.2</v>
      </c>
      <c r="Y286" s="200">
        <f>(AE286*BU286)/100</f>
        <v>4.5760582010582018</v>
      </c>
      <c r="Z286" s="198"/>
      <c r="AA286" s="200"/>
      <c r="AB286" s="198"/>
      <c r="AC286" s="378">
        <f t="shared" si="4"/>
        <v>21.35493827160494</v>
      </c>
      <c r="AE286" s="176">
        <f>(M286/U286)*((100-CC286)/(100-9))*100</f>
        <v>23.466965133631803</v>
      </c>
      <c r="AF286" s="198">
        <v>41822</v>
      </c>
      <c r="AG286" s="176">
        <v>5.6</v>
      </c>
      <c r="AH286" s="196">
        <v>41927</v>
      </c>
      <c r="AI286" s="176">
        <v>145</v>
      </c>
      <c r="AM286" s="176">
        <v>85</v>
      </c>
      <c r="BG286" s="201">
        <v>9.1</v>
      </c>
      <c r="BI286" s="201">
        <v>4.7</v>
      </c>
      <c r="BK286" s="201">
        <v>1.2</v>
      </c>
      <c r="BM286" s="201">
        <v>57</v>
      </c>
      <c r="BO286" s="201">
        <v>21.4</v>
      </c>
      <c r="BQ286" s="201">
        <v>11.1</v>
      </c>
      <c r="BS286" s="201">
        <v>48</v>
      </c>
      <c r="BU286" s="201">
        <v>19.5</v>
      </c>
      <c r="BW286" s="201">
        <v>73.599999999999994</v>
      </c>
      <c r="BY286" s="178">
        <v>6.2000000000000028</v>
      </c>
      <c r="CC286" s="201">
        <v>6.5</v>
      </c>
      <c r="CD286" s="198">
        <v>41822</v>
      </c>
      <c r="CI286" s="174" t="s">
        <v>9376</v>
      </c>
      <c r="CL286" s="174">
        <v>5</v>
      </c>
    </row>
    <row r="287" spans="1:91">
      <c r="A287" s="202" t="s">
        <v>7737</v>
      </c>
      <c r="B287" s="203" t="s">
        <v>271</v>
      </c>
      <c r="C287" s="203" t="s">
        <v>8998</v>
      </c>
      <c r="D287" s="203" t="s">
        <v>8643</v>
      </c>
      <c r="E287" s="204">
        <v>237</v>
      </c>
      <c r="F287" s="204">
        <v>10</v>
      </c>
      <c r="G287" s="204"/>
      <c r="H287" s="204"/>
      <c r="I287" s="206"/>
      <c r="J287" s="206"/>
      <c r="K287" s="177">
        <v>9</v>
      </c>
      <c r="L287" s="207"/>
      <c r="M287" s="208">
        <v>1.25</v>
      </c>
      <c r="N287" s="209">
        <v>41822</v>
      </c>
      <c r="O287" s="183"/>
      <c r="P287" s="210"/>
      <c r="Q287" s="183"/>
      <c r="R287" s="210"/>
      <c r="S287" s="177">
        <f>(AE287*BS287)/100</f>
        <v>3.5841812508479181</v>
      </c>
      <c r="T287" s="209"/>
      <c r="U287" s="177">
        <v>16.2</v>
      </c>
      <c r="V287" s="210"/>
      <c r="W287" s="183"/>
      <c r="X287" s="210"/>
      <c r="Y287" s="213">
        <f>(AE287*BU287)/100</f>
        <v>1.668498168498169</v>
      </c>
      <c r="Z287" s="209"/>
      <c r="AA287" s="213"/>
      <c r="AB287" s="209"/>
      <c r="AC287" s="378">
        <f t="shared" si="4"/>
        <v>7.0293209876543212</v>
      </c>
      <c r="AD287" s="207"/>
      <c r="AE287" s="177">
        <f>(M287/U287)*((100-CC287)/(100-9))*100</f>
        <v>7.724528557861893</v>
      </c>
      <c r="AF287" s="209">
        <v>41822</v>
      </c>
      <c r="AG287" s="177">
        <v>4.5999999999999996</v>
      </c>
      <c r="AH287" s="207">
        <v>41927</v>
      </c>
      <c r="AI287" s="177">
        <v>20</v>
      </c>
      <c r="AJ287" s="207"/>
      <c r="AK287" s="183"/>
      <c r="AL287" s="210"/>
      <c r="AM287" s="177">
        <v>76</v>
      </c>
      <c r="AN287" s="210"/>
      <c r="AO287" s="183"/>
      <c r="AP287" s="183"/>
      <c r="AQ287" s="183"/>
      <c r="AR287" s="183"/>
      <c r="AS287" s="183"/>
      <c r="AT287" s="183"/>
      <c r="AU287" s="183"/>
      <c r="AV287" s="183"/>
      <c r="AW287" s="183"/>
      <c r="AX287" s="183"/>
      <c r="AY287" s="183"/>
      <c r="AZ287" s="183"/>
      <c r="BA287" s="183"/>
      <c r="BB287" s="183"/>
      <c r="BC287" s="183"/>
      <c r="BD287" s="183"/>
      <c r="BE287" s="182"/>
      <c r="BF287" s="182"/>
      <c r="BG287" s="211">
        <v>17.8</v>
      </c>
      <c r="BH287" s="181"/>
      <c r="BI287" s="211">
        <v>4</v>
      </c>
      <c r="BJ287" s="181"/>
      <c r="BK287" s="211">
        <v>1.3</v>
      </c>
      <c r="BL287" s="181"/>
      <c r="BM287" s="211">
        <v>49.9</v>
      </c>
      <c r="BN287" s="181"/>
      <c r="BO287" s="211">
        <v>17.399999999999999</v>
      </c>
      <c r="BP287" s="181"/>
      <c r="BQ287" s="211">
        <v>10</v>
      </c>
      <c r="BR287" s="181"/>
      <c r="BS287" s="211">
        <v>46.4</v>
      </c>
      <c r="BT287" s="181"/>
      <c r="BU287" s="211">
        <v>21.6</v>
      </c>
      <c r="BV287" s="181"/>
      <c r="BW287" s="211">
        <v>29.2</v>
      </c>
      <c r="BX287" s="181"/>
      <c r="BY287" s="181">
        <v>6.7000000000000028</v>
      </c>
      <c r="BZ287" s="181"/>
      <c r="CA287" s="182"/>
      <c r="CB287" s="182"/>
      <c r="CC287" s="211">
        <v>8.9</v>
      </c>
      <c r="CD287" s="209">
        <v>41822</v>
      </c>
      <c r="CE287" s="181"/>
      <c r="CF287" s="181"/>
      <c r="CG287" s="182"/>
      <c r="CH287" s="182"/>
      <c r="CI287" s="175" t="s">
        <v>9349</v>
      </c>
      <c r="CJ287" s="181"/>
      <c r="CK287" s="181"/>
      <c r="CL287" s="175">
        <v>9</v>
      </c>
      <c r="CM287" s="175"/>
    </row>
    <row r="288" spans="1:91">
      <c r="A288" s="191" t="s">
        <v>7760</v>
      </c>
      <c r="B288" s="192" t="s">
        <v>271</v>
      </c>
      <c r="C288" s="192" t="s">
        <v>8998</v>
      </c>
      <c r="D288" s="192" t="s">
        <v>8735</v>
      </c>
      <c r="E288" s="193">
        <v>237</v>
      </c>
      <c r="F288" s="193">
        <v>11</v>
      </c>
      <c r="K288" s="176">
        <v>9</v>
      </c>
      <c r="M288" s="197">
        <v>5.8</v>
      </c>
      <c r="N288" s="198">
        <v>41822</v>
      </c>
      <c r="S288" s="176">
        <f>(AE288*BS288)/100</f>
        <v>17.820659340659343</v>
      </c>
      <c r="T288" s="198"/>
      <c r="U288" s="176">
        <v>16.2</v>
      </c>
      <c r="Y288" s="200">
        <f>(AE288*BU288)/100</f>
        <v>6.8935883869217207</v>
      </c>
      <c r="Z288" s="198"/>
      <c r="AA288" s="200"/>
      <c r="AB288" s="198"/>
      <c r="AC288" s="378">
        <f t="shared" si="4"/>
        <v>33.367901234567903</v>
      </c>
      <c r="AE288" s="176">
        <f>(M288/U288)*((100-CC288)/(100-9))*100</f>
        <v>36.668023334690005</v>
      </c>
      <c r="AF288" s="198">
        <v>41822</v>
      </c>
      <c r="AG288" s="176">
        <v>4.9000000000000004</v>
      </c>
      <c r="AH288" s="196">
        <v>41927</v>
      </c>
      <c r="AI288" s="176">
        <v>150</v>
      </c>
      <c r="AM288" s="176">
        <v>86</v>
      </c>
      <c r="BG288" s="201">
        <v>0.2</v>
      </c>
      <c r="BI288" s="201">
        <v>3.8</v>
      </c>
      <c r="BK288" s="201">
        <v>1.6</v>
      </c>
      <c r="BM288" s="201">
        <v>61.2</v>
      </c>
      <c r="BO288" s="201">
        <v>19.5</v>
      </c>
      <c r="BQ288" s="201">
        <v>8.6999999999999993</v>
      </c>
      <c r="BS288" s="201">
        <v>48.6</v>
      </c>
      <c r="BU288" s="201">
        <v>18.8</v>
      </c>
      <c r="BW288" s="201">
        <v>11.2</v>
      </c>
      <c r="BY288" s="178">
        <v>6.2000000000000028</v>
      </c>
      <c r="CC288" s="201">
        <v>6.8</v>
      </c>
      <c r="CD288" s="198">
        <v>41822</v>
      </c>
      <c r="CI288" s="174" t="s">
        <v>9381</v>
      </c>
      <c r="CL288" s="174">
        <v>1</v>
      </c>
    </row>
    <row r="289" spans="1:91">
      <c r="A289" s="191" t="s">
        <v>7776</v>
      </c>
      <c r="B289" s="192" t="s">
        <v>271</v>
      </c>
      <c r="C289" s="192" t="s">
        <v>8998</v>
      </c>
      <c r="D289" s="192" t="s">
        <v>8799</v>
      </c>
      <c r="E289" s="193">
        <v>237</v>
      </c>
      <c r="F289" s="193">
        <v>12</v>
      </c>
      <c r="K289" s="176">
        <v>9</v>
      </c>
      <c r="M289" s="197">
        <v>6.1</v>
      </c>
      <c r="N289" s="198">
        <v>41822</v>
      </c>
      <c r="S289" s="176">
        <f>(AE289*BS289)/100</f>
        <v>20.61470628137295</v>
      </c>
      <c r="T289" s="198"/>
      <c r="U289" s="176">
        <v>16.2</v>
      </c>
      <c r="Y289" s="200">
        <f>(AE289*BU289)/100</f>
        <v>6.106620539953874</v>
      </c>
      <c r="Z289" s="198"/>
      <c r="AA289" s="200"/>
      <c r="AB289" s="198"/>
      <c r="AC289" s="378">
        <f t="shared" si="4"/>
        <v>35.395061728395063</v>
      </c>
      <c r="AE289" s="176">
        <f>(M289/U289)*((100-CC289)/(100-9))*100</f>
        <v>38.895672229005569</v>
      </c>
      <c r="AF289" s="198">
        <v>41822</v>
      </c>
      <c r="AG289" s="176">
        <v>5</v>
      </c>
      <c r="AH289" s="196">
        <v>41927</v>
      </c>
      <c r="AI289" s="176">
        <v>155</v>
      </c>
      <c r="AM289" s="176">
        <v>83</v>
      </c>
      <c r="BG289" s="201">
        <v>0</v>
      </c>
      <c r="BI289" s="201">
        <v>5</v>
      </c>
      <c r="BK289" s="201">
        <v>1.7</v>
      </c>
      <c r="BM289" s="201">
        <v>66.7</v>
      </c>
      <c r="BO289" s="201">
        <v>21.8</v>
      </c>
      <c r="BQ289" s="201">
        <v>6.4</v>
      </c>
      <c r="BS289" s="201">
        <v>53</v>
      </c>
      <c r="BU289" s="201">
        <v>15.7</v>
      </c>
      <c r="BW289" s="201">
        <v>13.7</v>
      </c>
      <c r="BY289" s="178">
        <v>5.9000000000000057</v>
      </c>
      <c r="CC289" s="201">
        <v>6</v>
      </c>
      <c r="CD289" s="198">
        <v>41822</v>
      </c>
      <c r="CI289" s="174" t="s">
        <v>9346</v>
      </c>
      <c r="CL289" s="174" t="s">
        <v>9001</v>
      </c>
    </row>
    <row r="290" spans="1:91">
      <c r="A290" s="191" t="s">
        <v>7773</v>
      </c>
      <c r="B290" s="192" t="s">
        <v>269</v>
      </c>
      <c r="C290" s="192" t="s">
        <v>417</v>
      </c>
      <c r="D290" s="192" t="s">
        <v>8785</v>
      </c>
      <c r="E290" s="193">
        <v>238</v>
      </c>
      <c r="F290" s="193">
        <v>1</v>
      </c>
      <c r="K290" s="176">
        <v>8</v>
      </c>
      <c r="M290" s="197">
        <v>5.3</v>
      </c>
      <c r="N290" s="198">
        <v>41822</v>
      </c>
      <c r="S290" s="176">
        <f>(AE290*BS290)/100</f>
        <v>16.175965269298604</v>
      </c>
      <c r="T290" s="198"/>
      <c r="U290" s="176">
        <v>16.2</v>
      </c>
      <c r="Y290" s="200">
        <f>(AE290*BU290)/100</f>
        <v>5.9002496269162945</v>
      </c>
      <c r="Z290" s="198"/>
      <c r="AA290" s="200"/>
      <c r="AB290" s="198"/>
      <c r="AC290" s="378">
        <f t="shared" si="4"/>
        <v>30.1641975308642</v>
      </c>
      <c r="AE290" s="176">
        <f>(M290/U290)*((100-CC290)/(100-9))*100</f>
        <v>33.147469814136485</v>
      </c>
      <c r="AF290" s="198">
        <v>41822</v>
      </c>
      <c r="AG290" s="176">
        <v>4.0999999999999996</v>
      </c>
      <c r="AH290" s="196">
        <v>41927</v>
      </c>
      <c r="AI290" s="176">
        <v>130</v>
      </c>
      <c r="AM290" s="176">
        <v>84</v>
      </c>
      <c r="BG290" s="201">
        <v>0</v>
      </c>
      <c r="BI290" s="201">
        <v>3.9</v>
      </c>
      <c r="BK290" s="201">
        <v>1.7</v>
      </c>
      <c r="BM290" s="201">
        <v>65.099999999999994</v>
      </c>
      <c r="BO290" s="201">
        <v>17</v>
      </c>
      <c r="BQ290" s="201">
        <v>7.4</v>
      </c>
      <c r="BS290" s="201">
        <v>48.8</v>
      </c>
      <c r="BU290" s="201">
        <v>17.8</v>
      </c>
      <c r="BW290" s="201">
        <v>13.8</v>
      </c>
      <c r="BY290" s="178">
        <v>7.4000000000000057</v>
      </c>
      <c r="CC290" s="201">
        <v>7.8</v>
      </c>
      <c r="CD290" s="198">
        <v>41822</v>
      </c>
      <c r="CI290" s="174" t="s">
        <v>9343</v>
      </c>
      <c r="CL290" s="174">
        <v>2</v>
      </c>
    </row>
    <row r="291" spans="1:91">
      <c r="A291" s="191" t="s">
        <v>7897</v>
      </c>
      <c r="B291" s="192" t="s">
        <v>269</v>
      </c>
      <c r="C291" s="192" t="s">
        <v>417</v>
      </c>
      <c r="D291" s="192" t="s">
        <v>8973</v>
      </c>
      <c r="E291" s="193">
        <v>238</v>
      </c>
      <c r="F291" s="193">
        <v>2</v>
      </c>
      <c r="K291" s="176">
        <v>7</v>
      </c>
      <c r="M291" s="197">
        <v>3.45</v>
      </c>
      <c r="N291" s="198">
        <v>41822</v>
      </c>
      <c r="S291" s="176">
        <f>(AE291*BS291)/100</f>
        <v>11.113507326007324</v>
      </c>
      <c r="T291" s="198"/>
      <c r="U291" s="176">
        <v>16.2</v>
      </c>
      <c r="Y291" s="200">
        <f>(AE291*BU291)/100</f>
        <v>3.5546092796092803</v>
      </c>
      <c r="Z291" s="198"/>
      <c r="AA291" s="200"/>
      <c r="AB291" s="198"/>
      <c r="AC291" s="378">
        <f t="shared" si="4"/>
        <v>19.486111111111114</v>
      </c>
      <c r="AE291" s="176">
        <f>(M291/U291)*((100-CC291)/(100-9))*100</f>
        <v>21.413308913308914</v>
      </c>
      <c r="AF291" s="198">
        <v>41822</v>
      </c>
      <c r="AG291" s="176">
        <v>4.7</v>
      </c>
      <c r="AH291" s="196">
        <v>41927</v>
      </c>
      <c r="AI291" s="176">
        <v>165</v>
      </c>
      <c r="AM291" s="176">
        <v>78</v>
      </c>
      <c r="BG291" s="201">
        <v>0.4</v>
      </c>
      <c r="BI291" s="201">
        <v>4.2</v>
      </c>
      <c r="BK291" s="201">
        <v>1.5</v>
      </c>
      <c r="BM291" s="201">
        <v>64.7</v>
      </c>
      <c r="BO291" s="201">
        <v>18.3</v>
      </c>
      <c r="BQ291" s="201">
        <v>9.6</v>
      </c>
      <c r="BS291" s="201">
        <v>51.9</v>
      </c>
      <c r="BU291" s="201">
        <v>16.600000000000001</v>
      </c>
      <c r="BW291" s="201">
        <v>18.8</v>
      </c>
      <c r="BY291" s="178">
        <v>7.2999999999999972</v>
      </c>
      <c r="CC291" s="201">
        <v>8.5</v>
      </c>
      <c r="CD291" s="198">
        <v>41822</v>
      </c>
      <c r="CI291" s="174" t="s">
        <v>9363</v>
      </c>
      <c r="CL291" s="174">
        <v>5</v>
      </c>
    </row>
    <row r="292" spans="1:91">
      <c r="A292" s="191" t="s">
        <v>7799</v>
      </c>
      <c r="B292" s="192" t="s">
        <v>269</v>
      </c>
      <c r="C292" s="192" t="s">
        <v>417</v>
      </c>
      <c r="D292" s="192" t="s">
        <v>8889</v>
      </c>
      <c r="E292" s="193">
        <v>238</v>
      </c>
      <c r="F292" s="193">
        <v>3</v>
      </c>
      <c r="K292" s="176">
        <v>8</v>
      </c>
      <c r="M292" s="197">
        <v>4</v>
      </c>
      <c r="N292" s="198">
        <v>41822</v>
      </c>
      <c r="S292" s="176">
        <f>(AE292*BS292)/100</f>
        <v>13.186324786324787</v>
      </c>
      <c r="T292" s="198"/>
      <c r="U292" s="176">
        <v>16.2</v>
      </c>
      <c r="Y292" s="200">
        <f>(AE292*BU292)/100</f>
        <v>3.9407407407407407</v>
      </c>
      <c r="Z292" s="198"/>
      <c r="AA292" s="200"/>
      <c r="AB292" s="198"/>
      <c r="AC292" s="378">
        <f t="shared" si="4"/>
        <v>22.987654320987655</v>
      </c>
      <c r="AE292" s="176">
        <f>(M292/U292)*((100-CC292)/(100-9))*100</f>
        <v>25.261158594491928</v>
      </c>
      <c r="AF292" s="198">
        <v>41822</v>
      </c>
      <c r="AG292" s="176">
        <v>4.7</v>
      </c>
      <c r="AH292" s="196">
        <v>41927</v>
      </c>
      <c r="AI292" s="176">
        <v>145</v>
      </c>
      <c r="AM292" s="176">
        <v>84</v>
      </c>
      <c r="BG292" s="201">
        <v>3.2</v>
      </c>
      <c r="BI292" s="201">
        <v>4.5999999999999996</v>
      </c>
      <c r="BK292" s="201">
        <v>1.6</v>
      </c>
      <c r="BM292" s="201">
        <v>62.7</v>
      </c>
      <c r="BO292" s="201">
        <v>20.5</v>
      </c>
      <c r="BQ292" s="201">
        <v>9</v>
      </c>
      <c r="BS292" s="201">
        <v>52.2</v>
      </c>
      <c r="BU292" s="201">
        <v>15.6</v>
      </c>
      <c r="BW292" s="201">
        <v>14</v>
      </c>
      <c r="BY292" s="178">
        <v>7.0999999999999943</v>
      </c>
      <c r="CC292" s="201">
        <v>6.9</v>
      </c>
      <c r="CD292" s="198">
        <v>41822</v>
      </c>
      <c r="CI292" s="174" t="s">
        <v>9376</v>
      </c>
      <c r="CL292" s="174">
        <v>3</v>
      </c>
    </row>
    <row r="293" spans="1:91">
      <c r="A293" s="191" t="s">
        <v>7752</v>
      </c>
      <c r="B293" s="192" t="s">
        <v>269</v>
      </c>
      <c r="C293" s="192" t="s">
        <v>417</v>
      </c>
      <c r="D293" s="192" t="s">
        <v>8701</v>
      </c>
      <c r="E293" s="193">
        <v>238</v>
      </c>
      <c r="F293" s="193">
        <v>4</v>
      </c>
      <c r="K293" s="176">
        <v>8</v>
      </c>
      <c r="M293" s="197">
        <v>2.85</v>
      </c>
      <c r="N293" s="198">
        <v>41822</v>
      </c>
      <c r="S293" s="176">
        <f>(AE293*BS293)/100</f>
        <v>9.0727319902319898</v>
      </c>
      <c r="T293" s="198"/>
      <c r="U293" s="176">
        <v>16.2</v>
      </c>
      <c r="Y293" s="200">
        <f>(AE293*BU293)/100</f>
        <v>3.300815018315018</v>
      </c>
      <c r="Z293" s="198"/>
      <c r="AA293" s="200"/>
      <c r="AB293" s="198"/>
      <c r="AC293" s="378">
        <f t="shared" si="4"/>
        <v>16.413888888888888</v>
      </c>
      <c r="AE293" s="176">
        <f>(M293/U293)*((100-CC293)/(100-9))*100</f>
        <v>18.037240537240535</v>
      </c>
      <c r="AF293" s="198">
        <v>41822</v>
      </c>
      <c r="AG293" s="176">
        <v>5</v>
      </c>
      <c r="AH293" s="196">
        <v>41927</v>
      </c>
      <c r="AI293" s="176">
        <v>100</v>
      </c>
      <c r="AM293" s="176">
        <v>78</v>
      </c>
      <c r="BG293" s="201">
        <v>45.1</v>
      </c>
      <c r="BI293" s="201">
        <v>4</v>
      </c>
      <c r="BK293" s="201">
        <v>0.9</v>
      </c>
      <c r="BM293" s="201">
        <v>31.9</v>
      </c>
      <c r="BO293" s="201">
        <v>13.7</v>
      </c>
      <c r="BQ293" s="201">
        <v>9.8000000000000007</v>
      </c>
      <c r="BS293" s="201">
        <v>50.3</v>
      </c>
      <c r="BU293" s="201">
        <v>18.3</v>
      </c>
      <c r="BW293" s="201">
        <v>73.099999999999994</v>
      </c>
      <c r="BY293" s="178">
        <v>6.2999999999999972</v>
      </c>
      <c r="CC293" s="201">
        <v>6.7</v>
      </c>
      <c r="CD293" s="198">
        <v>41822</v>
      </c>
      <c r="CI293" s="174" t="s">
        <v>9355</v>
      </c>
      <c r="CL293" s="174">
        <v>7</v>
      </c>
    </row>
    <row r="294" spans="1:91">
      <c r="A294" s="191" t="s">
        <v>7699</v>
      </c>
      <c r="B294" s="192" t="s">
        <v>269</v>
      </c>
      <c r="C294" s="192" t="s">
        <v>417</v>
      </c>
      <c r="D294" s="192" t="s">
        <v>8489</v>
      </c>
      <c r="E294" s="193">
        <v>238</v>
      </c>
      <c r="F294" s="193">
        <v>5</v>
      </c>
      <c r="K294" s="176">
        <v>7</v>
      </c>
      <c r="M294" s="197">
        <v>3.9</v>
      </c>
      <c r="N294" s="198">
        <v>41822</v>
      </c>
      <c r="S294" s="176">
        <f>(AE294*BS294)/100</f>
        <v>12.646031746031746</v>
      </c>
      <c r="T294" s="198"/>
      <c r="U294" s="176">
        <v>16.2</v>
      </c>
      <c r="Y294" s="200">
        <f>(AE294*BU294)/100</f>
        <v>4.1579365079365074</v>
      </c>
      <c r="Z294" s="198"/>
      <c r="AA294" s="200"/>
      <c r="AB294" s="198"/>
      <c r="AC294" s="378">
        <f t="shared" si="4"/>
        <v>22.388888888888889</v>
      </c>
      <c r="AE294" s="176">
        <f>(M294/U294)*((100-CC294)/(100-9))*100</f>
        <v>24.603174603174601</v>
      </c>
      <c r="AF294" s="198">
        <v>41822</v>
      </c>
      <c r="AG294" s="176">
        <v>4.9000000000000004</v>
      </c>
      <c r="AH294" s="196">
        <v>41927</v>
      </c>
      <c r="AI294" s="176">
        <v>125</v>
      </c>
      <c r="AM294" s="176">
        <v>79</v>
      </c>
      <c r="BG294" s="201">
        <v>0</v>
      </c>
      <c r="BI294" s="201">
        <v>4.5</v>
      </c>
      <c r="BK294" s="201">
        <v>1.5</v>
      </c>
      <c r="BM294" s="201">
        <v>61</v>
      </c>
      <c r="BO294" s="201">
        <v>19.399999999999999</v>
      </c>
      <c r="BQ294" s="201">
        <v>10</v>
      </c>
      <c r="BS294" s="201">
        <v>51.4</v>
      </c>
      <c r="BU294" s="201">
        <v>16.899999999999999</v>
      </c>
      <c r="BW294" s="201">
        <v>18.899999999999999</v>
      </c>
      <c r="BY294" s="178">
        <v>6.7999999999999972</v>
      </c>
      <c r="CC294" s="201">
        <v>7</v>
      </c>
      <c r="CD294" s="198">
        <v>41822</v>
      </c>
      <c r="CI294" s="174" t="s">
        <v>9347</v>
      </c>
      <c r="CL294" s="174">
        <v>1</v>
      </c>
    </row>
    <row r="295" spans="1:91">
      <c r="A295" s="191" t="s">
        <v>7717</v>
      </c>
      <c r="B295" s="192" t="s">
        <v>269</v>
      </c>
      <c r="C295" s="192" t="s">
        <v>417</v>
      </c>
      <c r="D295" s="192" t="s">
        <v>8561</v>
      </c>
      <c r="E295" s="193">
        <v>238</v>
      </c>
      <c r="F295" s="193">
        <v>6</v>
      </c>
      <c r="K295" s="176">
        <v>6</v>
      </c>
      <c r="M295" s="197">
        <v>1.85</v>
      </c>
      <c r="N295" s="198">
        <v>41822</v>
      </c>
      <c r="S295" s="176">
        <f>(AE295*BS295)/100</f>
        <v>5.7656952923619595</v>
      </c>
      <c r="T295" s="198"/>
      <c r="U295" s="176">
        <v>16.2</v>
      </c>
      <c r="Y295" s="200">
        <f>(AE295*BU295)/100</f>
        <v>2.016853886853887</v>
      </c>
      <c r="Z295" s="198"/>
      <c r="AA295" s="200"/>
      <c r="AB295" s="198"/>
      <c r="AC295" s="378">
        <f t="shared" si="4"/>
        <v>10.369135802469136</v>
      </c>
      <c r="AE295" s="176">
        <f>(M295/U295)*((100-CC295)/(100-9))*100</f>
        <v>11.394654727988062</v>
      </c>
      <c r="AF295" s="198">
        <v>41822</v>
      </c>
      <c r="AG295" s="176">
        <v>4.9000000000000004</v>
      </c>
      <c r="AH295" s="196">
        <v>41927</v>
      </c>
      <c r="AI295" s="176">
        <v>115</v>
      </c>
      <c r="AM295" s="176">
        <v>88</v>
      </c>
      <c r="BG295" s="201">
        <v>3.6</v>
      </c>
      <c r="BI295" s="201">
        <v>4.5</v>
      </c>
      <c r="BK295" s="201">
        <v>1.6</v>
      </c>
      <c r="BM295" s="201">
        <v>65.8</v>
      </c>
      <c r="BO295" s="201">
        <v>17.600000000000001</v>
      </c>
      <c r="BQ295" s="201">
        <v>9</v>
      </c>
      <c r="BS295" s="201">
        <v>50.6</v>
      </c>
      <c r="BU295" s="201">
        <v>17.7</v>
      </c>
      <c r="BW295" s="201">
        <v>13.8</v>
      </c>
      <c r="BY295" s="178">
        <v>7.4000000000000057</v>
      </c>
      <c r="CC295" s="201">
        <v>9.1999999999999993</v>
      </c>
      <c r="CD295" s="198">
        <v>41822</v>
      </c>
      <c r="CI295" s="174" t="s">
        <v>9380</v>
      </c>
      <c r="CL295" s="174">
        <v>2</v>
      </c>
    </row>
    <row r="296" spans="1:91">
      <c r="A296" s="191" t="s">
        <v>7897</v>
      </c>
      <c r="B296" s="192" t="s">
        <v>271</v>
      </c>
      <c r="C296" s="192" t="s">
        <v>8998</v>
      </c>
      <c r="D296" s="192" t="s">
        <v>8959</v>
      </c>
      <c r="E296" s="193">
        <v>238</v>
      </c>
      <c r="F296" s="193">
        <v>7</v>
      </c>
      <c r="K296" s="176">
        <v>6</v>
      </c>
      <c r="M296" s="197">
        <v>5.05</v>
      </c>
      <c r="N296" s="198">
        <v>41822</v>
      </c>
      <c r="S296" s="176">
        <f>(AE296*BS296)/100</f>
        <v>16.076210147876811</v>
      </c>
      <c r="T296" s="198"/>
      <c r="U296" s="176">
        <v>16.2</v>
      </c>
      <c r="Y296" s="200">
        <f>(AE296*BU296)/100</f>
        <v>5.4640164156830817</v>
      </c>
      <c r="Z296" s="198"/>
      <c r="AA296" s="200"/>
      <c r="AB296" s="198"/>
      <c r="AC296" s="378">
        <f t="shared" si="4"/>
        <v>28.741358024691358</v>
      </c>
      <c r="AE296" s="176">
        <f>(M296/U296)*((100-CC296)/(100-9))*100</f>
        <v>31.583909917243247</v>
      </c>
      <c r="AF296" s="198">
        <v>41822</v>
      </c>
      <c r="AG296" s="176">
        <v>4.5999999999999996</v>
      </c>
      <c r="AH296" s="196">
        <v>41927</v>
      </c>
      <c r="AI296" s="176">
        <v>155</v>
      </c>
      <c r="AM296" s="176">
        <v>78</v>
      </c>
      <c r="BG296" s="201">
        <v>0</v>
      </c>
      <c r="BI296" s="201">
        <v>4.4000000000000004</v>
      </c>
      <c r="BK296" s="201">
        <v>1.5</v>
      </c>
      <c r="BM296" s="201">
        <v>66.3</v>
      </c>
      <c r="BO296" s="201">
        <v>19</v>
      </c>
      <c r="BQ296" s="201">
        <v>8.9</v>
      </c>
      <c r="BS296" s="201">
        <v>50.9</v>
      </c>
      <c r="BU296" s="201">
        <v>17.3</v>
      </c>
      <c r="BW296" s="201">
        <v>19.600000000000001</v>
      </c>
      <c r="BY296" s="178">
        <v>6.7999999999999972</v>
      </c>
      <c r="CC296" s="201">
        <v>7.8</v>
      </c>
      <c r="CD296" s="198">
        <v>41822</v>
      </c>
      <c r="CI296" s="174" t="s">
        <v>9392</v>
      </c>
      <c r="CL296" s="174" t="s">
        <v>9001</v>
      </c>
    </row>
    <row r="297" spans="1:91">
      <c r="A297" s="191" t="s">
        <v>7693</v>
      </c>
      <c r="B297" s="192" t="s">
        <v>271</v>
      </c>
      <c r="C297" s="192" t="s">
        <v>8998</v>
      </c>
      <c r="D297" s="192" t="s">
        <v>8467</v>
      </c>
      <c r="E297" s="193">
        <v>238</v>
      </c>
      <c r="F297" s="193">
        <v>8</v>
      </c>
      <c r="K297" s="176">
        <v>7</v>
      </c>
      <c r="M297" s="197">
        <v>5.6</v>
      </c>
      <c r="N297" s="198">
        <v>41822</v>
      </c>
      <c r="S297" s="176">
        <f>(AE297*BS297)/100</f>
        <v>17.562393162393164</v>
      </c>
      <c r="T297" s="198"/>
      <c r="U297" s="176">
        <v>16.2</v>
      </c>
      <c r="Y297" s="200">
        <f>(AE297*BU297)/100</f>
        <v>6.5282431149097819</v>
      </c>
      <c r="Z297" s="198"/>
      <c r="AA297" s="200"/>
      <c r="AB297" s="198"/>
      <c r="AC297" s="378">
        <f t="shared" si="4"/>
        <v>32.28641975308642</v>
      </c>
      <c r="AE297" s="176">
        <f>(M297/U297)*((100-CC297)/(100-9))*100</f>
        <v>35.479582146248816</v>
      </c>
      <c r="AF297" s="198">
        <v>41822</v>
      </c>
      <c r="AG297" s="176">
        <v>4.7</v>
      </c>
      <c r="AH297" s="196">
        <v>41927</v>
      </c>
      <c r="AI297" s="176">
        <v>140</v>
      </c>
      <c r="AM297" s="176">
        <v>78</v>
      </c>
      <c r="BG297" s="201">
        <v>1.8</v>
      </c>
      <c r="BI297" s="201">
        <v>4.5</v>
      </c>
      <c r="BK297" s="201">
        <v>1.6</v>
      </c>
      <c r="BM297" s="201">
        <v>64.599999999999994</v>
      </c>
      <c r="BO297" s="201">
        <v>20.7</v>
      </c>
      <c r="BQ297" s="201">
        <v>8.1</v>
      </c>
      <c r="BS297" s="201">
        <v>49.5</v>
      </c>
      <c r="BU297" s="201">
        <v>18.399999999999999</v>
      </c>
      <c r="BW297" s="201">
        <v>16.8</v>
      </c>
      <c r="BY297" s="178">
        <v>6.4000000000000057</v>
      </c>
      <c r="CC297" s="201">
        <v>6.6</v>
      </c>
      <c r="CD297" s="198">
        <v>41822</v>
      </c>
      <c r="CI297" s="174" t="s">
        <v>9356</v>
      </c>
      <c r="CL297" s="174">
        <v>1</v>
      </c>
    </row>
    <row r="298" spans="1:91">
      <c r="A298" s="191" t="s">
        <v>7622</v>
      </c>
      <c r="B298" s="192" t="s">
        <v>271</v>
      </c>
      <c r="C298" s="192" t="s">
        <v>8998</v>
      </c>
      <c r="D298" s="192" t="s">
        <v>8183</v>
      </c>
      <c r="E298" s="193">
        <v>238</v>
      </c>
      <c r="F298" s="193">
        <v>9</v>
      </c>
      <c r="I298" s="184"/>
      <c r="K298" s="176">
        <v>8</v>
      </c>
      <c r="M298" s="197">
        <v>4.45</v>
      </c>
      <c r="N298" s="198">
        <v>41822</v>
      </c>
      <c r="O298" s="179"/>
      <c r="S298" s="176">
        <f>(AE298*BS298)/100</f>
        <v>13.961625966625968</v>
      </c>
      <c r="T298" s="198"/>
      <c r="U298" s="176">
        <v>16.2</v>
      </c>
      <c r="Y298" s="200">
        <f>(AE298*BU298)/100</f>
        <v>5.6017114367114367</v>
      </c>
      <c r="Z298" s="198"/>
      <c r="AA298" s="200"/>
      <c r="AB298" s="198"/>
      <c r="AC298" s="378">
        <f t="shared" si="4"/>
        <v>25.875925925925927</v>
      </c>
      <c r="AE298" s="176">
        <f>(M298/U298)*((100-CC298)/(100-9))*100</f>
        <v>28.435083435083435</v>
      </c>
      <c r="AF298" s="198">
        <v>41822</v>
      </c>
      <c r="AG298" s="176">
        <v>5</v>
      </c>
      <c r="AH298" s="196">
        <v>41927</v>
      </c>
      <c r="AI298" s="176">
        <v>110</v>
      </c>
      <c r="AM298" s="176">
        <v>84</v>
      </c>
      <c r="BG298" s="201">
        <v>55.1</v>
      </c>
      <c r="BI298" s="201">
        <v>4.2</v>
      </c>
      <c r="BK298" s="201">
        <v>0.8</v>
      </c>
      <c r="BM298" s="201">
        <v>26.6</v>
      </c>
      <c r="BO298" s="201">
        <v>14.4</v>
      </c>
      <c r="BQ298" s="201">
        <v>9.6</v>
      </c>
      <c r="BS298" s="201">
        <v>49.1</v>
      </c>
      <c r="BU298" s="201">
        <v>19.7</v>
      </c>
      <c r="BW298" s="201">
        <v>80.2</v>
      </c>
      <c r="BY298" s="178">
        <v>6.0999999999999943</v>
      </c>
      <c r="CC298" s="201">
        <v>5.8</v>
      </c>
      <c r="CD298" s="198">
        <v>41822</v>
      </c>
      <c r="CI298" s="174" t="s">
        <v>9355</v>
      </c>
      <c r="CL298" s="174">
        <v>7</v>
      </c>
    </row>
    <row r="299" spans="1:91">
      <c r="A299" s="202" t="s">
        <v>7754</v>
      </c>
      <c r="B299" s="203" t="s">
        <v>271</v>
      </c>
      <c r="C299" s="203" t="s">
        <v>8998</v>
      </c>
      <c r="D299" s="203" t="s">
        <v>8711</v>
      </c>
      <c r="E299" s="204">
        <v>238</v>
      </c>
      <c r="F299" s="204">
        <v>10</v>
      </c>
      <c r="G299" s="204"/>
      <c r="H299" s="204"/>
      <c r="I299" s="206"/>
      <c r="J299" s="206"/>
      <c r="K299" s="177">
        <v>9</v>
      </c>
      <c r="L299" s="207"/>
      <c r="M299" s="208">
        <v>1.7</v>
      </c>
      <c r="N299" s="209">
        <v>41822</v>
      </c>
      <c r="O299" s="183"/>
      <c r="P299" s="210"/>
      <c r="Q299" s="183"/>
      <c r="R299" s="210"/>
      <c r="S299" s="177">
        <f>(AE299*BS299)/100</f>
        <v>4.9761036494369826</v>
      </c>
      <c r="T299" s="209"/>
      <c r="U299" s="177">
        <v>16.2</v>
      </c>
      <c r="V299" s="210"/>
      <c r="W299" s="183"/>
      <c r="X299" s="210"/>
      <c r="Y299" s="213">
        <f>(AE299*BU299)/100</f>
        <v>2.3492334825668162</v>
      </c>
      <c r="Z299" s="209"/>
      <c r="AA299" s="213"/>
      <c r="AB299" s="209"/>
      <c r="AC299" s="378">
        <f t="shared" si="4"/>
        <v>9.7172839506172846</v>
      </c>
      <c r="AD299" s="207"/>
      <c r="AE299" s="177">
        <f>(M299/U299)*((100-CC299)/(100-9))*100</f>
        <v>10.678334011667346</v>
      </c>
      <c r="AF299" s="209">
        <v>41822</v>
      </c>
      <c r="AG299" s="177">
        <v>3.6</v>
      </c>
      <c r="AH299" s="207">
        <v>41927</v>
      </c>
      <c r="AI299" s="177">
        <v>90</v>
      </c>
      <c r="AJ299" s="207"/>
      <c r="AK299" s="183"/>
      <c r="AL299" s="210"/>
      <c r="AM299" s="177">
        <v>90</v>
      </c>
      <c r="AN299" s="210"/>
      <c r="AO299" s="183"/>
      <c r="AP299" s="183"/>
      <c r="AQ299" s="183"/>
      <c r="AR299" s="183"/>
      <c r="AS299" s="183"/>
      <c r="AT299" s="183"/>
      <c r="AU299" s="183"/>
      <c r="AV299" s="183"/>
      <c r="AW299" s="183"/>
      <c r="AX299" s="183"/>
      <c r="AY299" s="183"/>
      <c r="AZ299" s="183"/>
      <c r="BA299" s="183"/>
      <c r="BB299" s="183"/>
      <c r="BC299" s="183"/>
      <c r="BD299" s="183"/>
      <c r="BE299" s="182"/>
      <c r="BF299" s="182"/>
      <c r="BG299" s="211">
        <v>48.1</v>
      </c>
      <c r="BH299" s="181"/>
      <c r="BI299" s="211">
        <v>3.7</v>
      </c>
      <c r="BJ299" s="181"/>
      <c r="BK299" s="211">
        <v>1</v>
      </c>
      <c r="BL299" s="181"/>
      <c r="BM299" s="211">
        <v>32.5</v>
      </c>
      <c r="BN299" s="181"/>
      <c r="BO299" s="211">
        <v>14.9</v>
      </c>
      <c r="BP299" s="181"/>
      <c r="BQ299" s="211">
        <v>10.6</v>
      </c>
      <c r="BR299" s="181"/>
      <c r="BS299" s="211">
        <v>46.6</v>
      </c>
      <c r="BT299" s="181"/>
      <c r="BU299" s="211">
        <v>22</v>
      </c>
      <c r="BV299" s="181"/>
      <c r="BW299" s="211">
        <v>59.8</v>
      </c>
      <c r="BX299" s="181"/>
      <c r="BY299" s="181">
        <v>6.5</v>
      </c>
      <c r="BZ299" s="181"/>
      <c r="CA299" s="182"/>
      <c r="CB299" s="182"/>
      <c r="CC299" s="211">
        <v>7.4</v>
      </c>
      <c r="CD299" s="209">
        <v>41822</v>
      </c>
      <c r="CE299" s="181"/>
      <c r="CF299" s="181"/>
      <c r="CG299" s="182"/>
      <c r="CH299" s="182"/>
      <c r="CI299" s="175" t="s">
        <v>9349</v>
      </c>
      <c r="CJ299" s="181"/>
      <c r="CK299" s="181"/>
      <c r="CL299" s="175">
        <v>7</v>
      </c>
      <c r="CM299" s="175"/>
    </row>
    <row r="300" spans="1:91">
      <c r="A300" s="191" t="s">
        <v>7795</v>
      </c>
      <c r="B300" s="192" t="s">
        <v>271</v>
      </c>
      <c r="C300" s="192" t="s">
        <v>8998</v>
      </c>
      <c r="D300" s="192" t="s">
        <v>8875</v>
      </c>
      <c r="E300" s="193">
        <v>238</v>
      </c>
      <c r="F300" s="193">
        <v>11</v>
      </c>
      <c r="K300" s="176">
        <v>8</v>
      </c>
      <c r="M300" s="197">
        <v>7.1</v>
      </c>
      <c r="N300" s="198">
        <v>41822</v>
      </c>
      <c r="S300" s="176">
        <f>(AE300*BS300)/100</f>
        <v>22.505343237009907</v>
      </c>
      <c r="T300" s="198"/>
      <c r="U300" s="176">
        <v>16.2</v>
      </c>
      <c r="Y300" s="200">
        <f>(AE300*BU300)/100</f>
        <v>7.4719529236195914</v>
      </c>
      <c r="Z300" s="198"/>
      <c r="AA300" s="200"/>
      <c r="AB300" s="198"/>
      <c r="AC300" s="378">
        <f t="shared" si="4"/>
        <v>40.715432098765433</v>
      </c>
      <c r="AE300" s="176">
        <f>(M300/U300)*((100-CC300)/(100-9))*100</f>
        <v>44.742233075566418</v>
      </c>
      <c r="AF300" s="198">
        <v>41822</v>
      </c>
      <c r="AG300" s="176">
        <v>5.3</v>
      </c>
      <c r="AH300" s="196">
        <v>41927</v>
      </c>
      <c r="AI300" s="176">
        <v>175</v>
      </c>
      <c r="AM300" s="176">
        <v>84</v>
      </c>
      <c r="BG300" s="201">
        <v>0</v>
      </c>
      <c r="BI300" s="201">
        <v>4.8</v>
      </c>
      <c r="BK300" s="201">
        <v>1.6</v>
      </c>
      <c r="BM300" s="201">
        <v>65.2</v>
      </c>
      <c r="BO300" s="201">
        <v>21.1</v>
      </c>
      <c r="BQ300" s="201">
        <v>8</v>
      </c>
      <c r="BS300" s="201">
        <v>50.3</v>
      </c>
      <c r="BU300" s="201">
        <v>16.7</v>
      </c>
      <c r="BW300" s="201">
        <v>9.8000000000000007</v>
      </c>
      <c r="BY300" s="178">
        <v>6.5999999999999943</v>
      </c>
      <c r="CC300" s="201">
        <v>7.1</v>
      </c>
      <c r="CD300" s="198">
        <v>41822</v>
      </c>
      <c r="CI300" s="174" t="s">
        <v>9349</v>
      </c>
      <c r="CL300" s="174">
        <v>1</v>
      </c>
    </row>
    <row r="301" spans="1:91">
      <c r="A301" s="191" t="s">
        <v>7637</v>
      </c>
      <c r="B301" s="192" t="s">
        <v>271</v>
      </c>
      <c r="C301" s="192" t="s">
        <v>8998</v>
      </c>
      <c r="D301" s="192" t="s">
        <v>8243</v>
      </c>
      <c r="E301" s="193">
        <v>238</v>
      </c>
      <c r="F301" s="193">
        <v>12</v>
      </c>
      <c r="K301" s="176">
        <v>7</v>
      </c>
      <c r="M301" s="197">
        <v>4.8499999999999996</v>
      </c>
      <c r="N301" s="198">
        <v>41822</v>
      </c>
      <c r="S301" s="176">
        <f>(AE301*BS301)/100</f>
        <v>14.793881766381764</v>
      </c>
      <c r="T301" s="198"/>
      <c r="U301" s="176">
        <v>16.2</v>
      </c>
      <c r="Y301" s="200">
        <f>(AE301*BU301)/100</f>
        <v>5.942056030389363</v>
      </c>
      <c r="Z301" s="198"/>
      <c r="AA301" s="200"/>
      <c r="AB301" s="198"/>
      <c r="AC301" s="378">
        <f t="shared" si="4"/>
        <v>27.872530864197529</v>
      </c>
      <c r="AE301" s="176">
        <f>(M301/U301)*((100-CC301)/(100-9))*100</f>
        <v>30.62915479582146</v>
      </c>
      <c r="AF301" s="198">
        <v>41822</v>
      </c>
      <c r="AG301" s="176">
        <v>5.0999999999999996</v>
      </c>
      <c r="AH301" s="196">
        <v>41927</v>
      </c>
      <c r="AI301" s="176">
        <v>130</v>
      </c>
      <c r="AM301" s="176">
        <v>88</v>
      </c>
      <c r="BG301" s="201">
        <v>50.2</v>
      </c>
      <c r="BI301" s="201">
        <v>4.4000000000000004</v>
      </c>
      <c r="BK301" s="201">
        <v>1.1000000000000001</v>
      </c>
      <c r="BM301" s="201">
        <v>26.6</v>
      </c>
      <c r="BO301" s="201">
        <v>16.5</v>
      </c>
      <c r="BQ301" s="201">
        <v>7.5</v>
      </c>
      <c r="BS301" s="201">
        <v>48.3</v>
      </c>
      <c r="BU301" s="201">
        <v>19.399999999999999</v>
      </c>
      <c r="BW301" s="201">
        <v>67.7</v>
      </c>
      <c r="BY301" s="178">
        <v>6.2999999999999972</v>
      </c>
      <c r="CC301" s="201">
        <v>6.9</v>
      </c>
      <c r="CD301" s="198">
        <v>41822</v>
      </c>
      <c r="CI301" s="174" t="s">
        <v>9347</v>
      </c>
      <c r="CL301" s="174">
        <v>5</v>
      </c>
    </row>
    <row r="302" spans="1:91">
      <c r="A302" s="191" t="s">
        <v>7689</v>
      </c>
      <c r="B302" s="192" t="s">
        <v>269</v>
      </c>
      <c r="C302" s="192" t="s">
        <v>417</v>
      </c>
      <c r="D302" s="192" t="s">
        <v>8449</v>
      </c>
      <c r="E302" s="193">
        <v>239</v>
      </c>
      <c r="F302" s="193">
        <v>1</v>
      </c>
      <c r="K302" s="176">
        <v>8</v>
      </c>
      <c r="M302" s="197">
        <v>4.1500000000000004</v>
      </c>
      <c r="N302" s="198">
        <v>41822</v>
      </c>
      <c r="S302" s="176">
        <f>(AE302*BS302)/100</f>
        <v>13.363776963776964</v>
      </c>
      <c r="T302" s="198"/>
      <c r="U302" s="176">
        <v>16.2</v>
      </c>
      <c r="Y302" s="200">
        <f>(AE302*BU302)/100</f>
        <v>4.4545923212589882</v>
      </c>
      <c r="Z302" s="198"/>
      <c r="AA302" s="200"/>
      <c r="AB302" s="198"/>
      <c r="AC302" s="378">
        <f t="shared" si="4"/>
        <v>23.567901234567906</v>
      </c>
      <c r="AE302" s="176">
        <f>(M302/U302)*((100-CC302)/(100-9))*100</f>
        <v>25.898792565459232</v>
      </c>
      <c r="AF302" s="198">
        <v>41822</v>
      </c>
      <c r="AG302" s="176">
        <v>5</v>
      </c>
      <c r="AH302" s="196">
        <v>41927</v>
      </c>
      <c r="AI302" s="176">
        <v>130</v>
      </c>
      <c r="AM302" s="176">
        <v>85</v>
      </c>
      <c r="BG302" s="201">
        <v>1.8</v>
      </c>
      <c r="BI302" s="201">
        <v>4.4000000000000004</v>
      </c>
      <c r="BK302" s="201">
        <v>1.5</v>
      </c>
      <c r="BM302" s="201">
        <v>64.599999999999994</v>
      </c>
      <c r="BO302" s="201">
        <v>19</v>
      </c>
      <c r="BQ302" s="201">
        <v>8.8000000000000007</v>
      </c>
      <c r="BS302" s="201">
        <v>51.6</v>
      </c>
      <c r="BU302" s="201">
        <v>17.2</v>
      </c>
      <c r="BW302" s="201">
        <v>11.5</v>
      </c>
      <c r="BY302" s="178">
        <v>6.7999999999999972</v>
      </c>
      <c r="CC302" s="201">
        <v>8</v>
      </c>
      <c r="CD302" s="198">
        <v>41822</v>
      </c>
      <c r="CI302" s="174" t="s">
        <v>9339</v>
      </c>
      <c r="CL302" s="174">
        <v>4</v>
      </c>
    </row>
    <row r="303" spans="1:91">
      <c r="A303" s="191" t="s">
        <v>7617</v>
      </c>
      <c r="B303" s="192" t="s">
        <v>269</v>
      </c>
      <c r="C303" s="192" t="s">
        <v>417</v>
      </c>
      <c r="D303" s="192" t="s">
        <v>8161</v>
      </c>
      <c r="E303" s="193">
        <v>239</v>
      </c>
      <c r="F303" s="193">
        <v>2</v>
      </c>
      <c r="I303" s="184"/>
      <c r="K303" s="176">
        <v>8</v>
      </c>
      <c r="M303" s="197">
        <v>1.2</v>
      </c>
      <c r="N303" s="198">
        <v>41822</v>
      </c>
      <c r="O303" s="179"/>
      <c r="S303" s="176">
        <f>(AE303*BS303)/100</f>
        <v>3.7832478632478632</v>
      </c>
      <c r="T303" s="198"/>
      <c r="U303" s="176">
        <v>16.2</v>
      </c>
      <c r="Y303" s="200">
        <f>(AE303*BU303)/100</f>
        <v>1.4064957264957265</v>
      </c>
      <c r="Z303" s="198"/>
      <c r="AA303" s="200"/>
      <c r="AB303" s="198"/>
      <c r="AC303" s="378">
        <f t="shared" si="4"/>
        <v>6.8444444444444441</v>
      </c>
      <c r="AE303" s="176">
        <f>(M303/U303)*((100-CC303)/(100-9))*100</f>
        <v>7.5213675213675222</v>
      </c>
      <c r="AF303" s="198">
        <v>41822</v>
      </c>
      <c r="AG303" s="176">
        <v>5.9</v>
      </c>
      <c r="AH303" s="196">
        <v>41927</v>
      </c>
      <c r="AI303" s="176">
        <v>140</v>
      </c>
      <c r="AM303" s="176">
        <v>75</v>
      </c>
      <c r="BG303" s="201">
        <v>37.299999999999997</v>
      </c>
      <c r="BI303" s="201">
        <v>4.5</v>
      </c>
      <c r="BK303" s="201">
        <v>1</v>
      </c>
      <c r="BM303" s="201">
        <v>37.200000000000003</v>
      </c>
      <c r="BO303" s="201">
        <v>16.600000000000001</v>
      </c>
      <c r="BQ303" s="201">
        <v>9.6999999999999993</v>
      </c>
      <c r="BS303" s="201">
        <v>50.3</v>
      </c>
      <c r="BU303" s="201">
        <v>18.7</v>
      </c>
      <c r="BW303" s="201">
        <v>60.6</v>
      </c>
      <c r="BY303" s="178">
        <v>6.5</v>
      </c>
      <c r="CC303" s="201">
        <v>7.6</v>
      </c>
      <c r="CD303" s="198">
        <v>41822</v>
      </c>
      <c r="CI303" s="174" t="s">
        <v>9351</v>
      </c>
      <c r="CL303" s="174">
        <v>8</v>
      </c>
    </row>
    <row r="304" spans="1:91">
      <c r="A304" s="191" t="s">
        <v>7619</v>
      </c>
      <c r="B304" s="192" t="s">
        <v>269</v>
      </c>
      <c r="C304" s="192" t="s">
        <v>417</v>
      </c>
      <c r="D304" s="192" t="s">
        <v>8169</v>
      </c>
      <c r="E304" s="193">
        <v>239</v>
      </c>
      <c r="F304" s="193">
        <v>3</v>
      </c>
      <c r="I304" s="184"/>
      <c r="K304" s="176">
        <v>8</v>
      </c>
      <c r="M304" s="197">
        <v>2.6</v>
      </c>
      <c r="N304" s="198">
        <v>41822</v>
      </c>
      <c r="O304" s="179"/>
      <c r="S304" s="176">
        <f>(AE304*BS304)/100</f>
        <v>8.0949382716049385</v>
      </c>
      <c r="T304" s="198"/>
      <c r="U304" s="176">
        <v>16.2</v>
      </c>
      <c r="Y304" s="200">
        <f>(AE304*BU304)/100</f>
        <v>3.0376543209876541</v>
      </c>
      <c r="Z304" s="198"/>
      <c r="AA304" s="200"/>
      <c r="AB304" s="198"/>
      <c r="AC304" s="378">
        <f t="shared" si="4"/>
        <v>14.941975308641975</v>
      </c>
      <c r="AE304" s="176">
        <f>(M304/U304)*((100-CC304)/(100-9))*100</f>
        <v>16.419753086419753</v>
      </c>
      <c r="AF304" s="198">
        <v>41822</v>
      </c>
      <c r="AG304" s="176">
        <v>5</v>
      </c>
      <c r="AH304" s="196">
        <v>41927</v>
      </c>
      <c r="AI304" s="176">
        <v>140</v>
      </c>
      <c r="AM304" s="176">
        <v>88</v>
      </c>
      <c r="BG304" s="201">
        <v>44</v>
      </c>
      <c r="BI304" s="201">
        <v>4.4000000000000004</v>
      </c>
      <c r="BK304" s="201">
        <v>0.9</v>
      </c>
      <c r="BM304" s="201">
        <v>31.7</v>
      </c>
      <c r="BO304" s="201">
        <v>16.7</v>
      </c>
      <c r="BQ304" s="201">
        <v>9.1999999999999993</v>
      </c>
      <c r="BS304" s="201">
        <v>49.3</v>
      </c>
      <c r="BU304" s="201">
        <v>18.5</v>
      </c>
      <c r="BW304" s="201">
        <v>71.8</v>
      </c>
      <c r="BY304" s="178">
        <v>6.5999999999999943</v>
      </c>
      <c r="CC304" s="201">
        <v>6.9</v>
      </c>
      <c r="CD304" s="198">
        <v>41822</v>
      </c>
      <c r="CI304" s="174" t="s">
        <v>9346</v>
      </c>
      <c r="CL304" s="174" t="s">
        <v>9001</v>
      </c>
    </row>
    <row r="305" spans="1:91">
      <c r="A305" s="191" t="s">
        <v>7635</v>
      </c>
      <c r="B305" s="192" t="s">
        <v>269</v>
      </c>
      <c r="C305" s="192" t="s">
        <v>417</v>
      </c>
      <c r="D305" s="192" t="s">
        <v>8233</v>
      </c>
      <c r="E305" s="193">
        <v>239</v>
      </c>
      <c r="F305" s="193">
        <v>4</v>
      </c>
      <c r="K305" s="176">
        <v>8</v>
      </c>
      <c r="M305" s="197">
        <v>1</v>
      </c>
      <c r="N305" s="198">
        <v>41822</v>
      </c>
      <c r="S305" s="176">
        <f>(AE305*BS305)/100</f>
        <v>3.0623321123321126</v>
      </c>
      <c r="T305" s="198"/>
      <c r="U305" s="176">
        <v>16.2</v>
      </c>
      <c r="Y305" s="200">
        <f>(AE305*BU305)/100</f>
        <v>1.2199023199023198</v>
      </c>
      <c r="Z305" s="198"/>
      <c r="AA305" s="200"/>
      <c r="AB305" s="198"/>
      <c r="AC305" s="378">
        <f t="shared" si="4"/>
        <v>5.7222222222222223</v>
      </c>
      <c r="AE305" s="176">
        <f>(M305/U305)*((100-CC305)/(100-9))*100</f>
        <v>6.288156288156288</v>
      </c>
      <c r="AF305" s="198">
        <v>41822</v>
      </c>
      <c r="AG305" s="176">
        <v>5.0999999999999996</v>
      </c>
      <c r="AH305" s="196">
        <v>41927</v>
      </c>
      <c r="AI305" s="176">
        <v>110</v>
      </c>
      <c r="AM305" s="176">
        <v>80</v>
      </c>
      <c r="BG305" s="201">
        <v>18.3</v>
      </c>
      <c r="BI305" s="201">
        <v>4.4000000000000004</v>
      </c>
      <c r="BK305" s="201">
        <v>1.3</v>
      </c>
      <c r="BM305" s="201">
        <v>49.8</v>
      </c>
      <c r="BO305" s="201">
        <v>16.399999999999999</v>
      </c>
      <c r="BQ305" s="201">
        <v>10.1</v>
      </c>
      <c r="BS305" s="201">
        <v>48.7</v>
      </c>
      <c r="BU305" s="201">
        <v>19.399999999999999</v>
      </c>
      <c r="BW305" s="201">
        <v>53.6</v>
      </c>
      <c r="BY305" s="178">
        <v>7</v>
      </c>
      <c r="CC305" s="201">
        <v>7.3</v>
      </c>
      <c r="CD305" s="198">
        <v>41822</v>
      </c>
      <c r="CI305" s="174" t="s">
        <v>9373</v>
      </c>
      <c r="CL305" s="174">
        <v>7</v>
      </c>
    </row>
    <row r="306" spans="1:91">
      <c r="A306" s="191" t="s">
        <v>7738</v>
      </c>
      <c r="B306" s="192" t="s">
        <v>269</v>
      </c>
      <c r="C306" s="192" t="s">
        <v>417</v>
      </c>
      <c r="D306" s="192" t="s">
        <v>8645</v>
      </c>
      <c r="E306" s="193">
        <v>239</v>
      </c>
      <c r="F306" s="193">
        <v>5</v>
      </c>
      <c r="K306" s="176">
        <v>8</v>
      </c>
      <c r="M306" s="197">
        <v>3.5</v>
      </c>
      <c r="N306" s="198">
        <v>41822</v>
      </c>
      <c r="S306" s="176">
        <f>(AE306*BS306)/100</f>
        <v>11.4</v>
      </c>
      <c r="T306" s="198"/>
      <c r="U306" s="176">
        <v>16.2</v>
      </c>
      <c r="Y306" s="200">
        <f>(AE306*BU306)/100</f>
        <v>3.6444444444444439</v>
      </c>
      <c r="Z306" s="198"/>
      <c r="AA306" s="200"/>
      <c r="AB306" s="198"/>
      <c r="AC306" s="378">
        <f t="shared" si="4"/>
        <v>20.222222222222221</v>
      </c>
      <c r="AE306" s="176">
        <f>(M306/U306)*((100-CC306)/(100-9))*100</f>
        <v>22.222222222222221</v>
      </c>
      <c r="AF306" s="198">
        <v>41822</v>
      </c>
      <c r="AG306" s="176">
        <v>4.7</v>
      </c>
      <c r="AH306" s="196">
        <v>41927</v>
      </c>
      <c r="AI306" s="176">
        <v>120</v>
      </c>
      <c r="AM306" s="176">
        <v>83</v>
      </c>
      <c r="BG306" s="201">
        <v>7.4</v>
      </c>
      <c r="BI306" s="201">
        <v>4.8</v>
      </c>
      <c r="BK306" s="201">
        <v>1.4</v>
      </c>
      <c r="BM306" s="201">
        <v>61.4</v>
      </c>
      <c r="BO306" s="201">
        <v>21.5</v>
      </c>
      <c r="BQ306" s="201">
        <v>10.3</v>
      </c>
      <c r="BS306" s="201">
        <v>51.3</v>
      </c>
      <c r="BU306" s="201">
        <v>16.399999999999999</v>
      </c>
      <c r="BW306" s="201">
        <v>17.899999999999999</v>
      </c>
      <c r="BY306" s="178">
        <v>6.7000000000000028</v>
      </c>
      <c r="CC306" s="201">
        <v>6.4</v>
      </c>
      <c r="CD306" s="198">
        <v>41822</v>
      </c>
      <c r="CI306" s="174" t="s">
        <v>9384</v>
      </c>
      <c r="CL306" s="174">
        <v>2</v>
      </c>
    </row>
    <row r="307" spans="1:91">
      <c r="A307" s="191" t="s">
        <v>7615</v>
      </c>
      <c r="B307" s="192" t="s">
        <v>269</v>
      </c>
      <c r="C307" s="192" t="s">
        <v>417</v>
      </c>
      <c r="D307" s="192" t="s">
        <v>8153</v>
      </c>
      <c r="E307" s="193">
        <v>239</v>
      </c>
      <c r="F307" s="193">
        <v>6</v>
      </c>
      <c r="I307" s="184"/>
      <c r="K307" s="176">
        <v>9</v>
      </c>
      <c r="M307" s="197">
        <v>2.0499999999999998</v>
      </c>
      <c r="N307" s="198">
        <v>41822</v>
      </c>
      <c r="O307" s="179"/>
      <c r="S307" s="176">
        <f>(AE307*BS307)/100</f>
        <v>6.2138139329806021</v>
      </c>
      <c r="T307" s="198"/>
      <c r="U307" s="176">
        <v>16.2</v>
      </c>
      <c r="Y307" s="200">
        <f>(AE307*BU307)/100</f>
        <v>2.6353805453805461</v>
      </c>
      <c r="Z307" s="198"/>
      <c r="AA307" s="200"/>
      <c r="AB307" s="198"/>
      <c r="AC307" s="378">
        <f t="shared" si="4"/>
        <v>11.755864197530865</v>
      </c>
      <c r="AE307" s="176">
        <f>(M307/U307)*((100-CC307)/(100-9))*100</f>
        <v>12.918532085198756</v>
      </c>
      <c r="AF307" s="198">
        <v>41822</v>
      </c>
      <c r="AG307" s="176">
        <v>5.4</v>
      </c>
      <c r="AH307" s="196">
        <v>41927</v>
      </c>
      <c r="AI307" s="176">
        <v>115</v>
      </c>
      <c r="AM307" s="176">
        <v>80</v>
      </c>
      <c r="BG307" s="201">
        <v>44.8</v>
      </c>
      <c r="BI307" s="201">
        <v>4.5</v>
      </c>
      <c r="BK307" s="201">
        <v>0.8</v>
      </c>
      <c r="BM307" s="201">
        <v>31.5</v>
      </c>
      <c r="BO307" s="201">
        <v>15.9</v>
      </c>
      <c r="BQ307" s="201">
        <v>11</v>
      </c>
      <c r="BS307" s="201">
        <v>48.1</v>
      </c>
      <c r="BU307" s="201">
        <v>20.399999999999999</v>
      </c>
      <c r="BW307" s="201">
        <v>82.4</v>
      </c>
      <c r="BY307" s="178">
        <v>6.5999999999999943</v>
      </c>
      <c r="CC307" s="201">
        <v>7.1</v>
      </c>
      <c r="CD307" s="198">
        <v>41822</v>
      </c>
      <c r="CI307" s="174" t="s">
        <v>9351</v>
      </c>
      <c r="CL307" s="174">
        <v>6</v>
      </c>
    </row>
    <row r="308" spans="1:91">
      <c r="A308" s="191" t="s">
        <v>7741</v>
      </c>
      <c r="B308" s="192" t="s">
        <v>271</v>
      </c>
      <c r="C308" s="192" t="s">
        <v>8998</v>
      </c>
      <c r="D308" s="192" t="s">
        <v>8659</v>
      </c>
      <c r="E308" s="193">
        <v>239</v>
      </c>
      <c r="F308" s="193">
        <v>7</v>
      </c>
      <c r="K308" s="176">
        <v>8</v>
      </c>
      <c r="M308" s="197">
        <v>4.8</v>
      </c>
      <c r="N308" s="198">
        <v>41822</v>
      </c>
      <c r="S308" s="176">
        <f>(AE308*BS308)/100</f>
        <v>15.611819291819293</v>
      </c>
      <c r="T308" s="198"/>
      <c r="U308" s="176">
        <v>16.2</v>
      </c>
      <c r="Y308" s="200">
        <f>(AE308*BU308)/100</f>
        <v>5.3675213675213671</v>
      </c>
      <c r="Z308" s="198"/>
      <c r="AA308" s="200"/>
      <c r="AB308" s="198"/>
      <c r="AC308" s="378">
        <f t="shared" si="4"/>
        <v>27.911111111111111</v>
      </c>
      <c r="AE308" s="176">
        <f>(M308/U308)*((100-CC308)/(100-9))*100</f>
        <v>30.671550671550673</v>
      </c>
      <c r="AF308" s="198">
        <v>41822</v>
      </c>
      <c r="AG308" s="176">
        <v>4.3</v>
      </c>
      <c r="AH308" s="196">
        <v>41927</v>
      </c>
      <c r="AI308" s="176">
        <v>155</v>
      </c>
      <c r="AM308" s="176">
        <v>87</v>
      </c>
      <c r="BG308" s="201">
        <v>52</v>
      </c>
      <c r="BI308" s="201">
        <v>4.2</v>
      </c>
      <c r="BK308" s="201">
        <v>0.8</v>
      </c>
      <c r="BM308" s="201">
        <v>23.1</v>
      </c>
      <c r="BO308" s="201">
        <v>16</v>
      </c>
      <c r="BQ308" s="201">
        <v>8.4</v>
      </c>
      <c r="BS308" s="201">
        <v>50.9</v>
      </c>
      <c r="BU308" s="201">
        <v>17.5</v>
      </c>
      <c r="BW308" s="201">
        <v>59.1</v>
      </c>
      <c r="BY308" s="178">
        <v>5.9000000000000057</v>
      </c>
      <c r="CC308" s="201">
        <v>5.8</v>
      </c>
      <c r="CD308" s="198">
        <v>41822</v>
      </c>
      <c r="CI308" s="174" t="s">
        <v>9358</v>
      </c>
      <c r="CL308" s="174">
        <v>2</v>
      </c>
    </row>
    <row r="309" spans="1:91">
      <c r="A309" s="191" t="s">
        <v>7766</v>
      </c>
      <c r="B309" s="192" t="s">
        <v>271</v>
      </c>
      <c r="C309" s="192" t="s">
        <v>8998</v>
      </c>
      <c r="D309" s="192" t="s">
        <v>8759</v>
      </c>
      <c r="E309" s="193">
        <v>239</v>
      </c>
      <c r="F309" s="193">
        <v>8</v>
      </c>
      <c r="K309" s="176">
        <v>9</v>
      </c>
      <c r="M309" s="197">
        <v>7.25</v>
      </c>
      <c r="N309" s="198">
        <v>41822</v>
      </c>
      <c r="S309" s="176">
        <f>(AE309*BS309)/100</f>
        <v>22.560030864197529</v>
      </c>
      <c r="T309" s="198"/>
      <c r="U309" s="176">
        <v>16.2</v>
      </c>
      <c r="Y309" s="200">
        <f>(AE309*BU309)/100</f>
        <v>7.9890652557319228</v>
      </c>
      <c r="Z309" s="198"/>
      <c r="AA309" s="200"/>
      <c r="AB309" s="198"/>
      <c r="AC309" s="378">
        <f t="shared" si="4"/>
        <v>41.307098765432102</v>
      </c>
      <c r="AE309" s="176">
        <f>(M309/U309)*((100-CC309)/(100-9))*100</f>
        <v>45.392416225749557</v>
      </c>
      <c r="AF309" s="198">
        <v>41822</v>
      </c>
      <c r="AG309" s="176">
        <v>4.7</v>
      </c>
      <c r="AH309" s="196">
        <v>41927</v>
      </c>
      <c r="AI309" s="176">
        <v>160</v>
      </c>
      <c r="AM309" s="176">
        <v>86</v>
      </c>
      <c r="BG309" s="201">
        <v>0.9</v>
      </c>
      <c r="BI309" s="201">
        <v>3.8</v>
      </c>
      <c r="BK309" s="201">
        <v>1.7</v>
      </c>
      <c r="BM309" s="201">
        <v>68.8</v>
      </c>
      <c r="BO309" s="201">
        <v>16.899999999999999</v>
      </c>
      <c r="BQ309" s="201">
        <v>6.6</v>
      </c>
      <c r="BS309" s="201">
        <v>49.7</v>
      </c>
      <c r="BU309" s="201">
        <v>17.600000000000001</v>
      </c>
      <c r="BW309" s="201">
        <v>15.5</v>
      </c>
      <c r="BY309" s="178">
        <v>6.5999999999999943</v>
      </c>
      <c r="CC309" s="201">
        <v>7.7</v>
      </c>
      <c r="CD309" s="198">
        <v>41822</v>
      </c>
      <c r="CI309" s="174" t="s">
        <v>9358</v>
      </c>
      <c r="CL309" s="174">
        <v>1</v>
      </c>
    </row>
    <row r="310" spans="1:91">
      <c r="A310" s="191" t="s">
        <v>7752</v>
      </c>
      <c r="B310" s="192" t="s">
        <v>271</v>
      </c>
      <c r="C310" s="192" t="s">
        <v>8998</v>
      </c>
      <c r="D310" s="192" t="s">
        <v>8703</v>
      </c>
      <c r="E310" s="193">
        <v>239</v>
      </c>
      <c r="F310" s="193">
        <v>9</v>
      </c>
      <c r="K310" s="176">
        <v>8</v>
      </c>
      <c r="M310" s="197">
        <v>3.6</v>
      </c>
      <c r="N310" s="198">
        <v>41822</v>
      </c>
      <c r="S310" s="176">
        <f>(AE310*BS310)/100</f>
        <v>11.233699633699635</v>
      </c>
      <c r="T310" s="198"/>
      <c r="U310" s="176">
        <v>16.2</v>
      </c>
      <c r="Y310" s="200">
        <f>(AE310*BU310)/100</f>
        <v>4.3838827838827834</v>
      </c>
      <c r="Z310" s="198"/>
      <c r="AA310" s="200"/>
      <c r="AB310" s="198"/>
      <c r="AC310" s="378">
        <f t="shared" si="4"/>
        <v>20.777777777777779</v>
      </c>
      <c r="AE310" s="176">
        <f>(M310/U310)*((100-CC310)/(100-9))*100</f>
        <v>22.832722832722833</v>
      </c>
      <c r="AF310" s="198">
        <v>41822</v>
      </c>
      <c r="AG310" s="176">
        <v>4.8</v>
      </c>
      <c r="AH310" s="196">
        <v>41927</v>
      </c>
      <c r="AI310" s="176">
        <v>100</v>
      </c>
      <c r="AM310" s="176">
        <v>79</v>
      </c>
      <c r="BG310" s="201">
        <v>51.3</v>
      </c>
      <c r="BI310" s="201">
        <v>3.9</v>
      </c>
      <c r="BK310" s="201">
        <v>1</v>
      </c>
      <c r="BM310" s="201">
        <v>30</v>
      </c>
      <c r="BO310" s="201">
        <v>13.6</v>
      </c>
      <c r="BQ310" s="201">
        <v>9</v>
      </c>
      <c r="BS310" s="201">
        <v>49.2</v>
      </c>
      <c r="BU310" s="201">
        <v>19.2</v>
      </c>
      <c r="BW310" s="201">
        <v>72.900000000000006</v>
      </c>
      <c r="BY310" s="178">
        <v>6</v>
      </c>
      <c r="CC310" s="201">
        <v>6.5</v>
      </c>
      <c r="CD310" s="198">
        <v>41822</v>
      </c>
      <c r="CI310" s="174" t="s">
        <v>9351</v>
      </c>
      <c r="CL310" s="174">
        <v>7</v>
      </c>
    </row>
    <row r="311" spans="1:91">
      <c r="A311" s="191" t="s">
        <v>7630</v>
      </c>
      <c r="B311" s="192" t="s">
        <v>271</v>
      </c>
      <c r="C311" s="192" t="s">
        <v>8998</v>
      </c>
      <c r="D311" s="192" t="s">
        <v>8215</v>
      </c>
      <c r="E311" s="193">
        <v>239</v>
      </c>
      <c r="F311" s="193">
        <v>10</v>
      </c>
      <c r="I311" s="184"/>
      <c r="K311" s="176">
        <v>6</v>
      </c>
      <c r="M311" s="197">
        <v>4.9000000000000004</v>
      </c>
      <c r="N311" s="198">
        <v>41822</v>
      </c>
      <c r="O311" s="179"/>
      <c r="S311" s="176">
        <f>(AE311*BS311)/100</f>
        <v>14.57505698005698</v>
      </c>
      <c r="T311" s="198"/>
      <c r="U311" s="176">
        <v>16.2</v>
      </c>
      <c r="Y311" s="200">
        <f>(AE311*BU311)/100</f>
        <v>5.9414245014245015</v>
      </c>
      <c r="Z311" s="198"/>
      <c r="AA311" s="200"/>
      <c r="AB311" s="198"/>
      <c r="AC311" s="378">
        <f t="shared" si="4"/>
        <v>28.159876543209876</v>
      </c>
      <c r="AE311" s="176">
        <f>(M311/U311)*((100-CC311)/(100-9))*100</f>
        <v>30.944919278252609</v>
      </c>
      <c r="AF311" s="198">
        <v>41822</v>
      </c>
      <c r="AG311" s="176">
        <v>4.8</v>
      </c>
      <c r="AH311" s="196">
        <v>41927</v>
      </c>
      <c r="AI311" s="176">
        <v>155</v>
      </c>
      <c r="AM311" s="176">
        <v>79</v>
      </c>
      <c r="BG311" s="201">
        <v>46.2</v>
      </c>
      <c r="BI311" s="201">
        <v>4.3</v>
      </c>
      <c r="BK311" s="201">
        <v>1.1000000000000001</v>
      </c>
      <c r="BM311" s="201">
        <v>34.9</v>
      </c>
      <c r="BO311" s="201">
        <v>15.4</v>
      </c>
      <c r="BQ311" s="201">
        <v>7.3</v>
      </c>
      <c r="BS311" s="201">
        <v>47.1</v>
      </c>
      <c r="BU311" s="201">
        <v>19.2</v>
      </c>
      <c r="BW311" s="201">
        <v>69.3</v>
      </c>
      <c r="BY311" s="178">
        <v>6.2999999999999972</v>
      </c>
      <c r="CC311" s="201">
        <v>6.9</v>
      </c>
      <c r="CD311" s="198">
        <v>41822</v>
      </c>
      <c r="CI311" s="174" t="s">
        <v>9347</v>
      </c>
      <c r="CL311" s="174">
        <v>5</v>
      </c>
    </row>
    <row r="312" spans="1:91">
      <c r="A312" s="191" t="s">
        <v>7647</v>
      </c>
      <c r="B312" s="192" t="s">
        <v>271</v>
      </c>
      <c r="C312" s="192" t="s">
        <v>8998</v>
      </c>
      <c r="D312" s="192" t="s">
        <v>8283</v>
      </c>
      <c r="E312" s="193">
        <v>239</v>
      </c>
      <c r="F312" s="193">
        <v>11</v>
      </c>
      <c r="K312" s="176">
        <v>9</v>
      </c>
      <c r="M312" s="197">
        <v>1.9</v>
      </c>
      <c r="N312" s="198">
        <v>41822</v>
      </c>
      <c r="S312" s="176">
        <f>(AE312*BS312)/100</f>
        <v>5.4475688509021838</v>
      </c>
      <c r="T312" s="198"/>
      <c r="U312" s="176">
        <v>16.2</v>
      </c>
      <c r="Y312" s="200">
        <f>(AE312*BU312)/100</f>
        <v>2.591794871794872</v>
      </c>
      <c r="Z312" s="198"/>
      <c r="AA312" s="200"/>
      <c r="AB312" s="198"/>
      <c r="AC312" s="378">
        <f t="shared" si="4"/>
        <v>10.919135802469135</v>
      </c>
      <c r="AE312" s="176">
        <f>(M312/U312)*((100-CC312)/(100-9))*100</f>
        <v>11.999050332383664</v>
      </c>
      <c r="AF312" s="198">
        <v>41822</v>
      </c>
      <c r="AG312" s="176">
        <v>6</v>
      </c>
      <c r="AH312" s="196">
        <v>41927</v>
      </c>
      <c r="AI312" s="176">
        <v>90</v>
      </c>
      <c r="AM312" s="176">
        <v>80</v>
      </c>
      <c r="BG312" s="201">
        <v>14.7</v>
      </c>
      <c r="BI312" s="201">
        <v>4.9000000000000004</v>
      </c>
      <c r="BK312" s="201">
        <v>1.2</v>
      </c>
      <c r="BM312" s="201">
        <v>57.9</v>
      </c>
      <c r="BO312" s="201">
        <v>20.7</v>
      </c>
      <c r="BQ312" s="201">
        <v>11.1</v>
      </c>
      <c r="BS312" s="201">
        <v>45.4</v>
      </c>
      <c r="BU312" s="201">
        <v>21.6</v>
      </c>
      <c r="BW312" s="201">
        <v>98.8</v>
      </c>
      <c r="BY312" s="178">
        <v>6.7000000000000028</v>
      </c>
      <c r="CC312" s="201">
        <v>6.9</v>
      </c>
      <c r="CD312" s="198">
        <v>41822</v>
      </c>
      <c r="CI312" s="174" t="s">
        <v>9373</v>
      </c>
      <c r="CL312" s="174">
        <v>8</v>
      </c>
    </row>
    <row r="313" spans="1:91">
      <c r="A313" s="191" t="s">
        <v>7677</v>
      </c>
      <c r="B313" s="192" t="s">
        <v>271</v>
      </c>
      <c r="C313" s="192" t="s">
        <v>8998</v>
      </c>
      <c r="D313" s="192" t="s">
        <v>8403</v>
      </c>
      <c r="E313" s="193">
        <v>239</v>
      </c>
      <c r="F313" s="193">
        <v>12</v>
      </c>
      <c r="K313" s="176">
        <v>7</v>
      </c>
      <c r="M313" s="197">
        <v>5.75</v>
      </c>
      <c r="N313" s="198">
        <v>41822</v>
      </c>
      <c r="S313" s="176">
        <f>(AE313*BS313)/100</f>
        <v>18.086289173789172</v>
      </c>
      <c r="T313" s="198"/>
      <c r="U313" s="176">
        <v>16.2</v>
      </c>
      <c r="Y313" s="200">
        <f>(AE313*BU313)/100</f>
        <v>6.36841168091168</v>
      </c>
      <c r="Z313" s="198"/>
      <c r="AA313" s="200"/>
      <c r="AB313" s="198"/>
      <c r="AC313" s="378">
        <f t="shared" si="4"/>
        <v>33.11574074074074</v>
      </c>
      <c r="AE313" s="176">
        <f>(M313/U313)*((100-CC313)/(100-9))*100</f>
        <v>36.390923890923887</v>
      </c>
      <c r="AF313" s="198">
        <v>41822</v>
      </c>
      <c r="AG313" s="176">
        <v>5.5</v>
      </c>
      <c r="AH313" s="196">
        <v>41927</v>
      </c>
      <c r="AI313" s="176">
        <v>160</v>
      </c>
      <c r="AM313" s="176">
        <v>85</v>
      </c>
      <c r="BG313" s="201">
        <v>3.4</v>
      </c>
      <c r="BI313" s="201">
        <v>4.8</v>
      </c>
      <c r="BK313" s="201">
        <v>1.5</v>
      </c>
      <c r="BM313" s="201">
        <v>64.7</v>
      </c>
      <c r="BO313" s="201">
        <v>22.9</v>
      </c>
      <c r="BQ313" s="201">
        <v>7.4</v>
      </c>
      <c r="BS313" s="201">
        <v>49.7</v>
      </c>
      <c r="BU313" s="201">
        <v>17.5</v>
      </c>
      <c r="BW313" s="201">
        <v>11.8</v>
      </c>
      <c r="BY313" s="178">
        <v>6.2999999999999972</v>
      </c>
      <c r="CC313" s="201">
        <v>6.7</v>
      </c>
      <c r="CD313" s="198">
        <v>41822</v>
      </c>
      <c r="CI313" s="174" t="s">
        <v>9358</v>
      </c>
      <c r="CL313" s="174">
        <v>3</v>
      </c>
    </row>
    <row r="314" spans="1:91">
      <c r="A314" s="191" t="s">
        <v>7766</v>
      </c>
      <c r="B314" s="192" t="s">
        <v>269</v>
      </c>
      <c r="C314" s="192" t="s">
        <v>417</v>
      </c>
      <c r="D314" s="192" t="s">
        <v>8757</v>
      </c>
      <c r="E314" s="193">
        <v>240</v>
      </c>
      <c r="F314" s="193">
        <v>1</v>
      </c>
      <c r="K314" s="176">
        <v>9</v>
      </c>
      <c r="M314" s="197">
        <v>5.95</v>
      </c>
      <c r="N314" s="198">
        <v>41822</v>
      </c>
      <c r="S314" s="176">
        <f>(AE314*BS314)/100</f>
        <v>19.011585944919279</v>
      </c>
      <c r="T314" s="198"/>
      <c r="U314" s="176">
        <v>16.2</v>
      </c>
      <c r="Y314" s="200">
        <f>(AE314*BU314)/100</f>
        <v>6.0153846153846153</v>
      </c>
      <c r="Z314" s="198"/>
      <c r="AA314" s="200"/>
      <c r="AB314" s="198"/>
      <c r="AC314" s="378">
        <f t="shared" si="4"/>
        <v>33.790123456790127</v>
      </c>
      <c r="AE314" s="176">
        <f>(M314/U314)*((100-CC314)/(100-9))*100</f>
        <v>37.132003798670468</v>
      </c>
      <c r="AF314" s="198">
        <v>41822</v>
      </c>
      <c r="AG314" s="176">
        <v>4.7</v>
      </c>
      <c r="AH314" s="196">
        <v>41927</v>
      </c>
      <c r="AI314" s="176">
        <v>145</v>
      </c>
      <c r="AM314" s="176">
        <v>86</v>
      </c>
      <c r="BG314" s="201">
        <v>0</v>
      </c>
      <c r="BI314" s="201">
        <v>4.4000000000000004</v>
      </c>
      <c r="BK314" s="201">
        <v>1.7</v>
      </c>
      <c r="BM314" s="201">
        <v>68</v>
      </c>
      <c r="BO314" s="201">
        <v>18.399999999999999</v>
      </c>
      <c r="BQ314" s="201">
        <v>6.4</v>
      </c>
      <c r="BS314" s="201">
        <v>51.2</v>
      </c>
      <c r="BU314" s="201">
        <v>16.2</v>
      </c>
      <c r="BW314" s="201">
        <v>13.4</v>
      </c>
      <c r="BY314" s="178">
        <v>7.2999999999999972</v>
      </c>
      <c r="CC314" s="201">
        <v>8</v>
      </c>
      <c r="CD314" s="198">
        <v>41822</v>
      </c>
      <c r="CI314" s="174" t="s">
        <v>9339</v>
      </c>
      <c r="CL314" s="174">
        <v>1</v>
      </c>
    </row>
    <row r="315" spans="1:91">
      <c r="A315" s="191" t="s">
        <v>7705</v>
      </c>
      <c r="B315" s="192" t="s">
        <v>269</v>
      </c>
      <c r="C315" s="192" t="s">
        <v>417</v>
      </c>
      <c r="D315" s="192" t="s">
        <v>8513</v>
      </c>
      <c r="E315" s="193">
        <v>240</v>
      </c>
      <c r="F315" s="193">
        <v>2</v>
      </c>
      <c r="K315" s="176">
        <v>9</v>
      </c>
      <c r="M315" s="197">
        <v>3.7</v>
      </c>
      <c r="N315" s="198">
        <v>41822</v>
      </c>
      <c r="S315" s="176">
        <f>(AE315*BS315)/100</f>
        <v>12.347639397639396</v>
      </c>
      <c r="T315" s="198"/>
      <c r="U315" s="176">
        <v>16.2</v>
      </c>
      <c r="Y315" s="200">
        <f>(AE315*BU315)/100</f>
        <v>3.9680504680504676</v>
      </c>
      <c r="Z315" s="198"/>
      <c r="AA315" s="200"/>
      <c r="AB315" s="198"/>
      <c r="AC315" s="378">
        <f t="shared" si="4"/>
        <v>21.24074074074074</v>
      </c>
      <c r="AE315" s="176">
        <f>(M315/U315)*((100-CC315)/(100-9))*100</f>
        <v>23.341473341473339</v>
      </c>
      <c r="AF315" s="198">
        <v>41822</v>
      </c>
      <c r="AG315" s="176">
        <v>4.4000000000000004</v>
      </c>
      <c r="AH315" s="196">
        <v>41927</v>
      </c>
      <c r="AI315" s="176">
        <v>80</v>
      </c>
      <c r="AM315" s="176">
        <v>80</v>
      </c>
      <c r="BG315" s="201">
        <v>3.7</v>
      </c>
      <c r="BI315" s="201">
        <v>4.3</v>
      </c>
      <c r="BK315" s="201">
        <v>1.5</v>
      </c>
      <c r="BM315" s="201">
        <v>65.400000000000006</v>
      </c>
      <c r="BO315" s="201">
        <v>17.899999999999999</v>
      </c>
      <c r="BQ315" s="201">
        <v>10.1</v>
      </c>
      <c r="BS315" s="201">
        <v>52.9</v>
      </c>
      <c r="BU315" s="201">
        <v>17</v>
      </c>
      <c r="BW315" s="201">
        <v>12</v>
      </c>
      <c r="BY315" s="178">
        <v>6.5999999999999943</v>
      </c>
      <c r="CC315" s="201">
        <v>7</v>
      </c>
      <c r="CD315" s="198">
        <v>41822</v>
      </c>
      <c r="CI315" s="174" t="s">
        <v>9358</v>
      </c>
      <c r="CL315" s="174">
        <v>3</v>
      </c>
    </row>
    <row r="316" spans="1:91">
      <c r="A316" s="191" t="s">
        <v>7706</v>
      </c>
      <c r="B316" s="192" t="s">
        <v>269</v>
      </c>
      <c r="C316" s="192" t="s">
        <v>417</v>
      </c>
      <c r="D316" s="192" t="s">
        <v>8517</v>
      </c>
      <c r="E316" s="193">
        <v>240</v>
      </c>
      <c r="F316" s="193">
        <v>3</v>
      </c>
      <c r="K316" s="176">
        <v>7</v>
      </c>
      <c r="M316" s="197">
        <v>3.1</v>
      </c>
      <c r="N316" s="198">
        <v>41822</v>
      </c>
      <c r="S316" s="176">
        <f>(AE316*BS316)/100</f>
        <v>10.0077092660426</v>
      </c>
      <c r="T316" s="198"/>
      <c r="U316" s="176">
        <v>16.2</v>
      </c>
      <c r="Y316" s="200">
        <f>(AE316*BU316)/100</f>
        <v>3.3621184371184372</v>
      </c>
      <c r="Z316" s="198"/>
      <c r="AA316" s="200"/>
      <c r="AB316" s="198"/>
      <c r="AC316" s="378">
        <f t="shared" si="4"/>
        <v>17.891975308641978</v>
      </c>
      <c r="AE316" s="176">
        <f>(M316/U316)*((100-CC316)/(100-9))*100</f>
        <v>19.661511328177994</v>
      </c>
      <c r="AF316" s="198">
        <v>41822</v>
      </c>
      <c r="AG316" s="176">
        <v>4.4000000000000004</v>
      </c>
      <c r="AH316" s="196">
        <v>41927</v>
      </c>
      <c r="AI316" s="176">
        <v>130</v>
      </c>
      <c r="AM316" s="176">
        <v>85</v>
      </c>
      <c r="BG316" s="201">
        <v>1.1000000000000001</v>
      </c>
      <c r="BI316" s="201">
        <v>4.4000000000000004</v>
      </c>
      <c r="BK316" s="201">
        <v>1.5</v>
      </c>
      <c r="BM316" s="201">
        <v>62.8</v>
      </c>
      <c r="BO316" s="201">
        <v>19.3</v>
      </c>
      <c r="BQ316" s="201">
        <v>8.5</v>
      </c>
      <c r="BS316" s="201">
        <v>50.9</v>
      </c>
      <c r="BU316" s="201">
        <v>17.100000000000001</v>
      </c>
      <c r="BW316" s="201">
        <v>14.4</v>
      </c>
      <c r="BY316" s="178">
        <v>6.5999999999999943</v>
      </c>
      <c r="CC316" s="201">
        <v>6.5</v>
      </c>
      <c r="CD316" s="198">
        <v>41822</v>
      </c>
      <c r="CI316" s="174" t="s">
        <v>9355</v>
      </c>
      <c r="CL316" s="174">
        <v>5</v>
      </c>
    </row>
    <row r="317" spans="1:91">
      <c r="A317" s="191" t="s">
        <v>7786</v>
      </c>
      <c r="B317" s="192" t="s">
        <v>269</v>
      </c>
      <c r="C317" s="192" t="s">
        <v>417</v>
      </c>
      <c r="D317" s="192" t="s">
        <v>8837</v>
      </c>
      <c r="E317" s="193">
        <v>240</v>
      </c>
      <c r="F317" s="193">
        <v>4</v>
      </c>
      <c r="K317" s="176">
        <v>7</v>
      </c>
      <c r="M317" s="197">
        <v>3.65</v>
      </c>
      <c r="N317" s="198">
        <v>41822</v>
      </c>
      <c r="S317" s="176">
        <f>(AE317*BS317)/100</f>
        <v>11.919768009768012</v>
      </c>
      <c r="T317" s="198"/>
      <c r="U317" s="176">
        <v>16.2</v>
      </c>
      <c r="Y317" s="200">
        <f>(AE317*BU317)/100</f>
        <v>3.6960520960520959</v>
      </c>
      <c r="Z317" s="198"/>
      <c r="AA317" s="200"/>
      <c r="AB317" s="198"/>
      <c r="AC317" s="378">
        <f t="shared" si="4"/>
        <v>21.021296296296295</v>
      </c>
      <c r="AE317" s="176">
        <f>(M317/U317)*((100-CC317)/(100-9))*100</f>
        <v>23.100325600325601</v>
      </c>
      <c r="AF317" s="198">
        <v>41822</v>
      </c>
      <c r="AG317" s="176">
        <v>4.5999999999999996</v>
      </c>
      <c r="AH317" s="196">
        <v>41927</v>
      </c>
      <c r="AI317" s="176">
        <v>135</v>
      </c>
      <c r="AM317" s="176">
        <v>79</v>
      </c>
      <c r="BG317" s="201">
        <v>3.4</v>
      </c>
      <c r="BI317" s="201">
        <v>4.5</v>
      </c>
      <c r="BK317" s="201">
        <v>1.7</v>
      </c>
      <c r="BM317" s="201">
        <v>66</v>
      </c>
      <c r="BO317" s="201">
        <v>19.7</v>
      </c>
      <c r="BQ317" s="201">
        <v>7.9</v>
      </c>
      <c r="BS317" s="201">
        <v>51.6</v>
      </c>
      <c r="BU317" s="201">
        <v>16</v>
      </c>
      <c r="BW317" s="201">
        <v>11.2</v>
      </c>
      <c r="BY317" s="178">
        <v>6.2999999999999972</v>
      </c>
      <c r="CC317" s="201">
        <v>6.7</v>
      </c>
      <c r="CD317" s="198">
        <v>41822</v>
      </c>
      <c r="CI317" s="174" t="s">
        <v>9384</v>
      </c>
      <c r="CL317" s="174">
        <v>1</v>
      </c>
    </row>
    <row r="318" spans="1:91">
      <c r="A318" s="191" t="s">
        <v>7627</v>
      </c>
      <c r="B318" s="192" t="s">
        <v>269</v>
      </c>
      <c r="C318" s="192" t="s">
        <v>417</v>
      </c>
      <c r="D318" s="192" t="s">
        <v>8201</v>
      </c>
      <c r="E318" s="193">
        <v>240</v>
      </c>
      <c r="F318" s="193">
        <v>5</v>
      </c>
      <c r="I318" s="184"/>
      <c r="K318" s="176">
        <v>8</v>
      </c>
      <c r="M318" s="197">
        <v>0.85</v>
      </c>
      <c r="N318" s="198">
        <v>41822</v>
      </c>
      <c r="O318" s="179"/>
      <c r="S318" s="176">
        <f>(AE318*BS318)/100</f>
        <v>2.6574867724867719</v>
      </c>
      <c r="T318" s="198"/>
      <c r="U318" s="176">
        <v>16.2</v>
      </c>
      <c r="Y318" s="200">
        <f>(AE318*BU318)/100</f>
        <v>1.0221102971102971</v>
      </c>
      <c r="Z318" s="198"/>
      <c r="AA318" s="200"/>
      <c r="AB318" s="198"/>
      <c r="AC318" s="378">
        <f t="shared" si="4"/>
        <v>4.8953703703703706</v>
      </c>
      <c r="AE318" s="176">
        <f>(M318/U318)*((100-CC318)/(100-9))*100</f>
        <v>5.3795278795278794</v>
      </c>
      <c r="AF318" s="198">
        <v>41822</v>
      </c>
      <c r="AG318" s="176">
        <v>4.4000000000000004</v>
      </c>
      <c r="AH318" s="196">
        <v>41927</v>
      </c>
      <c r="AI318" s="176">
        <v>80</v>
      </c>
      <c r="AM318" s="176">
        <v>80</v>
      </c>
      <c r="BG318" s="201">
        <v>34.4</v>
      </c>
      <c r="BI318" s="201">
        <v>4.7</v>
      </c>
      <c r="BK318" s="201">
        <v>1.1000000000000001</v>
      </c>
      <c r="BM318" s="201">
        <v>38.799999999999997</v>
      </c>
      <c r="BO318" s="201">
        <v>17.2</v>
      </c>
      <c r="BQ318" s="201">
        <v>10.4</v>
      </c>
      <c r="BS318" s="201">
        <v>49.4</v>
      </c>
      <c r="BU318" s="201">
        <v>19</v>
      </c>
      <c r="BW318" s="201">
        <v>49.7</v>
      </c>
      <c r="BY318" s="178">
        <v>6.5</v>
      </c>
      <c r="CC318" s="201">
        <v>6.7</v>
      </c>
      <c r="CD318" s="198">
        <v>41822</v>
      </c>
      <c r="CI318" s="174" t="s">
        <v>9349</v>
      </c>
      <c r="CL318" s="174">
        <v>9</v>
      </c>
    </row>
    <row r="319" spans="1:91">
      <c r="A319" s="191" t="s">
        <v>7785</v>
      </c>
      <c r="B319" s="192" t="s">
        <v>269</v>
      </c>
      <c r="C319" s="192" t="s">
        <v>417</v>
      </c>
      <c r="D319" s="192" t="s">
        <v>8833</v>
      </c>
      <c r="E319" s="193">
        <v>240</v>
      </c>
      <c r="F319" s="193">
        <v>6</v>
      </c>
      <c r="K319" s="176">
        <v>7</v>
      </c>
      <c r="M319" s="197">
        <v>3.7</v>
      </c>
      <c r="N319" s="198">
        <v>41822</v>
      </c>
      <c r="S319" s="176">
        <f>(AE319*BS319)/100</f>
        <v>12.340636955636956</v>
      </c>
      <c r="T319" s="198"/>
      <c r="U319" s="176">
        <v>16.2</v>
      </c>
      <c r="Y319" s="200">
        <f>(AE319*BU319)/100</f>
        <v>3.6295991045991047</v>
      </c>
      <c r="Z319" s="198"/>
      <c r="AA319" s="200"/>
      <c r="AB319" s="198"/>
      <c r="AC319" s="378">
        <f t="shared" si="4"/>
        <v>21.30925925925926</v>
      </c>
      <c r="AE319" s="176">
        <f>(M319/U319)*((100-CC319)/(100-9))*100</f>
        <v>23.416768416768416</v>
      </c>
      <c r="AF319" s="198">
        <v>41822</v>
      </c>
      <c r="AG319" s="176">
        <v>4.8</v>
      </c>
      <c r="AH319" s="196">
        <v>41927</v>
      </c>
      <c r="AI319" s="176">
        <v>145</v>
      </c>
      <c r="AM319" s="176">
        <v>80</v>
      </c>
      <c r="BG319" s="201">
        <v>8.6999999999999993</v>
      </c>
      <c r="BI319" s="201">
        <v>4.8</v>
      </c>
      <c r="BK319" s="201">
        <v>1.6</v>
      </c>
      <c r="BM319" s="201">
        <v>65</v>
      </c>
      <c r="BO319" s="201">
        <v>21.2</v>
      </c>
      <c r="BQ319" s="201">
        <v>8.4</v>
      </c>
      <c r="BS319" s="201">
        <v>52.7</v>
      </c>
      <c r="BU319" s="201">
        <v>15.5</v>
      </c>
      <c r="BW319" s="201">
        <v>12.2</v>
      </c>
      <c r="BY319" s="178">
        <v>6.5</v>
      </c>
      <c r="CC319" s="201">
        <v>6.7</v>
      </c>
      <c r="CD319" s="198">
        <v>41822</v>
      </c>
      <c r="CI319" s="174" t="s">
        <v>9368</v>
      </c>
      <c r="CL319" s="174">
        <v>3</v>
      </c>
    </row>
    <row r="320" spans="1:91">
      <c r="A320" s="202" t="s">
        <v>7639</v>
      </c>
      <c r="B320" s="203" t="s">
        <v>271</v>
      </c>
      <c r="C320" s="203" t="s">
        <v>8998</v>
      </c>
      <c r="D320" s="203" t="s">
        <v>8251</v>
      </c>
      <c r="E320" s="204">
        <v>240</v>
      </c>
      <c r="F320" s="204">
        <v>7</v>
      </c>
      <c r="G320" s="204"/>
      <c r="H320" s="204"/>
      <c r="I320" s="206"/>
      <c r="J320" s="206"/>
      <c r="K320" s="177">
        <v>8</v>
      </c>
      <c r="L320" s="207"/>
      <c r="M320" s="208">
        <v>1</v>
      </c>
      <c r="N320" s="209">
        <v>41822</v>
      </c>
      <c r="O320" s="183"/>
      <c r="P320" s="210"/>
      <c r="Q320" s="183"/>
      <c r="R320" s="210"/>
      <c r="S320" s="177">
        <f>(AE320*BS320)/100</f>
        <v>3.1304843304843302</v>
      </c>
      <c r="T320" s="209"/>
      <c r="U320" s="177">
        <v>16.2</v>
      </c>
      <c r="V320" s="210"/>
      <c r="W320" s="183"/>
      <c r="X320" s="210"/>
      <c r="Y320" s="213">
        <f>(AE320*BU320)/100</f>
        <v>1.1643874643874643</v>
      </c>
      <c r="Z320" s="209"/>
      <c r="AA320" s="213"/>
      <c r="AB320" s="209"/>
      <c r="AC320" s="378">
        <f t="shared" si="4"/>
        <v>5.7901234567901234</v>
      </c>
      <c r="AD320" s="207"/>
      <c r="AE320" s="177">
        <f>(M320/U320)*((100-CC320)/(100-9))*100</f>
        <v>6.3627730294396958</v>
      </c>
      <c r="AF320" s="209">
        <v>41822</v>
      </c>
      <c r="AG320" s="177">
        <v>4.0999999999999996</v>
      </c>
      <c r="AH320" s="207">
        <v>41927</v>
      </c>
      <c r="AI320" s="177">
        <v>80</v>
      </c>
      <c r="AJ320" s="207"/>
      <c r="AK320" s="183"/>
      <c r="AL320" s="210"/>
      <c r="AM320" s="177">
        <v>76</v>
      </c>
      <c r="AN320" s="210"/>
      <c r="AO320" s="183"/>
      <c r="AP320" s="183"/>
      <c r="AQ320" s="183"/>
      <c r="AR320" s="183"/>
      <c r="AS320" s="183"/>
      <c r="AT320" s="183"/>
      <c r="AU320" s="183"/>
      <c r="AV320" s="183"/>
      <c r="AW320" s="183"/>
      <c r="AX320" s="183"/>
      <c r="AY320" s="183"/>
      <c r="AZ320" s="183"/>
      <c r="BA320" s="183"/>
      <c r="BB320" s="183"/>
      <c r="BC320" s="183"/>
      <c r="BD320" s="183"/>
      <c r="BE320" s="182"/>
      <c r="BF320" s="182"/>
      <c r="BG320" s="211">
        <v>35.700000000000003</v>
      </c>
      <c r="BH320" s="181"/>
      <c r="BI320" s="211">
        <v>4.2</v>
      </c>
      <c r="BJ320" s="181"/>
      <c r="BK320" s="211">
        <v>1.1000000000000001</v>
      </c>
      <c r="BL320" s="181"/>
      <c r="BM320" s="211">
        <v>37.4</v>
      </c>
      <c r="BN320" s="181"/>
      <c r="BO320" s="211">
        <v>17.3</v>
      </c>
      <c r="BP320" s="181"/>
      <c r="BQ320" s="211">
        <v>9</v>
      </c>
      <c r="BR320" s="181"/>
      <c r="BS320" s="211">
        <v>49.2</v>
      </c>
      <c r="BT320" s="181"/>
      <c r="BU320" s="211">
        <v>18.3</v>
      </c>
      <c r="BV320" s="181"/>
      <c r="BW320" s="211">
        <v>47.3</v>
      </c>
      <c r="BX320" s="181"/>
      <c r="BY320" s="181">
        <v>6.0999999999999943</v>
      </c>
      <c r="BZ320" s="181"/>
      <c r="CA320" s="182"/>
      <c r="CB320" s="182"/>
      <c r="CC320" s="211">
        <v>6.2</v>
      </c>
      <c r="CD320" s="209">
        <v>41822</v>
      </c>
      <c r="CE320" s="181"/>
      <c r="CF320" s="181"/>
      <c r="CG320" s="182"/>
      <c r="CH320" s="182"/>
      <c r="CI320" s="175" t="s">
        <v>9349</v>
      </c>
      <c r="CJ320" s="181"/>
      <c r="CK320" s="181"/>
      <c r="CL320" s="175">
        <v>9</v>
      </c>
      <c r="CM320" s="175"/>
    </row>
    <row r="321" spans="1:90">
      <c r="A321" s="191" t="s">
        <v>7780</v>
      </c>
      <c r="B321" s="192" t="s">
        <v>271</v>
      </c>
      <c r="C321" s="192" t="s">
        <v>8998</v>
      </c>
      <c r="D321" s="192" t="s">
        <v>8815</v>
      </c>
      <c r="E321" s="193">
        <v>240</v>
      </c>
      <c r="F321" s="193">
        <v>8</v>
      </c>
      <c r="K321" s="176">
        <v>7</v>
      </c>
      <c r="M321" s="197">
        <v>5.75</v>
      </c>
      <c r="N321" s="198">
        <v>41822</v>
      </c>
      <c r="S321" s="176">
        <f>(AE321*BS321)/100</f>
        <v>18.542833401166739</v>
      </c>
      <c r="T321" s="198"/>
      <c r="U321" s="176">
        <v>16.2</v>
      </c>
      <c r="Y321" s="200">
        <f>(AE321*BU321)/100</f>
        <v>6.0473680640347318</v>
      </c>
      <c r="Z321" s="198"/>
      <c r="AA321" s="200"/>
      <c r="AB321" s="198"/>
      <c r="AC321" s="378">
        <f t="shared" si="4"/>
        <v>33.151234567901241</v>
      </c>
      <c r="AE321" s="176">
        <f>(M321/U321)*((100-CC321)/(100-9))*100</f>
        <v>36.429928096594772</v>
      </c>
      <c r="AF321" s="198">
        <v>41822</v>
      </c>
      <c r="AG321" s="176">
        <v>5.2</v>
      </c>
      <c r="AH321" s="196">
        <v>41927</v>
      </c>
      <c r="AI321" s="176">
        <v>145</v>
      </c>
      <c r="AM321" s="176">
        <v>86</v>
      </c>
      <c r="BG321" s="201">
        <v>0</v>
      </c>
      <c r="BI321" s="201">
        <v>4.7</v>
      </c>
      <c r="BK321" s="201">
        <v>1.5</v>
      </c>
      <c r="BM321" s="201">
        <v>63.5</v>
      </c>
      <c r="BO321" s="201">
        <v>21.6</v>
      </c>
      <c r="BQ321" s="201">
        <v>8.8000000000000007</v>
      </c>
      <c r="BS321" s="201">
        <v>50.9</v>
      </c>
      <c r="BU321" s="201">
        <v>16.600000000000001</v>
      </c>
      <c r="BW321" s="201">
        <v>16.399999999999999</v>
      </c>
      <c r="BY321" s="178">
        <v>5.9000000000000057</v>
      </c>
      <c r="CC321" s="201">
        <v>6.6</v>
      </c>
      <c r="CD321" s="198">
        <v>41822</v>
      </c>
      <c r="CI321" s="174" t="s">
        <v>9358</v>
      </c>
      <c r="CL321" s="174">
        <v>1</v>
      </c>
    </row>
    <row r="322" spans="1:90">
      <c r="A322" s="191" t="s">
        <v>7763</v>
      </c>
      <c r="B322" s="192" t="s">
        <v>271</v>
      </c>
      <c r="C322" s="192" t="s">
        <v>8998</v>
      </c>
      <c r="D322" s="192" t="s">
        <v>8747</v>
      </c>
      <c r="E322" s="193">
        <v>240</v>
      </c>
      <c r="F322" s="193">
        <v>9</v>
      </c>
      <c r="K322" s="176">
        <v>9</v>
      </c>
      <c r="M322" s="197">
        <v>3.8</v>
      </c>
      <c r="N322" s="198">
        <v>41822</v>
      </c>
      <c r="S322" s="176">
        <f>(AE322*BS322)/100</f>
        <v>12.438671822005155</v>
      </c>
      <c r="T322" s="198"/>
      <c r="U322" s="176">
        <v>16.2</v>
      </c>
      <c r="Y322" s="200">
        <f>(AE322*BU322)/100</f>
        <v>4.6614828381495057</v>
      </c>
      <c r="Z322" s="198"/>
      <c r="AA322" s="200"/>
      <c r="AB322" s="198"/>
      <c r="AC322" s="378">
        <f t="shared" si="4"/>
        <v>21.979012345679013</v>
      </c>
      <c r="AE322" s="176">
        <f>(M322/U322)*((100-CC322)/(100-9))*100</f>
        <v>24.152760819427488</v>
      </c>
      <c r="AF322" s="198">
        <v>41822</v>
      </c>
      <c r="AG322" s="176">
        <v>4.2</v>
      </c>
      <c r="AH322" s="196">
        <v>41927</v>
      </c>
      <c r="AI322" s="176">
        <v>180</v>
      </c>
      <c r="AM322" s="176">
        <v>94</v>
      </c>
      <c r="BG322" s="201">
        <v>55</v>
      </c>
      <c r="BI322" s="201">
        <v>4.4000000000000004</v>
      </c>
      <c r="BK322" s="201">
        <v>0.7</v>
      </c>
      <c r="BM322" s="201">
        <v>23.7</v>
      </c>
      <c r="BO322" s="201">
        <v>15.6</v>
      </c>
      <c r="BQ322" s="201">
        <v>9.1999999999999993</v>
      </c>
      <c r="BS322" s="201">
        <v>51.5</v>
      </c>
      <c r="BU322" s="201">
        <v>19.3</v>
      </c>
      <c r="BW322" s="201">
        <v>70</v>
      </c>
      <c r="BY322" s="178">
        <v>5.4000000000000057</v>
      </c>
      <c r="CC322" s="201">
        <v>6.3</v>
      </c>
      <c r="CD322" s="198">
        <v>41822</v>
      </c>
      <c r="CI322" s="174" t="s">
        <v>9358</v>
      </c>
      <c r="CL322" s="174">
        <v>4</v>
      </c>
    </row>
    <row r="323" spans="1:90">
      <c r="A323" s="191" t="s">
        <v>7711</v>
      </c>
      <c r="B323" s="192" t="s">
        <v>271</v>
      </c>
      <c r="C323" s="192" t="s">
        <v>8998</v>
      </c>
      <c r="D323" s="192" t="s">
        <v>8539</v>
      </c>
      <c r="E323" s="193">
        <v>240</v>
      </c>
      <c r="F323" s="193">
        <v>10</v>
      </c>
      <c r="K323" s="176">
        <v>8</v>
      </c>
      <c r="M323" s="197">
        <v>4.25</v>
      </c>
      <c r="N323" s="198">
        <v>41822</v>
      </c>
      <c r="S323" s="176">
        <f>(AE323*BS323)/100</f>
        <v>13.099150386650386</v>
      </c>
      <c r="T323" s="198"/>
      <c r="U323" s="176">
        <v>16.2</v>
      </c>
      <c r="Y323" s="200">
        <f>(AE323*BU323)/100</f>
        <v>5.1643467643467638</v>
      </c>
      <c r="Z323" s="198"/>
      <c r="AA323" s="200"/>
      <c r="AB323" s="198"/>
      <c r="AC323" s="378">
        <f t="shared" ref="AC323:AC386" si="5">(M323/16.2)*(100-CC323)</f>
        <v>24.476851851851851</v>
      </c>
      <c r="AE323" s="176">
        <f>(M323/U323)*((100-CC323)/(100-9))*100</f>
        <v>26.897639397639395</v>
      </c>
      <c r="AF323" s="198">
        <v>41822</v>
      </c>
      <c r="AG323" s="176">
        <v>4.5</v>
      </c>
      <c r="AH323" s="196">
        <v>41927</v>
      </c>
      <c r="AI323" s="176">
        <v>135</v>
      </c>
      <c r="AM323" s="176">
        <v>84</v>
      </c>
      <c r="BG323" s="201">
        <v>5</v>
      </c>
      <c r="BI323" s="201">
        <v>4.5</v>
      </c>
      <c r="BK323" s="201">
        <v>1.6</v>
      </c>
      <c r="BM323" s="201">
        <v>64.900000000000006</v>
      </c>
      <c r="BO323" s="201">
        <v>22</v>
      </c>
      <c r="BQ323" s="201">
        <v>8.1</v>
      </c>
      <c r="BS323" s="201">
        <v>48.7</v>
      </c>
      <c r="BU323" s="201">
        <v>19.2</v>
      </c>
      <c r="BW323" s="201">
        <v>16.600000000000001</v>
      </c>
      <c r="BY323" s="178">
        <v>6.2999999999999972</v>
      </c>
      <c r="CC323" s="201">
        <v>6.7</v>
      </c>
      <c r="CD323" s="198">
        <v>41822</v>
      </c>
      <c r="CI323" s="174" t="s">
        <v>9355</v>
      </c>
      <c r="CL323" s="174">
        <v>4</v>
      </c>
    </row>
    <row r="324" spans="1:90">
      <c r="A324" s="191" t="s">
        <v>7618</v>
      </c>
      <c r="B324" s="192" t="s">
        <v>271</v>
      </c>
      <c r="C324" s="192" t="s">
        <v>8998</v>
      </c>
      <c r="D324" s="192" t="s">
        <v>8167</v>
      </c>
      <c r="E324" s="193">
        <v>240</v>
      </c>
      <c r="F324" s="193">
        <v>11</v>
      </c>
      <c r="I324" s="184"/>
      <c r="K324" s="176">
        <v>8</v>
      </c>
      <c r="M324" s="197">
        <v>0.85</v>
      </c>
      <c r="N324" s="198">
        <v>41822</v>
      </c>
      <c r="O324" s="179"/>
      <c r="S324" s="176">
        <f>(AE324*BS324)/100</f>
        <v>2.4880518247184913</v>
      </c>
      <c r="T324" s="198"/>
      <c r="U324" s="176">
        <v>16.2</v>
      </c>
      <c r="Y324" s="200">
        <f>(AE324*BU324)/100</f>
        <v>1.0891900691900691</v>
      </c>
      <c r="Z324" s="198"/>
      <c r="AA324" s="200"/>
      <c r="AB324" s="198"/>
      <c r="AC324" s="378">
        <f t="shared" si="5"/>
        <v>4.8586419753086423</v>
      </c>
      <c r="AE324" s="176">
        <f>(M324/U324)*((100-CC324)/(100-9))*100</f>
        <v>5.3391670058336729</v>
      </c>
      <c r="AF324" s="198">
        <v>41822</v>
      </c>
      <c r="AG324" s="176">
        <v>4</v>
      </c>
      <c r="AH324" s="196">
        <v>41927</v>
      </c>
      <c r="AI324" s="176">
        <v>70</v>
      </c>
      <c r="AM324" s="176">
        <v>80</v>
      </c>
      <c r="BG324" s="201">
        <v>25.1</v>
      </c>
      <c r="BI324" s="201">
        <v>4.0999999999999996</v>
      </c>
      <c r="BK324" s="201">
        <v>1.4</v>
      </c>
      <c r="BM324" s="201">
        <v>49.3</v>
      </c>
      <c r="BO324" s="201">
        <v>17.600000000000001</v>
      </c>
      <c r="BQ324" s="201">
        <v>8.4</v>
      </c>
      <c r="BS324" s="201">
        <v>46.6</v>
      </c>
      <c r="BU324" s="201">
        <v>20.399999999999999</v>
      </c>
      <c r="BW324" s="201">
        <v>37.6</v>
      </c>
      <c r="BY324" s="178">
        <v>7</v>
      </c>
      <c r="CC324" s="201">
        <v>7.4</v>
      </c>
      <c r="CD324" s="198">
        <v>41822</v>
      </c>
      <c r="CI324" s="174" t="s">
        <v>9349</v>
      </c>
      <c r="CL324" s="174">
        <v>9</v>
      </c>
    </row>
    <row r="325" spans="1:90">
      <c r="A325" s="191" t="s">
        <v>7704</v>
      </c>
      <c r="B325" s="192" t="s">
        <v>271</v>
      </c>
      <c r="C325" s="192" t="s">
        <v>8998</v>
      </c>
      <c r="D325" s="192" t="s">
        <v>8511</v>
      </c>
      <c r="E325" s="193">
        <v>240</v>
      </c>
      <c r="F325" s="193">
        <v>12</v>
      </c>
      <c r="K325" s="176">
        <v>8</v>
      </c>
      <c r="M325" s="197">
        <v>3.95</v>
      </c>
      <c r="N325" s="198">
        <v>41822</v>
      </c>
      <c r="S325" s="176">
        <f>(AE325*BS325)/100</f>
        <v>11.960070546737214</v>
      </c>
      <c r="T325" s="198"/>
      <c r="U325" s="176">
        <v>16.2</v>
      </c>
      <c r="Y325" s="200">
        <f>(AE325*BU325)/100</f>
        <v>4.6994871794871793</v>
      </c>
      <c r="Z325" s="198"/>
      <c r="AA325" s="200"/>
      <c r="AB325" s="198"/>
      <c r="AC325" s="378">
        <f t="shared" si="5"/>
        <v>22.627160493827162</v>
      </c>
      <c r="AE325" s="176">
        <f>(M325/U325)*((100-CC325)/(100-9))*100</f>
        <v>24.865011531678199</v>
      </c>
      <c r="AF325" s="198">
        <v>41822</v>
      </c>
      <c r="AG325" s="176">
        <v>4.2</v>
      </c>
      <c r="AH325" s="196">
        <v>41927</v>
      </c>
      <c r="AI325" s="176">
        <v>145</v>
      </c>
      <c r="AM325" s="176">
        <v>92</v>
      </c>
      <c r="BG325" s="201">
        <v>0.3</v>
      </c>
      <c r="BI325" s="201">
        <v>4.5999999999999996</v>
      </c>
      <c r="BK325" s="201">
        <v>1.5</v>
      </c>
      <c r="BM325" s="201">
        <v>65.8</v>
      </c>
      <c r="BO325" s="201">
        <v>22</v>
      </c>
      <c r="BQ325" s="201">
        <v>8</v>
      </c>
      <c r="BS325" s="201">
        <v>48.1</v>
      </c>
      <c r="BU325" s="201">
        <v>18.899999999999999</v>
      </c>
      <c r="BW325" s="201">
        <v>18.399999999999999</v>
      </c>
      <c r="BY325" s="178">
        <v>6.7000000000000028</v>
      </c>
      <c r="CC325" s="201">
        <v>7.2</v>
      </c>
      <c r="CD325" s="198">
        <v>41822</v>
      </c>
      <c r="CI325" s="174" t="s">
        <v>9403</v>
      </c>
      <c r="CL325" s="174">
        <v>1</v>
      </c>
    </row>
    <row r="326" spans="1:90">
      <c r="A326" s="191" t="s">
        <v>7749</v>
      </c>
      <c r="B326" s="192" t="s">
        <v>269</v>
      </c>
      <c r="C326" s="192" t="s">
        <v>417</v>
      </c>
      <c r="D326" s="192" t="s">
        <v>8689</v>
      </c>
      <c r="E326" s="193">
        <v>241</v>
      </c>
      <c r="F326" s="193">
        <v>1</v>
      </c>
      <c r="K326" s="176">
        <v>9</v>
      </c>
      <c r="M326" s="197">
        <v>2.9</v>
      </c>
      <c r="N326" s="198">
        <v>41822</v>
      </c>
      <c r="S326" s="176">
        <f>(AE326*BS326)/100</f>
        <v>8.7260453127119781</v>
      </c>
      <c r="T326" s="198"/>
      <c r="U326" s="176">
        <v>16.2</v>
      </c>
      <c r="Y326" s="200">
        <f>(AE326*BU326)/100</f>
        <v>3.7058309591642922</v>
      </c>
      <c r="Z326" s="198"/>
      <c r="AA326" s="200"/>
      <c r="AB326" s="198"/>
      <c r="AC326" s="378">
        <f t="shared" si="5"/>
        <v>16.612345679012343</v>
      </c>
      <c r="AE326" s="176">
        <f>(M326/U326)*((100-CC326)/(100-9))*100</f>
        <v>18.255324921991587</v>
      </c>
      <c r="AF326" s="198">
        <v>41822</v>
      </c>
      <c r="AG326" s="176">
        <v>4.7</v>
      </c>
      <c r="AH326" s="196">
        <v>41927</v>
      </c>
      <c r="AI326" s="176">
        <v>150</v>
      </c>
      <c r="AM326" s="176">
        <v>77</v>
      </c>
      <c r="BG326" s="201">
        <v>47.1</v>
      </c>
      <c r="BI326" s="201">
        <v>4.4000000000000004</v>
      </c>
      <c r="BK326" s="201">
        <v>0.9</v>
      </c>
      <c r="BM326" s="201">
        <v>29.4</v>
      </c>
      <c r="BO326" s="201">
        <v>15.1</v>
      </c>
      <c r="BQ326" s="201">
        <v>9.5</v>
      </c>
      <c r="BS326" s="201">
        <v>47.8</v>
      </c>
      <c r="BU326" s="201">
        <v>20.3</v>
      </c>
      <c r="BW326" s="201">
        <v>79.599999999999994</v>
      </c>
      <c r="BY326" s="178">
        <v>6.5</v>
      </c>
      <c r="CC326" s="201">
        <v>7.2</v>
      </c>
      <c r="CD326" s="198">
        <v>41822</v>
      </c>
      <c r="CI326" s="174" t="s">
        <v>9335</v>
      </c>
      <c r="CL326" s="174">
        <v>5</v>
      </c>
    </row>
    <row r="327" spans="1:90">
      <c r="A327" s="191" t="s">
        <v>7696</v>
      </c>
      <c r="B327" s="192" t="s">
        <v>269</v>
      </c>
      <c r="C327" s="192" t="s">
        <v>417</v>
      </c>
      <c r="D327" s="192" t="s">
        <v>8477</v>
      </c>
      <c r="E327" s="193">
        <v>241</v>
      </c>
      <c r="F327" s="193">
        <v>2</v>
      </c>
      <c r="K327" s="176">
        <v>8</v>
      </c>
      <c r="M327" s="197">
        <v>3.4</v>
      </c>
      <c r="N327" s="198">
        <v>41822</v>
      </c>
      <c r="S327" s="176">
        <f>(AE327*BS327)/100</f>
        <v>11.060309320309321</v>
      </c>
      <c r="T327" s="198"/>
      <c r="U327" s="176">
        <v>16.2</v>
      </c>
      <c r="Y327" s="200">
        <f>(AE327*BU327)/100</f>
        <v>3.6795970695970697</v>
      </c>
      <c r="Z327" s="198"/>
      <c r="AA327" s="200"/>
      <c r="AB327" s="198"/>
      <c r="AC327" s="378">
        <f t="shared" si="5"/>
        <v>19.581481481481482</v>
      </c>
      <c r="AE327" s="176">
        <f>(M327/U327)*((100-CC327)/(100-9))*100</f>
        <v>21.518111518111517</v>
      </c>
      <c r="AF327" s="198">
        <v>41822</v>
      </c>
      <c r="AG327" s="176">
        <v>5.0999999999999996</v>
      </c>
      <c r="AH327" s="196">
        <v>41927</v>
      </c>
      <c r="AI327" s="176">
        <v>130</v>
      </c>
      <c r="AM327" s="176">
        <v>78</v>
      </c>
      <c r="BG327" s="201">
        <v>0</v>
      </c>
      <c r="BI327" s="201">
        <v>4.3</v>
      </c>
      <c r="BK327" s="201">
        <v>1.6</v>
      </c>
      <c r="BM327" s="201">
        <v>62</v>
      </c>
      <c r="BO327" s="201">
        <v>19.600000000000001</v>
      </c>
      <c r="BQ327" s="201">
        <v>8.6999999999999993</v>
      </c>
      <c r="BS327" s="201">
        <v>51.4</v>
      </c>
      <c r="BU327" s="201">
        <v>17.100000000000001</v>
      </c>
      <c r="BW327" s="201">
        <v>12.8</v>
      </c>
      <c r="BY327" s="178">
        <v>6.5999999999999943</v>
      </c>
      <c r="CC327" s="201">
        <v>6.7</v>
      </c>
      <c r="CD327" s="198">
        <v>41822</v>
      </c>
      <c r="CI327" s="174" t="s">
        <v>9347</v>
      </c>
      <c r="CL327" s="174">
        <v>3</v>
      </c>
    </row>
    <row r="328" spans="1:90">
      <c r="A328" s="191" t="s">
        <v>7780</v>
      </c>
      <c r="B328" s="192" t="s">
        <v>269</v>
      </c>
      <c r="C328" s="192" t="s">
        <v>417</v>
      </c>
      <c r="D328" s="192" t="s">
        <v>8813</v>
      </c>
      <c r="E328" s="193">
        <v>241</v>
      </c>
      <c r="F328" s="193">
        <v>3</v>
      </c>
      <c r="K328" s="176">
        <v>8</v>
      </c>
      <c r="M328" s="197">
        <v>4.45</v>
      </c>
      <c r="N328" s="198">
        <v>41822</v>
      </c>
      <c r="S328" s="176">
        <f>(AE328*BS328)/100</f>
        <v>14.926607651607648</v>
      </c>
      <c r="T328" s="198"/>
      <c r="U328" s="176">
        <v>16.2</v>
      </c>
      <c r="Y328" s="200">
        <f>(AE328*BU328)/100</f>
        <v>4.1118579568579561</v>
      </c>
      <c r="Z328" s="198"/>
      <c r="AA328" s="200"/>
      <c r="AB328" s="198"/>
      <c r="AC328" s="378">
        <f t="shared" si="5"/>
        <v>25.628703703703703</v>
      </c>
      <c r="AE328" s="176">
        <f>(M328/U328)*((100-CC328)/(100-9))*100</f>
        <v>28.163410663410659</v>
      </c>
      <c r="AF328" s="198">
        <v>41822</v>
      </c>
      <c r="AG328" s="176">
        <v>5.2</v>
      </c>
      <c r="AH328" s="196">
        <v>41927</v>
      </c>
      <c r="AI328" s="176">
        <v>145</v>
      </c>
      <c r="AM328" s="176">
        <v>85</v>
      </c>
      <c r="BG328" s="201">
        <v>0</v>
      </c>
      <c r="BI328" s="201">
        <v>4.8</v>
      </c>
      <c r="BK328" s="201">
        <v>1.6</v>
      </c>
      <c r="BM328" s="201">
        <v>63.3</v>
      </c>
      <c r="BO328" s="201">
        <v>21.2</v>
      </c>
      <c r="BQ328" s="201">
        <v>8.6999999999999993</v>
      </c>
      <c r="BS328" s="201">
        <v>53</v>
      </c>
      <c r="BU328" s="201">
        <v>14.6</v>
      </c>
      <c r="BW328" s="201">
        <v>11.1</v>
      </c>
      <c r="BY328" s="178">
        <v>6.4000000000000057</v>
      </c>
      <c r="CC328" s="201">
        <v>6.7</v>
      </c>
      <c r="CD328" s="198">
        <v>41822</v>
      </c>
      <c r="CI328" s="174" t="s">
        <v>9364</v>
      </c>
      <c r="CL328" s="174">
        <v>3</v>
      </c>
    </row>
    <row r="329" spans="1:90">
      <c r="A329" s="191" t="s">
        <v>7709</v>
      </c>
      <c r="B329" s="192" t="s">
        <v>269</v>
      </c>
      <c r="C329" s="192" t="s">
        <v>417</v>
      </c>
      <c r="D329" s="192" t="s">
        <v>8529</v>
      </c>
      <c r="E329" s="193">
        <v>241</v>
      </c>
      <c r="F329" s="193">
        <v>4</v>
      </c>
      <c r="K329" s="176">
        <v>8</v>
      </c>
      <c r="M329" s="197">
        <v>4</v>
      </c>
      <c r="N329" s="198">
        <v>41822</v>
      </c>
      <c r="S329" s="176">
        <f>(AE329*BS329)/100</f>
        <v>12.795875729209063</v>
      </c>
      <c r="T329" s="198"/>
      <c r="U329" s="176">
        <v>16.2</v>
      </c>
      <c r="Y329" s="200">
        <f>(AE329*BU329)/100</f>
        <v>4.5013159679826353</v>
      </c>
      <c r="Z329" s="198"/>
      <c r="AA329" s="200"/>
      <c r="AB329" s="198"/>
      <c r="AC329" s="378">
        <f t="shared" si="5"/>
        <v>23.012345679012348</v>
      </c>
      <c r="AE329" s="176">
        <f>(M329/U329)*((100-CC329)/(100-9))*100</f>
        <v>25.288291954958623</v>
      </c>
      <c r="AF329" s="198">
        <v>41822</v>
      </c>
      <c r="AG329" s="176">
        <v>5.0999999999999996</v>
      </c>
      <c r="AH329" s="196">
        <v>41927</v>
      </c>
      <c r="AI329" s="176">
        <v>125</v>
      </c>
      <c r="AM329" s="176">
        <v>79</v>
      </c>
      <c r="BG329" s="201">
        <v>3.1</v>
      </c>
      <c r="BI329" s="201">
        <v>4.4000000000000004</v>
      </c>
      <c r="BK329" s="201">
        <v>1.4</v>
      </c>
      <c r="BM329" s="201">
        <v>62.9</v>
      </c>
      <c r="BO329" s="201">
        <v>20.7</v>
      </c>
      <c r="BQ329" s="201">
        <v>9.3000000000000007</v>
      </c>
      <c r="BS329" s="201">
        <v>50.6</v>
      </c>
      <c r="BU329" s="201">
        <v>17.8</v>
      </c>
      <c r="BW329" s="201">
        <v>13</v>
      </c>
      <c r="BY329" s="178">
        <v>6.4000000000000057</v>
      </c>
      <c r="CC329" s="201">
        <v>6.8</v>
      </c>
      <c r="CD329" s="198">
        <v>41822</v>
      </c>
      <c r="CI329" s="174" t="s">
        <v>9355</v>
      </c>
      <c r="CL329" s="174">
        <v>3</v>
      </c>
    </row>
    <row r="330" spans="1:90">
      <c r="A330" s="191" t="s">
        <v>7735</v>
      </c>
      <c r="B330" s="192" t="s">
        <v>269</v>
      </c>
      <c r="C330" s="192" t="s">
        <v>417</v>
      </c>
      <c r="D330" s="192" t="s">
        <v>8633</v>
      </c>
      <c r="E330" s="193">
        <v>241</v>
      </c>
      <c r="F330" s="193">
        <v>5</v>
      </c>
      <c r="K330" s="176">
        <v>8</v>
      </c>
      <c r="M330" s="197">
        <v>3.65</v>
      </c>
      <c r="N330" s="198">
        <v>41822</v>
      </c>
      <c r="S330" s="176">
        <f>(AE330*BS330)/100</f>
        <v>12.104570614570614</v>
      </c>
      <c r="T330" s="198"/>
      <c r="U330" s="176">
        <v>16.2</v>
      </c>
      <c r="Y330" s="200">
        <f>(AE330*BU330)/100</f>
        <v>3.8346540496540502</v>
      </c>
      <c r="Z330" s="198"/>
      <c r="AA330" s="200"/>
      <c r="AB330" s="198"/>
      <c r="AC330" s="378">
        <f t="shared" si="5"/>
        <v>21.021296296296295</v>
      </c>
      <c r="AE330" s="176">
        <f>(M330/U330)*((100-CC330)/(100-9))*100</f>
        <v>23.100325600325601</v>
      </c>
      <c r="AF330" s="198">
        <v>41822</v>
      </c>
      <c r="AG330" s="176">
        <v>5.7</v>
      </c>
      <c r="AH330" s="196">
        <v>41927</v>
      </c>
      <c r="AI330" s="176">
        <v>155</v>
      </c>
      <c r="AM330" s="176">
        <v>84</v>
      </c>
      <c r="BG330" s="201">
        <v>1</v>
      </c>
      <c r="BI330" s="201">
        <v>4.8</v>
      </c>
      <c r="BK330" s="201">
        <v>1.5</v>
      </c>
      <c r="BM330" s="201">
        <v>61.6</v>
      </c>
      <c r="BO330" s="201">
        <v>20.100000000000001</v>
      </c>
      <c r="BQ330" s="201">
        <v>9.3000000000000007</v>
      </c>
      <c r="BS330" s="201">
        <v>52.4</v>
      </c>
      <c r="BU330" s="201">
        <v>16.600000000000001</v>
      </c>
      <c r="BW330" s="201">
        <v>16.100000000000001</v>
      </c>
      <c r="BY330" s="178">
        <v>6.5999999999999943</v>
      </c>
      <c r="CC330" s="201">
        <v>6.7</v>
      </c>
      <c r="CD330" s="198">
        <v>41822</v>
      </c>
      <c r="CI330" s="174" t="s">
        <v>9347</v>
      </c>
      <c r="CL330" s="174">
        <v>1</v>
      </c>
    </row>
    <row r="331" spans="1:90">
      <c r="A331" s="191" t="s">
        <v>7642</v>
      </c>
      <c r="B331" s="192" t="s">
        <v>269</v>
      </c>
      <c r="C331" s="192" t="s">
        <v>417</v>
      </c>
      <c r="D331" s="192" t="s">
        <v>8261</v>
      </c>
      <c r="E331" s="193">
        <v>241</v>
      </c>
      <c r="F331" s="193">
        <v>6</v>
      </c>
      <c r="K331" s="176">
        <v>8</v>
      </c>
      <c r="M331" s="197">
        <v>1.9</v>
      </c>
      <c r="N331" s="198">
        <v>41822</v>
      </c>
      <c r="S331" s="176">
        <f>(AE331*BS331)/100</f>
        <v>5.7893162393162383</v>
      </c>
      <c r="T331" s="198"/>
      <c r="U331" s="176">
        <v>16.2</v>
      </c>
      <c r="Y331" s="200">
        <f>(AE331*BU331)/100</f>
        <v>2.4212047212047212</v>
      </c>
      <c r="Z331" s="198"/>
      <c r="AA331" s="200"/>
      <c r="AB331" s="198"/>
      <c r="AC331" s="378">
        <f t="shared" si="5"/>
        <v>10.907407407407407</v>
      </c>
      <c r="AE331" s="176">
        <f>(M331/U331)*((100-CC331)/(100-9))*100</f>
        <v>11.986161986161985</v>
      </c>
      <c r="AF331" s="198">
        <v>41822</v>
      </c>
      <c r="AG331" s="176">
        <v>4.5999999999999996</v>
      </c>
      <c r="AH331" s="196">
        <v>41927</v>
      </c>
      <c r="AI331" s="176">
        <v>110</v>
      </c>
      <c r="AM331" s="176">
        <v>83</v>
      </c>
      <c r="BG331" s="201">
        <v>4.0999999999999996</v>
      </c>
      <c r="BI331" s="201">
        <v>4.3</v>
      </c>
      <c r="BK331" s="201">
        <v>1.5</v>
      </c>
      <c r="BM331" s="201">
        <v>62.7</v>
      </c>
      <c r="BO331" s="201">
        <v>18.3</v>
      </c>
      <c r="BQ331" s="201">
        <v>10</v>
      </c>
      <c r="BS331" s="201">
        <v>48.3</v>
      </c>
      <c r="BU331" s="201">
        <v>20.2</v>
      </c>
      <c r="BW331" s="201">
        <v>73.5</v>
      </c>
      <c r="BY331" s="178">
        <v>6.9000000000000057</v>
      </c>
      <c r="CC331" s="201">
        <v>7</v>
      </c>
      <c r="CD331" s="198">
        <v>41822</v>
      </c>
      <c r="CI331" s="174" t="s">
        <v>9351</v>
      </c>
      <c r="CL331" s="174">
        <v>4</v>
      </c>
    </row>
    <row r="332" spans="1:90">
      <c r="A332" s="191" t="s">
        <v>7674</v>
      </c>
      <c r="B332" s="192" t="s">
        <v>271</v>
      </c>
      <c r="C332" s="192" t="s">
        <v>8998</v>
      </c>
      <c r="D332" s="192" t="s">
        <v>8391</v>
      </c>
      <c r="E332" s="193">
        <v>241</v>
      </c>
      <c r="F332" s="193">
        <v>7</v>
      </c>
      <c r="K332" s="176">
        <v>8</v>
      </c>
      <c r="M332" s="197">
        <v>5.75</v>
      </c>
      <c r="N332" s="198">
        <v>41822</v>
      </c>
      <c r="S332" s="176">
        <f>(AE332*BS332)/100</f>
        <v>18.70856227106227</v>
      </c>
      <c r="T332" s="198"/>
      <c r="U332" s="176">
        <v>16.2</v>
      </c>
      <c r="Y332" s="200">
        <f>(AE332*BU332)/100</f>
        <v>5.9444359652692995</v>
      </c>
      <c r="Z332" s="198"/>
      <c r="AA332" s="200"/>
      <c r="AB332" s="198"/>
      <c r="AC332" s="378">
        <f t="shared" si="5"/>
        <v>33.186728395061728</v>
      </c>
      <c r="AE332" s="176">
        <f>(M332/U332)*((100-CC332)/(100-9))*100</f>
        <v>36.468932302265635</v>
      </c>
      <c r="AF332" s="198">
        <v>41822</v>
      </c>
      <c r="AG332" s="176">
        <v>5</v>
      </c>
      <c r="AH332" s="196">
        <v>41927</v>
      </c>
      <c r="AI332" s="176">
        <v>155</v>
      </c>
      <c r="AM332" s="176">
        <v>86</v>
      </c>
      <c r="BG332" s="201">
        <v>2.2999999999999998</v>
      </c>
      <c r="BI332" s="201">
        <v>4.5999999999999996</v>
      </c>
      <c r="BK332" s="201">
        <v>1.6</v>
      </c>
      <c r="BM332" s="201">
        <v>66.5</v>
      </c>
      <c r="BO332" s="201">
        <v>21.9</v>
      </c>
      <c r="BQ332" s="201">
        <v>7</v>
      </c>
      <c r="BS332" s="201">
        <v>51.3</v>
      </c>
      <c r="BU332" s="201">
        <v>16.3</v>
      </c>
      <c r="BW332" s="201">
        <v>16.3</v>
      </c>
      <c r="BY332" s="178">
        <v>6</v>
      </c>
      <c r="CC332" s="201">
        <v>6.5</v>
      </c>
      <c r="CD332" s="198">
        <v>41822</v>
      </c>
      <c r="CI332" s="174" t="s">
        <v>9347</v>
      </c>
      <c r="CL332" s="174">
        <v>1</v>
      </c>
    </row>
    <row r="333" spans="1:90">
      <c r="A333" s="191" t="s">
        <v>7662</v>
      </c>
      <c r="B333" s="192" t="s">
        <v>271</v>
      </c>
      <c r="C333" s="192" t="s">
        <v>8998</v>
      </c>
      <c r="D333" s="192" t="s">
        <v>8343</v>
      </c>
      <c r="E333" s="193">
        <v>241</v>
      </c>
      <c r="F333" s="193">
        <v>8</v>
      </c>
      <c r="K333" s="176">
        <v>7</v>
      </c>
      <c r="M333" s="197">
        <v>6</v>
      </c>
      <c r="N333" s="198">
        <v>41822</v>
      </c>
      <c r="S333" s="176">
        <f>(AE333*BS333)/100</f>
        <v>20.072812372812372</v>
      </c>
      <c r="T333" s="198"/>
      <c r="U333" s="176">
        <v>16.2</v>
      </c>
      <c r="Y333" s="200">
        <f>(AE333*BU333)/100</f>
        <v>5.9489214489214488</v>
      </c>
      <c r="Z333" s="198"/>
      <c r="AA333" s="200"/>
      <c r="AB333" s="198"/>
      <c r="AC333" s="378">
        <f t="shared" si="5"/>
        <v>34.925925925925931</v>
      </c>
      <c r="AE333" s="176">
        <f>(M333/U333)*((100-CC333)/(100-9))*100</f>
        <v>38.380138380138376</v>
      </c>
      <c r="AF333" s="198">
        <v>41822</v>
      </c>
      <c r="AG333" s="176">
        <v>5</v>
      </c>
      <c r="AH333" s="196">
        <v>41927</v>
      </c>
      <c r="AI333" s="176">
        <v>145</v>
      </c>
      <c r="AM333" s="176">
        <v>87</v>
      </c>
      <c r="BG333" s="201">
        <v>0</v>
      </c>
      <c r="BI333" s="201">
        <v>5</v>
      </c>
      <c r="BK333" s="201">
        <v>1.8</v>
      </c>
      <c r="BM333" s="201">
        <v>67</v>
      </c>
      <c r="BO333" s="201">
        <v>22</v>
      </c>
      <c r="BQ333" s="201">
        <v>5.7</v>
      </c>
      <c r="BS333" s="201">
        <v>52.3</v>
      </c>
      <c r="BU333" s="201">
        <v>15.5</v>
      </c>
      <c r="BW333" s="201">
        <v>18.7</v>
      </c>
      <c r="BY333" s="178">
        <v>5.7000000000000028</v>
      </c>
      <c r="CC333" s="201">
        <v>5.7</v>
      </c>
      <c r="CD333" s="198">
        <v>41822</v>
      </c>
      <c r="CI333" s="174" t="s">
        <v>9358</v>
      </c>
      <c r="CL333" s="174">
        <v>1</v>
      </c>
    </row>
    <row r="334" spans="1:90">
      <c r="A334" s="191" t="s">
        <v>7897</v>
      </c>
      <c r="B334" s="192" t="s">
        <v>271</v>
      </c>
      <c r="C334" s="192" t="s">
        <v>8998</v>
      </c>
      <c r="D334" s="192" t="s">
        <v>8971</v>
      </c>
      <c r="E334" s="193">
        <v>241</v>
      </c>
      <c r="F334" s="193">
        <v>9</v>
      </c>
      <c r="K334" s="176">
        <v>8</v>
      </c>
      <c r="M334" s="197">
        <v>4.8499999999999996</v>
      </c>
      <c r="N334" s="198">
        <v>41822</v>
      </c>
      <c r="S334" s="176">
        <f>(AE334*BS334)/100</f>
        <v>15.152614638447972</v>
      </c>
      <c r="T334" s="198"/>
      <c r="U334" s="176">
        <v>16.2</v>
      </c>
      <c r="Y334" s="200">
        <f>(AE334*BU334)/100</f>
        <v>5.465873015873016</v>
      </c>
      <c r="Z334" s="198"/>
      <c r="AA334" s="200"/>
      <c r="AB334" s="198"/>
      <c r="AC334" s="378">
        <f t="shared" si="5"/>
        <v>27.633024691358024</v>
      </c>
      <c r="AE334" s="176">
        <f>(M334/U334)*((100-CC334)/(100-9))*100</f>
        <v>30.365961199294532</v>
      </c>
      <c r="AF334" s="198">
        <v>41822</v>
      </c>
      <c r="AG334" s="176">
        <v>4.4000000000000004</v>
      </c>
      <c r="AH334" s="196">
        <v>41927</v>
      </c>
      <c r="AI334" s="176">
        <v>140</v>
      </c>
      <c r="AM334" s="176">
        <v>78</v>
      </c>
      <c r="BG334" s="201">
        <v>1.9</v>
      </c>
      <c r="BI334" s="201">
        <v>4.5</v>
      </c>
      <c r="BK334" s="201">
        <v>1.5</v>
      </c>
      <c r="BM334" s="201">
        <v>64.599999999999994</v>
      </c>
      <c r="BO334" s="201">
        <v>20.5</v>
      </c>
      <c r="BQ334" s="201">
        <v>8.8000000000000007</v>
      </c>
      <c r="BS334" s="201">
        <v>49.9</v>
      </c>
      <c r="BU334" s="201">
        <v>18</v>
      </c>
      <c r="BW334" s="201">
        <v>15.1</v>
      </c>
      <c r="BY334" s="178">
        <v>6.5999999999999943</v>
      </c>
      <c r="CC334" s="201">
        <v>7.7</v>
      </c>
      <c r="CD334" s="198">
        <v>41822</v>
      </c>
      <c r="CI334" s="174" t="s">
        <v>9347</v>
      </c>
      <c r="CL334" s="174">
        <v>1</v>
      </c>
    </row>
    <row r="335" spans="1:90">
      <c r="A335" s="191" t="s">
        <v>7663</v>
      </c>
      <c r="B335" s="192" t="s">
        <v>271</v>
      </c>
      <c r="C335" s="192" t="s">
        <v>8998</v>
      </c>
      <c r="D335" s="192" t="s">
        <v>8347</v>
      </c>
      <c r="E335" s="193">
        <v>241</v>
      </c>
      <c r="F335" s="193">
        <v>10</v>
      </c>
      <c r="K335" s="176">
        <v>9</v>
      </c>
      <c r="M335" s="197">
        <v>5.55</v>
      </c>
      <c r="N335" s="198">
        <v>41822</v>
      </c>
      <c r="S335" s="176">
        <f>(AE335*BS335)/100</f>
        <v>17.192877492877496</v>
      </c>
      <c r="T335" s="198"/>
      <c r="U335" s="176">
        <v>16.2</v>
      </c>
      <c r="Y335" s="200">
        <f>(AE335*BU335)/100</f>
        <v>6.0350508750508753</v>
      </c>
      <c r="Z335" s="198"/>
      <c r="AA335" s="200"/>
      <c r="AB335" s="198"/>
      <c r="AC335" s="378">
        <f t="shared" si="5"/>
        <v>31.929629629629634</v>
      </c>
      <c r="AE335" s="176">
        <f>(M335/U335)*((100-CC335)/(100-9))*100</f>
        <v>35.087505087505093</v>
      </c>
      <c r="AF335" s="198">
        <v>41822</v>
      </c>
      <c r="AG335" s="176">
        <v>4</v>
      </c>
      <c r="AH335" s="196">
        <v>41927</v>
      </c>
      <c r="AI335" s="176">
        <v>155</v>
      </c>
      <c r="AM335" s="176">
        <v>86</v>
      </c>
      <c r="BG335" s="201">
        <v>19.2</v>
      </c>
      <c r="BI335" s="201">
        <v>4.5999999999999996</v>
      </c>
      <c r="BK335" s="201">
        <v>1.4</v>
      </c>
      <c r="BM335" s="201">
        <v>51.2</v>
      </c>
      <c r="BO335" s="201">
        <v>20.100000000000001</v>
      </c>
      <c r="BQ335" s="201">
        <v>8.6</v>
      </c>
      <c r="BS335" s="201">
        <v>49</v>
      </c>
      <c r="BU335" s="201">
        <v>17.2</v>
      </c>
      <c r="BW335" s="201">
        <v>28.2</v>
      </c>
      <c r="BY335" s="178">
        <v>6.2999999999999972</v>
      </c>
      <c r="CC335" s="201">
        <v>6.8</v>
      </c>
      <c r="CD335" s="198">
        <v>41822</v>
      </c>
      <c r="CI335" s="174" t="s">
        <v>9355</v>
      </c>
      <c r="CL335" s="174">
        <v>4</v>
      </c>
    </row>
    <row r="336" spans="1:90">
      <c r="A336" s="191" t="s">
        <v>7787</v>
      </c>
      <c r="B336" s="192" t="s">
        <v>271</v>
      </c>
      <c r="C336" s="192" t="s">
        <v>8998</v>
      </c>
      <c r="D336" s="192" t="s">
        <v>8843</v>
      </c>
      <c r="E336" s="193">
        <v>241</v>
      </c>
      <c r="F336" s="193">
        <v>11</v>
      </c>
      <c r="K336" s="176">
        <v>9</v>
      </c>
      <c r="M336" s="197">
        <v>7.9</v>
      </c>
      <c r="N336" s="198">
        <v>41822</v>
      </c>
      <c r="S336" s="176">
        <f>(AE336*BS336)/100</f>
        <v>24.641655134988472</v>
      </c>
      <c r="T336" s="198"/>
      <c r="U336" s="176">
        <v>16.2</v>
      </c>
      <c r="Y336" s="200">
        <f>(AE336*BU336)/100</f>
        <v>8.835653235653238</v>
      </c>
      <c r="Z336" s="198"/>
      <c r="AA336" s="200"/>
      <c r="AB336" s="198"/>
      <c r="AC336" s="378">
        <f t="shared" si="5"/>
        <v>44.669135802469135</v>
      </c>
      <c r="AE336" s="176">
        <f>(M336/U336)*((100-CC336)/(100-9))*100</f>
        <v>49.086962420295762</v>
      </c>
      <c r="AF336" s="198">
        <v>41822</v>
      </c>
      <c r="AG336" s="176">
        <v>4.9000000000000004</v>
      </c>
      <c r="AH336" s="196">
        <v>41927</v>
      </c>
      <c r="AI336" s="176">
        <v>165</v>
      </c>
      <c r="AM336" s="176">
        <v>82</v>
      </c>
      <c r="BG336" s="201">
        <v>1</v>
      </c>
      <c r="BI336" s="201">
        <v>4.5</v>
      </c>
      <c r="BK336" s="201">
        <v>1.5</v>
      </c>
      <c r="BM336" s="201">
        <v>63.1</v>
      </c>
      <c r="BO336" s="201">
        <v>19.7</v>
      </c>
      <c r="BQ336" s="201">
        <v>9.8000000000000007</v>
      </c>
      <c r="BS336" s="201">
        <v>50.2</v>
      </c>
      <c r="BU336" s="201">
        <v>18</v>
      </c>
      <c r="BW336" s="201">
        <v>10.9</v>
      </c>
      <c r="BY336" s="178">
        <v>6.5999999999999943</v>
      </c>
      <c r="CC336" s="201">
        <v>8.4</v>
      </c>
      <c r="CD336" s="198">
        <v>41822</v>
      </c>
      <c r="CI336" s="174" t="s">
        <v>9356</v>
      </c>
      <c r="CL336" s="174">
        <v>6</v>
      </c>
    </row>
    <row r="337" spans="1:91">
      <c r="A337" s="191" t="s">
        <v>7774</v>
      </c>
      <c r="B337" s="192" t="s">
        <v>271</v>
      </c>
      <c r="C337" s="192" t="s">
        <v>8998</v>
      </c>
      <c r="D337" s="192" t="s">
        <v>8791</v>
      </c>
      <c r="E337" s="193">
        <v>241</v>
      </c>
      <c r="F337" s="193">
        <v>12</v>
      </c>
      <c r="K337" s="176">
        <v>8</v>
      </c>
      <c r="M337" s="197">
        <v>6.75</v>
      </c>
      <c r="N337" s="198">
        <v>41822</v>
      </c>
      <c r="S337" s="176">
        <f>(AE337*BS337)/100</f>
        <v>21.395924908424909</v>
      </c>
      <c r="T337" s="198"/>
      <c r="U337" s="176">
        <v>16.2</v>
      </c>
      <c r="Y337" s="200">
        <f>(AE337*BU337)/100</f>
        <v>7.5715201465201485</v>
      </c>
      <c r="Z337" s="198"/>
      <c r="AA337" s="200"/>
      <c r="AB337" s="198"/>
      <c r="AC337" s="378">
        <f t="shared" si="5"/>
        <v>38.708333333333336</v>
      </c>
      <c r="AE337" s="176">
        <f>(M337/U337)*((100-CC337)/(100-9))*100</f>
        <v>42.536630036630044</v>
      </c>
      <c r="AF337" s="198">
        <v>41822</v>
      </c>
      <c r="AG337" s="176">
        <v>4.9000000000000004</v>
      </c>
      <c r="AH337" s="196">
        <v>41927</v>
      </c>
      <c r="AI337" s="176">
        <v>145</v>
      </c>
      <c r="AM337" s="176">
        <v>85</v>
      </c>
      <c r="BG337" s="201">
        <v>2.5</v>
      </c>
      <c r="BI337" s="201">
        <v>4.5999999999999996</v>
      </c>
      <c r="BK337" s="201">
        <v>1.6</v>
      </c>
      <c r="BM337" s="201">
        <v>67.599999999999994</v>
      </c>
      <c r="BO337" s="201">
        <v>19.2</v>
      </c>
      <c r="BQ337" s="201">
        <v>7.8</v>
      </c>
      <c r="BS337" s="201">
        <v>50.3</v>
      </c>
      <c r="BU337" s="201">
        <v>17.8</v>
      </c>
      <c r="BW337" s="201">
        <v>17.899999999999999</v>
      </c>
      <c r="BY337" s="178">
        <v>6.5</v>
      </c>
      <c r="CC337" s="201">
        <v>7.1</v>
      </c>
      <c r="CD337" s="198">
        <v>41822</v>
      </c>
      <c r="CI337" s="174" t="s">
        <v>9356</v>
      </c>
      <c r="CL337" s="174">
        <v>1</v>
      </c>
    </row>
    <row r="338" spans="1:91">
      <c r="A338" s="191" t="s">
        <v>7713</v>
      </c>
      <c r="B338" s="192" t="s">
        <v>269</v>
      </c>
      <c r="C338" s="192" t="s">
        <v>417</v>
      </c>
      <c r="D338" s="192" t="s">
        <v>8545</v>
      </c>
      <c r="E338" s="193">
        <v>242</v>
      </c>
      <c r="F338" s="193">
        <v>1</v>
      </c>
      <c r="K338" s="176">
        <v>9</v>
      </c>
      <c r="M338" s="197">
        <v>4.45</v>
      </c>
      <c r="N338" s="198">
        <v>41822</v>
      </c>
      <c r="S338" s="176">
        <f>(AE338*BS338)/100</f>
        <v>14.057435897435898</v>
      </c>
      <c r="T338" s="198"/>
      <c r="U338" s="176">
        <v>16.2</v>
      </c>
      <c r="Y338" s="200">
        <f>(AE338*BU338)/100</f>
        <v>4.9647293447293457</v>
      </c>
      <c r="Z338" s="198"/>
      <c r="AA338" s="200"/>
      <c r="AB338" s="198"/>
      <c r="AC338" s="378">
        <f t="shared" si="5"/>
        <v>25.381481481481483</v>
      </c>
      <c r="AE338" s="176">
        <f>(M338/U338)*((100-CC338)/(100-9))*100</f>
        <v>27.891737891737893</v>
      </c>
      <c r="AF338" s="198">
        <v>41822</v>
      </c>
      <c r="AG338" s="176">
        <v>4.0999999999999996</v>
      </c>
      <c r="AH338" s="196">
        <v>41927</v>
      </c>
      <c r="AI338" s="176">
        <v>115</v>
      </c>
      <c r="AM338" s="176">
        <v>77</v>
      </c>
      <c r="BG338" s="201">
        <v>0</v>
      </c>
      <c r="BI338" s="201">
        <v>4.4000000000000004</v>
      </c>
      <c r="BK338" s="201">
        <v>1.6</v>
      </c>
      <c r="BM338" s="201">
        <v>63.6</v>
      </c>
      <c r="BO338" s="201">
        <v>20.399999999999999</v>
      </c>
      <c r="BQ338" s="201">
        <v>8.6999999999999993</v>
      </c>
      <c r="BS338" s="201">
        <v>50.4</v>
      </c>
      <c r="BU338" s="201">
        <v>17.8</v>
      </c>
      <c r="BW338" s="201">
        <v>10</v>
      </c>
      <c r="BY338" s="178">
        <v>6.9000000000000057</v>
      </c>
      <c r="CC338" s="201">
        <v>7.6</v>
      </c>
      <c r="CD338" s="198">
        <v>41822</v>
      </c>
      <c r="CI338" s="174" t="s">
        <v>9335</v>
      </c>
      <c r="CL338" s="174">
        <v>3</v>
      </c>
    </row>
    <row r="339" spans="1:91">
      <c r="A339" s="191" t="s">
        <v>7776</v>
      </c>
      <c r="B339" s="192" t="s">
        <v>269</v>
      </c>
      <c r="C339" s="192" t="s">
        <v>417</v>
      </c>
      <c r="D339" s="192" t="s">
        <v>8797</v>
      </c>
      <c r="E339" s="193">
        <v>242</v>
      </c>
      <c r="F339" s="193">
        <v>2</v>
      </c>
      <c r="K339" s="176">
        <v>8</v>
      </c>
      <c r="M339" s="197">
        <v>3.4</v>
      </c>
      <c r="N339" s="198">
        <v>41822</v>
      </c>
      <c r="S339" s="176">
        <f>(AE339*BS339)/100</f>
        <v>11.373740333740336</v>
      </c>
      <c r="T339" s="198"/>
      <c r="U339" s="176">
        <v>16.2</v>
      </c>
      <c r="Y339" s="200">
        <f>(AE339*BU339)/100</f>
        <v>3.360423280423281</v>
      </c>
      <c r="Z339" s="198"/>
      <c r="AA339" s="200"/>
      <c r="AB339" s="198"/>
      <c r="AC339" s="378">
        <f t="shared" si="5"/>
        <v>19.602469135802473</v>
      </c>
      <c r="AE339" s="176">
        <f>(M339/U339)*((100-CC339)/(100-9))*100</f>
        <v>21.541174874508211</v>
      </c>
      <c r="AF339" s="198">
        <v>41822</v>
      </c>
      <c r="AG339" s="176">
        <v>5.3</v>
      </c>
      <c r="AH339" s="196">
        <v>41927</v>
      </c>
      <c r="AI339" s="176">
        <v>120</v>
      </c>
      <c r="AM339" s="176">
        <v>79</v>
      </c>
      <c r="BG339" s="201">
        <v>0</v>
      </c>
      <c r="BI339" s="201">
        <v>5.2</v>
      </c>
      <c r="BK339" s="201">
        <v>1.7</v>
      </c>
      <c r="BM339" s="201">
        <v>65.099999999999994</v>
      </c>
      <c r="BO339" s="201">
        <v>22.3</v>
      </c>
      <c r="BQ339" s="201">
        <v>7.2</v>
      </c>
      <c r="BS339" s="201">
        <v>52.8</v>
      </c>
      <c r="BU339" s="201">
        <v>15.6</v>
      </c>
      <c r="BW339" s="201">
        <v>16.2</v>
      </c>
      <c r="BY339" s="178">
        <v>6.5</v>
      </c>
      <c r="CC339" s="201">
        <v>6.6</v>
      </c>
      <c r="CD339" s="198">
        <v>41822</v>
      </c>
      <c r="CI339" s="174" t="s">
        <v>9346</v>
      </c>
      <c r="CL339" s="174" t="s">
        <v>9001</v>
      </c>
    </row>
    <row r="340" spans="1:91">
      <c r="A340" s="191" t="s">
        <v>7724</v>
      </c>
      <c r="B340" s="192" t="s">
        <v>269</v>
      </c>
      <c r="C340" s="192" t="s">
        <v>417</v>
      </c>
      <c r="D340" s="192" t="s">
        <v>8589</v>
      </c>
      <c r="E340" s="193">
        <v>242</v>
      </c>
      <c r="F340" s="193">
        <v>3</v>
      </c>
      <c r="K340" s="176">
        <v>8</v>
      </c>
      <c r="M340" s="197">
        <v>3.8</v>
      </c>
      <c r="N340" s="198">
        <v>41822</v>
      </c>
      <c r="S340" s="176">
        <f>(AE340*BS340)/100</f>
        <v>12.153968253968253</v>
      </c>
      <c r="T340" s="198"/>
      <c r="U340" s="176">
        <v>16.2</v>
      </c>
      <c r="Y340" s="200">
        <f>(AE340*BU340)/100</f>
        <v>3.9314611314611305</v>
      </c>
      <c r="Z340" s="198"/>
      <c r="AA340" s="200"/>
      <c r="AB340" s="198"/>
      <c r="AC340" s="378">
        <f t="shared" si="5"/>
        <v>21.814814814814813</v>
      </c>
      <c r="AE340" s="176">
        <f>(M340/U340)*((100-CC340)/(100-9))*100</f>
        <v>23.97232397232397</v>
      </c>
      <c r="AF340" s="198">
        <v>41822</v>
      </c>
      <c r="AG340" s="176">
        <v>5</v>
      </c>
      <c r="AH340" s="196">
        <v>41927</v>
      </c>
      <c r="AI340" s="176">
        <v>150</v>
      </c>
      <c r="AM340" s="176">
        <v>83</v>
      </c>
      <c r="BG340" s="201">
        <v>4.0999999999999996</v>
      </c>
      <c r="BI340" s="201">
        <v>4.7</v>
      </c>
      <c r="BK340" s="201">
        <v>1.6</v>
      </c>
      <c r="BM340" s="201">
        <v>62.8</v>
      </c>
      <c r="BO340" s="201">
        <v>19.7</v>
      </c>
      <c r="BQ340" s="201">
        <v>8.4</v>
      </c>
      <c r="BS340" s="201">
        <v>50.7</v>
      </c>
      <c r="BU340" s="201">
        <v>16.399999999999999</v>
      </c>
      <c r="BW340" s="201">
        <v>12.9</v>
      </c>
      <c r="BY340" s="178">
        <v>6.9000000000000057</v>
      </c>
      <c r="CC340" s="201">
        <v>7</v>
      </c>
      <c r="CD340" s="198">
        <v>41822</v>
      </c>
      <c r="CI340" s="174" t="s">
        <v>9360</v>
      </c>
      <c r="CL340" s="174">
        <v>1</v>
      </c>
    </row>
    <row r="341" spans="1:91">
      <c r="A341" s="191" t="s">
        <v>7614</v>
      </c>
      <c r="B341" s="192" t="s">
        <v>269</v>
      </c>
      <c r="C341" s="192" t="s">
        <v>417</v>
      </c>
      <c r="D341" s="192" t="s">
        <v>8149</v>
      </c>
      <c r="E341" s="193">
        <v>242</v>
      </c>
      <c r="F341" s="193">
        <v>4</v>
      </c>
      <c r="I341" s="184"/>
      <c r="K341" s="176">
        <v>7</v>
      </c>
      <c r="M341" s="197">
        <v>3.3</v>
      </c>
      <c r="N341" s="198">
        <v>41822</v>
      </c>
      <c r="O341" s="179"/>
      <c r="S341" s="176">
        <f>(AE341*BS341)/100</f>
        <v>10.613231583231585</v>
      </c>
      <c r="T341" s="198"/>
      <c r="U341" s="176">
        <v>16.2</v>
      </c>
      <c r="Y341" s="200">
        <f>(AE341*BU341)/100</f>
        <v>3.7335083435083436</v>
      </c>
      <c r="Z341" s="198"/>
      <c r="AA341" s="200"/>
      <c r="AB341" s="198"/>
      <c r="AC341" s="378">
        <f t="shared" si="5"/>
        <v>19.087037037037035</v>
      </c>
      <c r="AE341" s="176">
        <f>(M341/U341)*((100-CC341)/(100-9))*100</f>
        <v>20.974765974765976</v>
      </c>
      <c r="AF341" s="198">
        <v>41822</v>
      </c>
      <c r="AG341" s="176">
        <v>5</v>
      </c>
      <c r="AH341" s="196">
        <v>41927</v>
      </c>
      <c r="AI341" s="176">
        <v>130</v>
      </c>
      <c r="AM341" s="176">
        <v>88</v>
      </c>
      <c r="BG341" s="201">
        <v>48.5</v>
      </c>
      <c r="BI341" s="201">
        <v>4.5</v>
      </c>
      <c r="BK341" s="201">
        <v>0.8</v>
      </c>
      <c r="BM341" s="201">
        <v>27.8</v>
      </c>
      <c r="BO341" s="201">
        <v>17.7</v>
      </c>
      <c r="BQ341" s="201">
        <v>9.3000000000000007</v>
      </c>
      <c r="BS341" s="201">
        <v>50.6</v>
      </c>
      <c r="BU341" s="201">
        <v>17.8</v>
      </c>
      <c r="BW341" s="201">
        <v>76</v>
      </c>
      <c r="BY341" s="178">
        <v>6.5</v>
      </c>
      <c r="CC341" s="201">
        <v>6.3</v>
      </c>
      <c r="CD341" s="198">
        <v>41822</v>
      </c>
      <c r="CI341" s="174" t="s">
        <v>9352</v>
      </c>
      <c r="CL341" s="174">
        <v>1</v>
      </c>
    </row>
    <row r="342" spans="1:91">
      <c r="A342" s="191" t="s">
        <v>7815</v>
      </c>
      <c r="B342" s="192" t="s">
        <v>269</v>
      </c>
      <c r="C342" s="192" t="s">
        <v>417</v>
      </c>
      <c r="D342" s="192" t="s">
        <v>8953</v>
      </c>
      <c r="E342" s="193">
        <v>242</v>
      </c>
      <c r="F342" s="193">
        <v>5</v>
      </c>
      <c r="K342" s="176">
        <v>7</v>
      </c>
      <c r="M342" s="197">
        <v>3.5</v>
      </c>
      <c r="N342" s="198">
        <v>41822</v>
      </c>
      <c r="S342" s="176">
        <f>(AE342*BS342)/100</f>
        <v>11.513247863247868</v>
      </c>
      <c r="T342" s="198"/>
      <c r="U342" s="176">
        <v>16.2</v>
      </c>
      <c r="Y342" s="200">
        <f>(AE342*BU342)/100</f>
        <v>3.2642924976258327</v>
      </c>
      <c r="Z342" s="198"/>
      <c r="AA342" s="200"/>
      <c r="AB342" s="198"/>
      <c r="AC342" s="378">
        <f t="shared" si="5"/>
        <v>20.070987654320991</v>
      </c>
      <c r="AE342" s="176">
        <f>(M342/U342)*((100-CC342)/(100-9))*100</f>
        <v>22.05603038936373</v>
      </c>
      <c r="AF342" s="198">
        <v>41822</v>
      </c>
      <c r="AG342" s="176">
        <v>4.7</v>
      </c>
      <c r="AH342" s="196">
        <v>41927</v>
      </c>
      <c r="AI342" s="176">
        <v>135</v>
      </c>
      <c r="AM342" s="176">
        <v>84</v>
      </c>
      <c r="BG342" s="201">
        <v>5.2</v>
      </c>
      <c r="BI342" s="201">
        <v>5</v>
      </c>
      <c r="BK342" s="201">
        <v>1.6</v>
      </c>
      <c r="BM342" s="201">
        <v>63.4</v>
      </c>
      <c r="BO342" s="201">
        <v>21.7</v>
      </c>
      <c r="BQ342" s="201">
        <v>7.2</v>
      </c>
      <c r="BS342" s="201">
        <v>52.2</v>
      </c>
      <c r="BU342" s="201">
        <v>14.8</v>
      </c>
      <c r="BW342" s="201">
        <v>16.899999999999999</v>
      </c>
      <c r="BY342" s="178">
        <v>6.9000000000000057</v>
      </c>
      <c r="CC342" s="201">
        <v>7.1</v>
      </c>
      <c r="CD342" s="198">
        <v>41822</v>
      </c>
      <c r="CI342" s="174" t="s">
        <v>9375</v>
      </c>
      <c r="CL342" s="174">
        <v>1</v>
      </c>
    </row>
    <row r="343" spans="1:91">
      <c r="A343" s="191" t="s">
        <v>7775</v>
      </c>
      <c r="B343" s="192" t="s">
        <v>269</v>
      </c>
      <c r="C343" s="192" t="s">
        <v>417</v>
      </c>
      <c r="D343" s="192" t="s">
        <v>8793</v>
      </c>
      <c r="E343" s="193">
        <v>242</v>
      </c>
      <c r="F343" s="193">
        <v>6</v>
      </c>
      <c r="K343" s="176">
        <v>8</v>
      </c>
      <c r="M343" s="197">
        <v>4.3</v>
      </c>
      <c r="N343" s="198">
        <v>41822</v>
      </c>
      <c r="S343" s="176">
        <f>(AE343*BS343)/100</f>
        <v>14.066676163342827</v>
      </c>
      <c r="T343" s="198"/>
      <c r="U343" s="176">
        <v>16.2</v>
      </c>
      <c r="Y343" s="200">
        <f>(AE343*BU343)/100</f>
        <v>4.1819848053181383</v>
      </c>
      <c r="Z343" s="198"/>
      <c r="AA343" s="200"/>
      <c r="AB343" s="198"/>
      <c r="AC343" s="378">
        <f t="shared" si="5"/>
        <v>24.711728395061726</v>
      </c>
      <c r="AE343" s="176">
        <f>(M343/U343)*((100-CC343)/(100-9))*100</f>
        <v>27.155745489078818</v>
      </c>
      <c r="AF343" s="198">
        <v>41822</v>
      </c>
      <c r="AG343" s="176">
        <v>5.0999999999999996</v>
      </c>
      <c r="AH343" s="196">
        <v>41927</v>
      </c>
      <c r="AI343" s="176">
        <v>125</v>
      </c>
      <c r="AM343" s="176">
        <v>83</v>
      </c>
      <c r="BG343" s="201">
        <v>0</v>
      </c>
      <c r="BI343" s="201">
        <v>4.2</v>
      </c>
      <c r="BK343" s="201">
        <v>1.7</v>
      </c>
      <c r="BM343" s="201">
        <v>61</v>
      </c>
      <c r="BO343" s="201">
        <v>20.3</v>
      </c>
      <c r="BQ343" s="201">
        <v>8.8000000000000007</v>
      </c>
      <c r="BS343" s="201">
        <v>51.8</v>
      </c>
      <c r="BU343" s="201">
        <v>15.4</v>
      </c>
      <c r="BW343" s="201">
        <v>8.4</v>
      </c>
      <c r="BY343" s="178">
        <v>6.7999999999999972</v>
      </c>
      <c r="CC343" s="201">
        <v>6.9</v>
      </c>
      <c r="CD343" s="198">
        <v>41822</v>
      </c>
      <c r="CI343" s="174" t="s">
        <v>9354</v>
      </c>
      <c r="CL343" s="174">
        <v>1</v>
      </c>
    </row>
    <row r="344" spans="1:91">
      <c r="A344" s="191" t="s">
        <v>7701</v>
      </c>
      <c r="B344" s="192" t="s">
        <v>271</v>
      </c>
      <c r="C344" s="192" t="s">
        <v>8998</v>
      </c>
      <c r="D344" s="192" t="s">
        <v>8499</v>
      </c>
      <c r="E344" s="193">
        <v>242</v>
      </c>
      <c r="F344" s="193">
        <v>7</v>
      </c>
      <c r="K344" s="176">
        <v>8</v>
      </c>
      <c r="M344" s="197">
        <v>6.3</v>
      </c>
      <c r="N344" s="198">
        <v>41822</v>
      </c>
      <c r="S344" s="176">
        <f>(AE344*BS344)/100</f>
        <v>20.982393162393169</v>
      </c>
      <c r="T344" s="198"/>
      <c r="U344" s="176">
        <v>16.2</v>
      </c>
      <c r="Y344" s="200">
        <f>(AE344*BU344)/100</f>
        <v>6.2066239316239331</v>
      </c>
      <c r="Z344" s="198"/>
      <c r="AA344" s="200"/>
      <c r="AB344" s="198"/>
      <c r="AC344" s="378">
        <f t="shared" si="5"/>
        <v>36.43888888888889</v>
      </c>
      <c r="AE344" s="176">
        <f>(M344/U344)*((100-CC344)/(100-9))*100</f>
        <v>40.042735042735053</v>
      </c>
      <c r="AF344" s="198">
        <v>41822</v>
      </c>
      <c r="AG344" s="176">
        <v>4.4000000000000004</v>
      </c>
      <c r="AH344" s="196">
        <v>41927</v>
      </c>
      <c r="AI344" s="176">
        <v>150</v>
      </c>
      <c r="AM344" s="176">
        <v>87</v>
      </c>
      <c r="BG344" s="201">
        <v>0</v>
      </c>
      <c r="BI344" s="201">
        <v>4.5</v>
      </c>
      <c r="BK344" s="201">
        <v>1.6</v>
      </c>
      <c r="BM344" s="201">
        <v>65.5</v>
      </c>
      <c r="BO344" s="201">
        <v>20.9</v>
      </c>
      <c r="BQ344" s="201">
        <v>7.2</v>
      </c>
      <c r="BS344" s="201">
        <v>52.4</v>
      </c>
      <c r="BU344" s="201">
        <v>15.5</v>
      </c>
      <c r="BW344" s="201">
        <v>9.9</v>
      </c>
      <c r="BY344" s="178">
        <v>6.2999999999999972</v>
      </c>
      <c r="CC344" s="201">
        <v>6.3</v>
      </c>
      <c r="CD344" s="198">
        <v>41822</v>
      </c>
      <c r="CI344" s="174" t="s">
        <v>9364</v>
      </c>
      <c r="CL344" s="174">
        <v>1</v>
      </c>
    </row>
    <row r="345" spans="1:91">
      <c r="A345" s="191" t="s">
        <v>7642</v>
      </c>
      <c r="B345" s="192" t="s">
        <v>271</v>
      </c>
      <c r="C345" s="192" t="s">
        <v>8998</v>
      </c>
      <c r="D345" s="192" t="s">
        <v>8263</v>
      </c>
      <c r="E345" s="193">
        <v>242</v>
      </c>
      <c r="F345" s="193">
        <v>8</v>
      </c>
      <c r="K345" s="176">
        <v>8</v>
      </c>
      <c r="M345" s="197">
        <v>3.95</v>
      </c>
      <c r="N345" s="198">
        <v>41822</v>
      </c>
      <c r="S345" s="176">
        <f>(AE345*BS345)/100</f>
        <v>11.611960385293719</v>
      </c>
      <c r="T345" s="198"/>
      <c r="U345" s="176">
        <v>16.2</v>
      </c>
      <c r="Y345" s="200">
        <f>(AE345*BU345)/100</f>
        <v>5.380541988875323</v>
      </c>
      <c r="Z345" s="198"/>
      <c r="AA345" s="200"/>
      <c r="AB345" s="198"/>
      <c r="AC345" s="378">
        <f t="shared" si="5"/>
        <v>22.773456790123461</v>
      </c>
      <c r="AE345" s="176">
        <f>(M345/U345)*((100-CC345)/(100-9))*100</f>
        <v>25.025776692443362</v>
      </c>
      <c r="AF345" s="198">
        <v>41822</v>
      </c>
      <c r="AG345" s="176">
        <v>4.5</v>
      </c>
      <c r="AH345" s="196">
        <v>41927</v>
      </c>
      <c r="AI345" s="176">
        <v>135</v>
      </c>
      <c r="AM345" s="176">
        <v>85</v>
      </c>
      <c r="BG345" s="201">
        <v>1.7</v>
      </c>
      <c r="BI345" s="201">
        <v>4.7</v>
      </c>
      <c r="BK345" s="201">
        <v>1.5</v>
      </c>
      <c r="BM345" s="201">
        <v>68.8</v>
      </c>
      <c r="BO345" s="201">
        <v>20.2</v>
      </c>
      <c r="BQ345" s="201">
        <v>7.3</v>
      </c>
      <c r="BS345" s="201">
        <v>46.4</v>
      </c>
      <c r="BU345" s="201">
        <v>21.5</v>
      </c>
      <c r="BW345" s="201">
        <v>77.099999999999994</v>
      </c>
      <c r="BY345" s="178">
        <v>6.2999999999999972</v>
      </c>
      <c r="CC345" s="201">
        <v>6.6</v>
      </c>
      <c r="CD345" s="198">
        <v>41822</v>
      </c>
      <c r="CI345" s="174" t="s">
        <v>9355</v>
      </c>
      <c r="CL345" s="174">
        <v>1</v>
      </c>
    </row>
    <row r="346" spans="1:91">
      <c r="A346" s="191" t="s">
        <v>7720</v>
      </c>
      <c r="B346" s="192" t="s">
        <v>271</v>
      </c>
      <c r="C346" s="192" t="s">
        <v>8998</v>
      </c>
      <c r="D346" s="192" t="s">
        <v>8575</v>
      </c>
      <c r="E346" s="193">
        <v>242</v>
      </c>
      <c r="F346" s="193">
        <v>9</v>
      </c>
      <c r="K346" s="176">
        <v>9</v>
      </c>
      <c r="M346" s="197">
        <v>6.05</v>
      </c>
      <c r="N346" s="198">
        <v>41822</v>
      </c>
      <c r="S346" s="176">
        <f>(AE346*BS346)/100</f>
        <v>19.167936507936506</v>
      </c>
      <c r="T346" s="198"/>
      <c r="U346" s="176">
        <v>16.2</v>
      </c>
      <c r="Y346" s="200">
        <f>(AE346*BU346)/100</f>
        <v>6.5685714285714285</v>
      </c>
      <c r="Z346" s="198"/>
      <c r="AA346" s="200"/>
      <c r="AB346" s="198"/>
      <c r="AC346" s="378">
        <f t="shared" si="5"/>
        <v>34.955555555555556</v>
      </c>
      <c r="AE346" s="176">
        <f>(M346/U346)*((100-CC346)/(100-9))*100</f>
        <v>38.412698412698411</v>
      </c>
      <c r="AF346" s="198">
        <v>41822</v>
      </c>
      <c r="AG346" s="176">
        <v>4.5</v>
      </c>
      <c r="AH346" s="196">
        <v>41927</v>
      </c>
      <c r="AI346" s="176">
        <v>145</v>
      </c>
      <c r="AM346" s="176">
        <v>84</v>
      </c>
      <c r="BG346" s="201">
        <v>0</v>
      </c>
      <c r="BI346" s="201">
        <v>4.5</v>
      </c>
      <c r="BK346" s="201">
        <v>1.7</v>
      </c>
      <c r="BM346" s="201">
        <v>66.900000000000006</v>
      </c>
      <c r="BO346" s="201">
        <v>19.2</v>
      </c>
      <c r="BQ346" s="201">
        <v>6.3</v>
      </c>
      <c r="BS346" s="201">
        <v>49.9</v>
      </c>
      <c r="BU346" s="201">
        <v>17.100000000000001</v>
      </c>
      <c r="BW346" s="201">
        <v>17.600000000000001</v>
      </c>
      <c r="BY346" s="178">
        <v>6.4000000000000057</v>
      </c>
      <c r="CC346" s="201">
        <v>6.4</v>
      </c>
      <c r="CD346" s="198">
        <v>41822</v>
      </c>
      <c r="CI346" s="174" t="s">
        <v>9382</v>
      </c>
      <c r="CL346" s="174">
        <v>1</v>
      </c>
    </row>
    <row r="347" spans="1:91">
      <c r="A347" s="191" t="s">
        <v>7770</v>
      </c>
      <c r="B347" s="192" t="s">
        <v>271</v>
      </c>
      <c r="C347" s="192" t="s">
        <v>8998</v>
      </c>
      <c r="D347" s="192" t="s">
        <v>8775</v>
      </c>
      <c r="E347" s="193">
        <v>242</v>
      </c>
      <c r="F347" s="193">
        <v>10</v>
      </c>
      <c r="K347" s="176">
        <v>7</v>
      </c>
      <c r="M347" s="197">
        <v>6.75</v>
      </c>
      <c r="N347" s="198">
        <v>41822</v>
      </c>
      <c r="S347" s="176">
        <f>(AE347*BS347)/100</f>
        <v>21.903846153846153</v>
      </c>
      <c r="T347" s="198"/>
      <c r="U347" s="176">
        <v>16.2</v>
      </c>
      <c r="Y347" s="200">
        <f>(AE347*BU347)/100</f>
        <v>7.4730769230769223</v>
      </c>
      <c r="Z347" s="198"/>
      <c r="AA347" s="200"/>
      <c r="AB347" s="198"/>
      <c r="AC347" s="378">
        <f t="shared" si="5"/>
        <v>39.083333333333336</v>
      </c>
      <c r="AE347" s="176">
        <f>(M347/U347)*((100-CC347)/(100-9))*100</f>
        <v>42.948717948717949</v>
      </c>
      <c r="AF347" s="198">
        <v>41822</v>
      </c>
      <c r="AG347" s="176">
        <v>4.5</v>
      </c>
      <c r="AH347" s="196">
        <v>41927</v>
      </c>
      <c r="AI347" s="176">
        <v>150</v>
      </c>
      <c r="AM347" s="176">
        <v>83</v>
      </c>
      <c r="BG347" s="201">
        <v>4.8</v>
      </c>
      <c r="BI347" s="201">
        <v>4.5999999999999996</v>
      </c>
      <c r="BK347" s="201">
        <v>1.5</v>
      </c>
      <c r="BM347" s="201">
        <v>61.5</v>
      </c>
      <c r="BO347" s="201">
        <v>21.1</v>
      </c>
      <c r="BQ347" s="201">
        <v>9.6</v>
      </c>
      <c r="BS347" s="201">
        <v>51</v>
      </c>
      <c r="BU347" s="201">
        <v>17.399999999999999</v>
      </c>
      <c r="BW347" s="201">
        <v>9.5</v>
      </c>
      <c r="BY347" s="178">
        <v>6.0999999999999943</v>
      </c>
      <c r="CC347" s="201">
        <v>6.2</v>
      </c>
      <c r="CD347" s="198">
        <v>41822</v>
      </c>
      <c r="CI347" s="174" t="s">
        <v>9355</v>
      </c>
      <c r="CL347" s="174">
        <v>1</v>
      </c>
    </row>
    <row r="348" spans="1:91">
      <c r="A348" s="191" t="s">
        <v>7628</v>
      </c>
      <c r="B348" s="192" t="s">
        <v>271</v>
      </c>
      <c r="C348" s="192" t="s">
        <v>8998</v>
      </c>
      <c r="D348" s="192" t="s">
        <v>8207</v>
      </c>
      <c r="E348" s="193">
        <v>242</v>
      </c>
      <c r="F348" s="193">
        <v>11</v>
      </c>
      <c r="I348" s="184"/>
      <c r="K348" s="176">
        <v>9</v>
      </c>
      <c r="M348" s="197">
        <v>3.7</v>
      </c>
      <c r="N348" s="198">
        <v>41822</v>
      </c>
      <c r="O348" s="179"/>
      <c r="S348" s="176">
        <f>(AE348*BS348)/100</f>
        <v>10.923809523809522</v>
      </c>
      <c r="T348" s="198"/>
      <c r="U348" s="176">
        <v>16.2</v>
      </c>
      <c r="Y348" s="200">
        <f>(AE348*BU348)/100</f>
        <v>4.8316849816849814</v>
      </c>
      <c r="Z348" s="198"/>
      <c r="AA348" s="200"/>
      <c r="AB348" s="198"/>
      <c r="AC348" s="378">
        <f t="shared" si="5"/>
        <v>21.24074074074074</v>
      </c>
      <c r="AE348" s="176">
        <f>(M348/U348)*((100-CC348)/(100-9))*100</f>
        <v>23.341473341473339</v>
      </c>
      <c r="AF348" s="198">
        <v>41822</v>
      </c>
      <c r="AG348" s="176">
        <v>5.3</v>
      </c>
      <c r="AH348" s="196">
        <v>41927</v>
      </c>
      <c r="AI348" s="176">
        <v>140</v>
      </c>
      <c r="AM348" s="176">
        <v>90</v>
      </c>
      <c r="BG348" s="201">
        <v>35.1</v>
      </c>
      <c r="BI348" s="201">
        <v>4.2</v>
      </c>
      <c r="BK348" s="201">
        <v>1.3</v>
      </c>
      <c r="BM348" s="201">
        <v>40.700000000000003</v>
      </c>
      <c r="BO348" s="201">
        <v>15.7</v>
      </c>
      <c r="BQ348" s="201">
        <v>7.5</v>
      </c>
      <c r="BS348" s="201">
        <v>46.8</v>
      </c>
      <c r="BU348" s="201">
        <v>20.7</v>
      </c>
      <c r="BW348" s="201">
        <v>64.8</v>
      </c>
      <c r="BY348" s="178">
        <v>6.7000000000000028</v>
      </c>
      <c r="CC348" s="201">
        <v>7</v>
      </c>
      <c r="CD348" s="198">
        <v>41822</v>
      </c>
      <c r="CI348" s="174" t="s">
        <v>9347</v>
      </c>
      <c r="CL348" s="174">
        <v>7</v>
      </c>
    </row>
    <row r="349" spans="1:91">
      <c r="A349" s="191" t="s">
        <v>7691</v>
      </c>
      <c r="B349" s="192" t="s">
        <v>271</v>
      </c>
      <c r="C349" s="192" t="s">
        <v>8998</v>
      </c>
      <c r="D349" s="192" t="s">
        <v>8459</v>
      </c>
      <c r="E349" s="193">
        <v>242</v>
      </c>
      <c r="F349" s="193">
        <v>12</v>
      </c>
      <c r="K349" s="176">
        <v>7</v>
      </c>
      <c r="M349" s="197">
        <v>5.95</v>
      </c>
      <c r="N349" s="198">
        <v>41822</v>
      </c>
      <c r="S349" s="176">
        <f>(AE349*BS349)/100</f>
        <v>18.16868945868946</v>
      </c>
      <c r="T349" s="198"/>
      <c r="U349" s="176">
        <v>16.2</v>
      </c>
      <c r="Y349" s="200">
        <f>(AE349*BU349)/100</f>
        <v>6.6957075023741712</v>
      </c>
      <c r="Z349" s="198"/>
      <c r="AA349" s="200"/>
      <c r="AB349" s="198"/>
      <c r="AC349" s="378">
        <f t="shared" si="5"/>
        <v>34.23086419753087</v>
      </c>
      <c r="AE349" s="176">
        <f>(M349/U349)*((100-CC349)/(100-9))*100</f>
        <v>37.61633428300096</v>
      </c>
      <c r="AF349" s="198">
        <v>41822</v>
      </c>
      <c r="AG349" s="176">
        <v>4.8</v>
      </c>
      <c r="AH349" s="196">
        <v>41927</v>
      </c>
      <c r="AI349" s="176">
        <v>150</v>
      </c>
      <c r="AM349" s="176">
        <v>80</v>
      </c>
      <c r="BG349" s="201">
        <v>0</v>
      </c>
      <c r="BI349" s="201">
        <v>4.3</v>
      </c>
      <c r="BK349" s="201">
        <v>1.7</v>
      </c>
      <c r="BM349" s="201">
        <v>66.5</v>
      </c>
      <c r="BO349" s="201">
        <v>20</v>
      </c>
      <c r="BQ349" s="201">
        <v>6.9</v>
      </c>
      <c r="BS349" s="201">
        <v>48.3</v>
      </c>
      <c r="BU349" s="201">
        <v>17.8</v>
      </c>
      <c r="BW349" s="201">
        <v>14.7</v>
      </c>
      <c r="BY349" s="178">
        <v>6.4000000000000057</v>
      </c>
      <c r="CC349" s="201">
        <v>6.8</v>
      </c>
      <c r="CD349" s="198">
        <v>41822</v>
      </c>
      <c r="CI349" s="174" t="s">
        <v>9356</v>
      </c>
      <c r="CL349" s="174">
        <v>1</v>
      </c>
    </row>
    <row r="350" spans="1:91">
      <c r="A350" s="191" t="s">
        <v>7813</v>
      </c>
      <c r="B350" s="192" t="s">
        <v>269</v>
      </c>
      <c r="C350" s="192" t="s">
        <v>417</v>
      </c>
      <c r="D350" s="192" t="s">
        <v>8945</v>
      </c>
      <c r="E350" s="193">
        <v>243</v>
      </c>
      <c r="F350" s="193">
        <v>1</v>
      </c>
      <c r="K350" s="176">
        <v>9</v>
      </c>
      <c r="M350" s="197">
        <v>6.3</v>
      </c>
      <c r="N350" s="198">
        <v>41822</v>
      </c>
      <c r="S350" s="176">
        <f>(AE350*BS350)/100</f>
        <v>19.972649572649573</v>
      </c>
      <c r="T350" s="198"/>
      <c r="U350" s="176">
        <v>16.2</v>
      </c>
      <c r="Y350" s="200">
        <f>(AE350*BU350)/100</f>
        <v>6.3692307692307688</v>
      </c>
      <c r="Z350" s="198"/>
      <c r="AA350" s="200"/>
      <c r="AB350" s="198"/>
      <c r="AC350" s="378">
        <f t="shared" si="5"/>
        <v>35.777777777777779</v>
      </c>
      <c r="AE350" s="176">
        <f>(M350/U350)*((100-CC350)/(100-9))*100</f>
        <v>39.316239316239319</v>
      </c>
      <c r="AF350" s="198">
        <v>41822</v>
      </c>
      <c r="AG350" s="176">
        <v>4.7</v>
      </c>
      <c r="AH350" s="196">
        <v>41927</v>
      </c>
      <c r="AI350" s="176">
        <v>140</v>
      </c>
      <c r="AM350" s="176">
        <v>89</v>
      </c>
      <c r="BG350" s="201">
        <v>0</v>
      </c>
      <c r="BI350" s="201">
        <v>4.7</v>
      </c>
      <c r="BK350" s="201">
        <v>1.7</v>
      </c>
      <c r="BM350" s="201">
        <v>65.8</v>
      </c>
      <c r="BO350" s="201">
        <v>20.399999999999999</v>
      </c>
      <c r="BQ350" s="201">
        <v>7.5</v>
      </c>
      <c r="BS350" s="201">
        <v>50.8</v>
      </c>
      <c r="BU350" s="201">
        <v>16.2</v>
      </c>
      <c r="BW350" s="201">
        <v>5</v>
      </c>
      <c r="BY350" s="178">
        <v>7</v>
      </c>
      <c r="CC350" s="201">
        <v>8</v>
      </c>
      <c r="CD350" s="198">
        <v>41822</v>
      </c>
      <c r="CI350" s="174" t="s">
        <v>9339</v>
      </c>
      <c r="CL350" s="174">
        <v>1</v>
      </c>
    </row>
    <row r="351" spans="1:91">
      <c r="A351" s="191" t="s">
        <v>7612</v>
      </c>
      <c r="B351" s="192" t="s">
        <v>269</v>
      </c>
      <c r="C351" s="192" t="s">
        <v>417</v>
      </c>
      <c r="D351" s="192" t="s">
        <v>8141</v>
      </c>
      <c r="E351" s="193">
        <v>243</v>
      </c>
      <c r="F351" s="193">
        <v>2</v>
      </c>
      <c r="I351" s="184"/>
      <c r="K351" s="176">
        <v>7</v>
      </c>
      <c r="M351" s="197">
        <v>2.0499999999999998</v>
      </c>
      <c r="N351" s="198">
        <v>41822</v>
      </c>
      <c r="O351" s="179"/>
      <c r="S351" s="176">
        <f>(AE351*BS351)/100</f>
        <v>6.3517460317460301</v>
      </c>
      <c r="T351" s="198"/>
      <c r="U351" s="176">
        <v>16.2</v>
      </c>
      <c r="Y351" s="200">
        <f>(AE351*BU351)/100</f>
        <v>2.4079365079365074</v>
      </c>
      <c r="Z351" s="198"/>
      <c r="AA351" s="200"/>
      <c r="AB351" s="198"/>
      <c r="AC351" s="378">
        <f t="shared" si="5"/>
        <v>11.844444444444445</v>
      </c>
      <c r="AE351" s="176">
        <f>(M351/U351)*((100-CC351)/(100-9))*100</f>
        <v>13.015873015873014</v>
      </c>
      <c r="AF351" s="198">
        <v>41822</v>
      </c>
      <c r="AG351" s="176">
        <v>4.9000000000000004</v>
      </c>
      <c r="AH351" s="196">
        <v>41927</v>
      </c>
      <c r="AI351" s="176">
        <v>140</v>
      </c>
      <c r="AM351" s="176">
        <v>86</v>
      </c>
      <c r="BG351" s="201">
        <v>34.799999999999997</v>
      </c>
      <c r="BI351" s="201">
        <v>4</v>
      </c>
      <c r="BK351" s="201">
        <v>1.1000000000000001</v>
      </c>
      <c r="BM351" s="201">
        <v>36.200000000000003</v>
      </c>
      <c r="BO351" s="201">
        <v>16.100000000000001</v>
      </c>
      <c r="BQ351" s="201">
        <v>9.3000000000000007</v>
      </c>
      <c r="BS351" s="201">
        <v>48.8</v>
      </c>
      <c r="BU351" s="201">
        <v>18.5</v>
      </c>
      <c r="BW351" s="201">
        <v>60.8</v>
      </c>
      <c r="BY351" s="178">
        <v>6.5999999999999943</v>
      </c>
      <c r="CC351" s="201">
        <v>6.4</v>
      </c>
      <c r="CD351" s="198">
        <v>41822</v>
      </c>
      <c r="CI351" s="174" t="s">
        <v>9351</v>
      </c>
      <c r="CL351" s="174">
        <v>5</v>
      </c>
    </row>
    <row r="352" spans="1:91">
      <c r="A352" s="202" t="s">
        <v>7653</v>
      </c>
      <c r="B352" s="203" t="s">
        <v>269</v>
      </c>
      <c r="C352" s="203" t="s">
        <v>417</v>
      </c>
      <c r="D352" s="203" t="s">
        <v>8305</v>
      </c>
      <c r="E352" s="204">
        <v>243</v>
      </c>
      <c r="F352" s="204">
        <v>3</v>
      </c>
      <c r="G352" s="204"/>
      <c r="H352" s="204"/>
      <c r="I352" s="206"/>
      <c r="J352" s="206"/>
      <c r="K352" s="177">
        <v>9</v>
      </c>
      <c r="L352" s="207"/>
      <c r="M352" s="208">
        <v>0.7</v>
      </c>
      <c r="N352" s="209">
        <v>41822</v>
      </c>
      <c r="O352" s="183"/>
      <c r="P352" s="210"/>
      <c r="Q352" s="183"/>
      <c r="R352" s="210"/>
      <c r="S352" s="177">
        <f>(AE352*BS352)/100</f>
        <v>2.0377777777777775</v>
      </c>
      <c r="T352" s="209"/>
      <c r="U352" s="177">
        <v>16.2</v>
      </c>
      <c r="V352" s="210"/>
      <c r="W352" s="183"/>
      <c r="X352" s="210"/>
      <c r="Y352" s="213">
        <f>(AE352*BU352)/100</f>
        <v>0.86649097815764475</v>
      </c>
      <c r="Z352" s="209"/>
      <c r="AA352" s="213"/>
      <c r="AB352" s="209"/>
      <c r="AC352" s="378">
        <f t="shared" si="5"/>
        <v>3.9623456790123455</v>
      </c>
      <c r="AD352" s="207"/>
      <c r="AE352" s="177">
        <f>(M352/U352)*((100-CC352)/(100-9))*100</f>
        <v>4.3542260208926873</v>
      </c>
      <c r="AF352" s="209">
        <v>41822</v>
      </c>
      <c r="AG352" s="177">
        <v>4.8</v>
      </c>
      <c r="AH352" s="207">
        <v>41927</v>
      </c>
      <c r="AI352" s="177">
        <v>50</v>
      </c>
      <c r="AJ352" s="207"/>
      <c r="AK352" s="183"/>
      <c r="AL352" s="210"/>
      <c r="AM352" s="177">
        <v>87</v>
      </c>
      <c r="AN352" s="210"/>
      <c r="AO352" s="183"/>
      <c r="AP352" s="183"/>
      <c r="AQ352" s="183"/>
      <c r="AR352" s="183"/>
      <c r="AS352" s="183"/>
      <c r="AT352" s="183"/>
      <c r="AU352" s="183"/>
      <c r="AV352" s="183"/>
      <c r="AW352" s="183"/>
      <c r="AX352" s="183"/>
      <c r="AY352" s="183"/>
      <c r="AZ352" s="183"/>
      <c r="BA352" s="183"/>
      <c r="BB352" s="183"/>
      <c r="BC352" s="183"/>
      <c r="BD352" s="183"/>
      <c r="BE352" s="182"/>
      <c r="BF352" s="182"/>
      <c r="BG352" s="211">
        <v>13.4</v>
      </c>
      <c r="BH352" s="181"/>
      <c r="BI352" s="211">
        <v>4.4000000000000004</v>
      </c>
      <c r="BJ352" s="181"/>
      <c r="BK352" s="211">
        <v>1.2</v>
      </c>
      <c r="BL352" s="181"/>
      <c r="BM352" s="211">
        <v>53.1</v>
      </c>
      <c r="BN352" s="181"/>
      <c r="BO352" s="211">
        <v>18</v>
      </c>
      <c r="BP352" s="181"/>
      <c r="BQ352" s="211">
        <v>9.8000000000000007</v>
      </c>
      <c r="BR352" s="181"/>
      <c r="BS352" s="211">
        <v>46.8</v>
      </c>
      <c r="BT352" s="181"/>
      <c r="BU352" s="211">
        <v>19.899999999999999</v>
      </c>
      <c r="BV352" s="181"/>
      <c r="BW352" s="211">
        <v>54.2</v>
      </c>
      <c r="BX352" s="181"/>
      <c r="BY352" s="181">
        <v>7.2000000000000028</v>
      </c>
      <c r="BZ352" s="181"/>
      <c r="CA352" s="182"/>
      <c r="CB352" s="182"/>
      <c r="CC352" s="211">
        <v>8.3000000000000007</v>
      </c>
      <c r="CD352" s="209">
        <v>41822</v>
      </c>
      <c r="CE352" s="181"/>
      <c r="CF352" s="181"/>
      <c r="CG352" s="182"/>
      <c r="CH352" s="182"/>
      <c r="CI352" s="175" t="s">
        <v>9373</v>
      </c>
      <c r="CJ352" s="181"/>
      <c r="CK352" s="181"/>
      <c r="CL352" s="175">
        <v>8</v>
      </c>
      <c r="CM352" s="175"/>
    </row>
    <row r="353" spans="1:91">
      <c r="A353" s="191" t="s">
        <v>7796</v>
      </c>
      <c r="B353" s="192" t="s">
        <v>269</v>
      </c>
      <c r="C353" s="192" t="s">
        <v>417</v>
      </c>
      <c r="D353" s="192" t="s">
        <v>8877</v>
      </c>
      <c r="E353" s="193">
        <v>243</v>
      </c>
      <c r="F353" s="193">
        <v>4</v>
      </c>
      <c r="K353" s="176">
        <v>8</v>
      </c>
      <c r="M353" s="197">
        <v>4.5</v>
      </c>
      <c r="N353" s="198">
        <v>41822</v>
      </c>
      <c r="S353" s="176">
        <f>(AE353*BS353)/100</f>
        <v>14.422252747252747</v>
      </c>
      <c r="T353" s="198"/>
      <c r="U353" s="176">
        <v>16.2</v>
      </c>
      <c r="Y353" s="200">
        <f>(AE353*BU353)/100</f>
        <v>4.8355311355311352</v>
      </c>
      <c r="Z353" s="198"/>
      <c r="AA353" s="200"/>
      <c r="AB353" s="198"/>
      <c r="AC353" s="378">
        <f t="shared" si="5"/>
        <v>25.583333333333332</v>
      </c>
      <c r="AE353" s="176">
        <f>(M353/U353)*((100-CC353)/(100-9))*100</f>
        <v>28.113553113553113</v>
      </c>
      <c r="AF353" s="198">
        <v>41822</v>
      </c>
      <c r="AG353" s="176">
        <v>5</v>
      </c>
      <c r="AH353" s="196">
        <v>41927</v>
      </c>
      <c r="AI353" s="176">
        <v>140</v>
      </c>
      <c r="AM353" s="176">
        <v>80</v>
      </c>
      <c r="BG353" s="201">
        <v>0.6</v>
      </c>
      <c r="BI353" s="201">
        <v>4.3</v>
      </c>
      <c r="BK353" s="201">
        <v>1.6</v>
      </c>
      <c r="BM353" s="201">
        <v>65.099999999999994</v>
      </c>
      <c r="BO353" s="201">
        <v>18</v>
      </c>
      <c r="BQ353" s="201">
        <v>8.3000000000000007</v>
      </c>
      <c r="BS353" s="201">
        <v>51.3</v>
      </c>
      <c r="BU353" s="201">
        <v>17.2</v>
      </c>
      <c r="BW353" s="201">
        <v>14.1</v>
      </c>
      <c r="BY353" s="178">
        <v>6.7999999999999972</v>
      </c>
      <c r="CC353" s="201">
        <v>7.9</v>
      </c>
      <c r="CD353" s="198">
        <v>41822</v>
      </c>
      <c r="CI353" s="174" t="s">
        <v>9362</v>
      </c>
      <c r="CL353" s="174">
        <v>3</v>
      </c>
    </row>
    <row r="354" spans="1:91">
      <c r="A354" s="191" t="s">
        <v>7806</v>
      </c>
      <c r="B354" s="192" t="s">
        <v>269</v>
      </c>
      <c r="C354" s="192" t="s">
        <v>417</v>
      </c>
      <c r="D354" s="192" t="s">
        <v>8917</v>
      </c>
      <c r="E354" s="193">
        <v>243</v>
      </c>
      <c r="F354" s="193">
        <v>5</v>
      </c>
      <c r="K354" s="176">
        <v>9</v>
      </c>
      <c r="M354" s="197">
        <v>3.95</v>
      </c>
      <c r="N354" s="198">
        <v>41822</v>
      </c>
      <c r="S354" s="176">
        <f>(AE354*BS354)/100</f>
        <v>13.256695156695159</v>
      </c>
      <c r="T354" s="198"/>
      <c r="U354" s="176">
        <v>16.2</v>
      </c>
      <c r="Y354" s="200">
        <f>(AE354*BU354)/100</f>
        <v>3.8623829873829876</v>
      </c>
      <c r="Z354" s="198"/>
      <c r="AA354" s="200"/>
      <c r="AB354" s="198"/>
      <c r="AC354" s="378">
        <f t="shared" si="5"/>
        <v>22.675925925925927</v>
      </c>
      <c r="AE354" s="176">
        <f>(M354/U354)*((100-CC354)/(100-9))*100</f>
        <v>24.91859991859992</v>
      </c>
      <c r="AF354" s="198">
        <v>41822</v>
      </c>
      <c r="AG354" s="176">
        <v>5</v>
      </c>
      <c r="AH354" s="196">
        <v>41927</v>
      </c>
      <c r="AI354" s="176">
        <v>135</v>
      </c>
      <c r="AM354" s="176">
        <v>80</v>
      </c>
      <c r="BG354" s="201">
        <v>0</v>
      </c>
      <c r="BI354" s="201">
        <v>4.5999999999999996</v>
      </c>
      <c r="BK354" s="201">
        <v>1.6</v>
      </c>
      <c r="BM354" s="201">
        <v>65.5</v>
      </c>
      <c r="BO354" s="201">
        <v>19.399999999999999</v>
      </c>
      <c r="BQ354" s="201">
        <v>8.6999999999999993</v>
      </c>
      <c r="BS354" s="201">
        <v>53.2</v>
      </c>
      <c r="BU354" s="201">
        <v>15.5</v>
      </c>
      <c r="BW354" s="201">
        <v>6.1</v>
      </c>
      <c r="BY354" s="178">
        <v>6.7999999999999972</v>
      </c>
      <c r="CC354" s="201">
        <v>7</v>
      </c>
      <c r="CD354" s="198">
        <v>41822</v>
      </c>
      <c r="CI354" s="174" t="s">
        <v>9347</v>
      </c>
      <c r="CL354" s="174">
        <v>1</v>
      </c>
    </row>
    <row r="355" spans="1:91">
      <c r="A355" s="191" t="s">
        <v>7805</v>
      </c>
      <c r="B355" s="192" t="s">
        <v>269</v>
      </c>
      <c r="C355" s="192" t="s">
        <v>417</v>
      </c>
      <c r="D355" s="192" t="s">
        <v>8913</v>
      </c>
      <c r="E355" s="193">
        <v>243</v>
      </c>
      <c r="F355" s="193">
        <v>6</v>
      </c>
      <c r="K355" s="176">
        <v>8</v>
      </c>
      <c r="M355" s="197">
        <v>3.8</v>
      </c>
      <c r="N355" s="198">
        <v>41822</v>
      </c>
      <c r="S355" s="176">
        <f>(AE355*BS355)/100</f>
        <v>12.212739112739113</v>
      </c>
      <c r="T355" s="198"/>
      <c r="U355" s="176">
        <v>16.2</v>
      </c>
      <c r="Y355" s="200">
        <f>(AE355*BU355)/100</f>
        <v>3.8314475647808983</v>
      </c>
      <c r="Z355" s="198"/>
      <c r="AA355" s="200"/>
      <c r="AB355" s="198"/>
      <c r="AC355" s="378">
        <f t="shared" si="5"/>
        <v>21.791358024691359</v>
      </c>
      <c r="AE355" s="176">
        <f>(M355/U355)*((100-CC355)/(100-9))*100</f>
        <v>23.946547279880615</v>
      </c>
      <c r="AF355" s="198">
        <v>41822</v>
      </c>
      <c r="AG355" s="176">
        <v>5</v>
      </c>
      <c r="AH355" s="196">
        <v>41927</v>
      </c>
      <c r="AI355" s="176">
        <v>145</v>
      </c>
      <c r="AM355" s="176">
        <v>77</v>
      </c>
      <c r="BG355" s="201">
        <v>1.8</v>
      </c>
      <c r="BI355" s="201">
        <v>4.7</v>
      </c>
      <c r="BK355" s="201">
        <v>1.7</v>
      </c>
      <c r="BM355" s="201">
        <v>63</v>
      </c>
      <c r="BO355" s="201">
        <v>19.899999999999999</v>
      </c>
      <c r="BQ355" s="201">
        <v>8.4</v>
      </c>
      <c r="BS355" s="201">
        <v>51</v>
      </c>
      <c r="BU355" s="201">
        <v>16</v>
      </c>
      <c r="BW355" s="201">
        <v>8.6999999999999993</v>
      </c>
      <c r="BY355" s="178">
        <v>6.9000000000000057</v>
      </c>
      <c r="CC355" s="201">
        <v>7.1</v>
      </c>
      <c r="CD355" s="198">
        <v>41822</v>
      </c>
      <c r="CI355" s="174" t="s">
        <v>9350</v>
      </c>
      <c r="CL355" s="174">
        <v>1</v>
      </c>
    </row>
    <row r="356" spans="1:91">
      <c r="A356" s="191" t="s">
        <v>7679</v>
      </c>
      <c r="B356" s="192" t="s">
        <v>271</v>
      </c>
      <c r="C356" s="192" t="s">
        <v>8998</v>
      </c>
      <c r="D356" s="192" t="s">
        <v>8411</v>
      </c>
      <c r="E356" s="193">
        <v>243</v>
      </c>
      <c r="F356" s="193">
        <v>7</v>
      </c>
      <c r="K356" s="176">
        <v>8</v>
      </c>
      <c r="M356" s="197">
        <v>6.45</v>
      </c>
      <c r="N356" s="198">
        <v>41822</v>
      </c>
      <c r="S356" s="176">
        <f>(AE356*BS356)/100</f>
        <v>21.016096866096873</v>
      </c>
      <c r="T356" s="198"/>
      <c r="U356" s="176">
        <v>16.2</v>
      </c>
      <c r="Y356" s="200">
        <f>(AE356*BU356)/100</f>
        <v>6.8271469271469289</v>
      </c>
      <c r="Z356" s="198"/>
      <c r="AA356" s="200"/>
      <c r="AB356" s="198"/>
      <c r="AC356" s="378">
        <f t="shared" si="5"/>
        <v>37.425925925925931</v>
      </c>
      <c r="AE356" s="176">
        <f>(M356/U356)*((100-CC356)/(100-9))*100</f>
        <v>41.127391127391135</v>
      </c>
      <c r="AF356" s="198">
        <v>41822</v>
      </c>
      <c r="AG356" s="176">
        <v>4.7</v>
      </c>
      <c r="AH356" s="196">
        <v>41927</v>
      </c>
      <c r="AI356" s="176">
        <v>150</v>
      </c>
      <c r="AM356" s="176">
        <v>87</v>
      </c>
      <c r="BG356" s="201">
        <v>0</v>
      </c>
      <c r="BI356" s="201">
        <v>5</v>
      </c>
      <c r="BK356" s="201">
        <v>1.6</v>
      </c>
      <c r="BM356" s="201">
        <v>63.9</v>
      </c>
      <c r="BO356" s="201">
        <v>22.9</v>
      </c>
      <c r="BQ356" s="201">
        <v>7.8</v>
      </c>
      <c r="BS356" s="201">
        <v>51.1</v>
      </c>
      <c r="BU356" s="201">
        <v>16.600000000000001</v>
      </c>
      <c r="BW356" s="201">
        <v>15.8</v>
      </c>
      <c r="BY356" s="178">
        <v>6.2000000000000028</v>
      </c>
      <c r="CC356" s="201">
        <v>6</v>
      </c>
      <c r="CD356" s="198">
        <v>41822</v>
      </c>
      <c r="CI356" s="174" t="s">
        <v>9355</v>
      </c>
      <c r="CL356" s="174">
        <v>1</v>
      </c>
    </row>
    <row r="357" spans="1:91">
      <c r="A357" s="191" t="s">
        <v>7785</v>
      </c>
      <c r="B357" s="192" t="s">
        <v>271</v>
      </c>
      <c r="C357" s="192" t="s">
        <v>8998</v>
      </c>
      <c r="D357" s="192" t="s">
        <v>8827</v>
      </c>
      <c r="E357" s="193">
        <v>243</v>
      </c>
      <c r="F357" s="193">
        <v>8</v>
      </c>
      <c r="K357" s="176">
        <v>7</v>
      </c>
      <c r="M357" s="197">
        <v>5.55</v>
      </c>
      <c r="N357" s="198">
        <v>41822</v>
      </c>
      <c r="S357" s="176">
        <f>(AE357*BS357)/100</f>
        <v>18.626420431420428</v>
      </c>
      <c r="T357" s="198"/>
      <c r="U357" s="176">
        <v>16.2</v>
      </c>
      <c r="Y357" s="200">
        <f>(AE357*BU357)/100</f>
        <v>5.5914875864875855</v>
      </c>
      <c r="Z357" s="198"/>
      <c r="AA357" s="200"/>
      <c r="AB357" s="198"/>
      <c r="AC357" s="378">
        <f t="shared" si="5"/>
        <v>32.409259259259258</v>
      </c>
      <c r="AE357" s="176">
        <f>(M357/U357)*((100-CC357)/(100-9))*100</f>
        <v>35.61457061457061</v>
      </c>
      <c r="AF357" s="198">
        <v>41822</v>
      </c>
      <c r="AG357" s="176">
        <v>5</v>
      </c>
      <c r="AH357" s="196">
        <v>41927</v>
      </c>
      <c r="AI357" s="176">
        <v>135</v>
      </c>
      <c r="AM357" s="176">
        <v>86</v>
      </c>
      <c r="BG357" s="201">
        <v>0</v>
      </c>
      <c r="BI357" s="201">
        <v>4.8</v>
      </c>
      <c r="BK357" s="201">
        <v>1.7</v>
      </c>
      <c r="BM357" s="201">
        <v>69.099999999999994</v>
      </c>
      <c r="BO357" s="201">
        <v>21.3</v>
      </c>
      <c r="BQ357" s="201">
        <v>5.7</v>
      </c>
      <c r="BS357" s="201">
        <v>52.3</v>
      </c>
      <c r="BU357" s="201">
        <v>15.7</v>
      </c>
      <c r="BW357" s="201">
        <v>9.9</v>
      </c>
      <c r="BY357" s="178">
        <v>5.7000000000000028</v>
      </c>
      <c r="CC357" s="201">
        <v>5.4</v>
      </c>
      <c r="CD357" s="198">
        <v>41822</v>
      </c>
      <c r="CI357" s="174" t="s">
        <v>9355</v>
      </c>
      <c r="CL357" s="174">
        <v>2</v>
      </c>
    </row>
    <row r="358" spans="1:91">
      <c r="A358" s="191" t="s">
        <v>7634</v>
      </c>
      <c r="B358" s="192" t="s">
        <v>271</v>
      </c>
      <c r="C358" s="192" t="s">
        <v>8998</v>
      </c>
      <c r="D358" s="192" t="s">
        <v>8231</v>
      </c>
      <c r="E358" s="193">
        <v>243</v>
      </c>
      <c r="F358" s="193">
        <v>9</v>
      </c>
      <c r="K358" s="176">
        <v>9</v>
      </c>
      <c r="M358" s="197">
        <v>2.5499999999999998</v>
      </c>
      <c r="N358" s="198">
        <v>41822</v>
      </c>
      <c r="S358" s="176">
        <f>(AE358*BS358)/100</f>
        <v>7.9750030525030544</v>
      </c>
      <c r="T358" s="198"/>
      <c r="U358" s="176">
        <v>16.2</v>
      </c>
      <c r="Y358" s="200">
        <f>(AE358*BU358)/100</f>
        <v>2.9398687423687431</v>
      </c>
      <c r="Z358" s="198"/>
      <c r="AA358" s="200"/>
      <c r="AB358" s="198"/>
      <c r="AC358" s="378">
        <f t="shared" si="5"/>
        <v>14.780555555555557</v>
      </c>
      <c r="AE358" s="176">
        <f>(M358/U358)*((100-CC358)/(100-9))*100</f>
        <v>16.242368742368747</v>
      </c>
      <c r="AF358" s="198">
        <v>41822</v>
      </c>
      <c r="AG358" s="176">
        <v>4.4000000000000004</v>
      </c>
      <c r="AH358" s="196">
        <v>41927</v>
      </c>
      <c r="AI358" s="176">
        <v>90</v>
      </c>
      <c r="AM358" s="176">
        <v>73</v>
      </c>
      <c r="BG358" s="201">
        <v>34.6</v>
      </c>
      <c r="BI358" s="201">
        <v>4.4000000000000004</v>
      </c>
      <c r="BK358" s="201">
        <v>1</v>
      </c>
      <c r="BM358" s="201">
        <v>41.6</v>
      </c>
      <c r="BO358" s="201">
        <v>17.3</v>
      </c>
      <c r="BQ358" s="201">
        <v>9.6</v>
      </c>
      <c r="BS358" s="201">
        <v>49.1</v>
      </c>
      <c r="BU358" s="201">
        <v>18.100000000000001</v>
      </c>
      <c r="BW358" s="201">
        <v>46.1</v>
      </c>
      <c r="BY358" s="178">
        <v>6.2000000000000028</v>
      </c>
      <c r="CC358" s="201">
        <v>6.1</v>
      </c>
      <c r="CD358" s="198">
        <v>41822</v>
      </c>
      <c r="CI358" s="174" t="s">
        <v>9349</v>
      </c>
      <c r="CL358" s="174">
        <v>7</v>
      </c>
    </row>
    <row r="359" spans="1:91">
      <c r="A359" s="191" t="s">
        <v>7801</v>
      </c>
      <c r="B359" s="192" t="s">
        <v>271</v>
      </c>
      <c r="C359" s="192" t="s">
        <v>8998</v>
      </c>
      <c r="D359" s="192" t="s">
        <v>8899</v>
      </c>
      <c r="E359" s="193">
        <v>243</v>
      </c>
      <c r="F359" s="193">
        <v>10</v>
      </c>
      <c r="K359" s="176">
        <v>8</v>
      </c>
      <c r="M359" s="197">
        <v>6.75</v>
      </c>
      <c r="N359" s="198">
        <v>41822</v>
      </c>
      <c r="S359" s="176">
        <f>(AE359*BS359)/100</f>
        <v>21.382783882783887</v>
      </c>
      <c r="T359" s="198"/>
      <c r="U359" s="176">
        <v>16.2</v>
      </c>
      <c r="Y359" s="200">
        <f>(AE359*BU359)/100</f>
        <v>6.9707875457875472</v>
      </c>
      <c r="Z359" s="198"/>
      <c r="AA359" s="200"/>
      <c r="AB359" s="198"/>
      <c r="AC359" s="378">
        <f t="shared" si="5"/>
        <v>38.916666666666671</v>
      </c>
      <c r="AE359" s="176">
        <f>(M359/U359)*((100-CC359)/(100-9))*100</f>
        <v>42.765567765567774</v>
      </c>
      <c r="AF359" s="198">
        <v>41822</v>
      </c>
      <c r="AG359" s="176">
        <v>4.3</v>
      </c>
      <c r="AH359" s="196">
        <v>41927</v>
      </c>
      <c r="AI359" s="176">
        <v>140</v>
      </c>
      <c r="AM359" s="176">
        <v>83</v>
      </c>
      <c r="BG359" s="201">
        <v>0</v>
      </c>
      <c r="BI359" s="201">
        <v>4.5</v>
      </c>
      <c r="BK359" s="201">
        <v>1.8</v>
      </c>
      <c r="BM359" s="201">
        <v>63.8</v>
      </c>
      <c r="BO359" s="201">
        <v>21.2</v>
      </c>
      <c r="BQ359" s="201">
        <v>6.4</v>
      </c>
      <c r="BS359" s="201">
        <v>50</v>
      </c>
      <c r="BU359" s="201">
        <v>16.3</v>
      </c>
      <c r="BW359" s="201">
        <v>7.7</v>
      </c>
      <c r="BY359" s="178">
        <v>6.4000000000000057</v>
      </c>
      <c r="CC359" s="201">
        <v>6.6</v>
      </c>
      <c r="CD359" s="198">
        <v>41822</v>
      </c>
      <c r="CI359" s="174" t="s">
        <v>9358</v>
      </c>
      <c r="CL359" s="174">
        <v>2</v>
      </c>
    </row>
    <row r="360" spans="1:91">
      <c r="A360" s="191" t="s">
        <v>7898</v>
      </c>
      <c r="B360" s="192" t="s">
        <v>271</v>
      </c>
      <c r="C360" s="192" t="s">
        <v>8998</v>
      </c>
      <c r="D360" s="192" t="s">
        <v>8991</v>
      </c>
      <c r="E360" s="193">
        <v>243</v>
      </c>
      <c r="F360" s="193">
        <v>11</v>
      </c>
      <c r="K360" s="176">
        <v>9</v>
      </c>
      <c r="M360" s="197">
        <v>7.2</v>
      </c>
      <c r="N360" s="198">
        <v>41822</v>
      </c>
      <c r="S360" s="176">
        <f>(AE360*BS360)/100</f>
        <v>22.797753357753358</v>
      </c>
      <c r="T360" s="198"/>
      <c r="U360" s="176">
        <v>16.2</v>
      </c>
      <c r="Y360" s="200">
        <f>(AE360*BU360)/100</f>
        <v>7.8409768009768017</v>
      </c>
      <c r="Z360" s="198"/>
      <c r="AA360" s="200"/>
      <c r="AB360" s="198"/>
      <c r="AC360" s="378">
        <f t="shared" si="5"/>
        <v>41.244444444444447</v>
      </c>
      <c r="AE360" s="176">
        <f>(M360/U360)*((100-CC360)/(100-9))*100</f>
        <v>45.323565323565326</v>
      </c>
      <c r="AF360" s="198">
        <v>41822</v>
      </c>
      <c r="AG360" s="176">
        <v>3.9</v>
      </c>
      <c r="AH360" s="196">
        <v>41927</v>
      </c>
      <c r="AI360" s="176">
        <v>175</v>
      </c>
      <c r="AM360" s="176">
        <v>80</v>
      </c>
      <c r="BG360" s="201">
        <v>0</v>
      </c>
      <c r="BI360" s="201">
        <v>4.5999999999999996</v>
      </c>
      <c r="BK360" s="201">
        <v>1.7</v>
      </c>
      <c r="BM360" s="201">
        <v>64</v>
      </c>
      <c r="BO360" s="201">
        <v>19.5</v>
      </c>
      <c r="BQ360" s="201">
        <v>8.5</v>
      </c>
      <c r="BS360" s="201">
        <v>50.3</v>
      </c>
      <c r="BU360" s="201">
        <v>17.3</v>
      </c>
      <c r="BW360" s="201">
        <v>11.4</v>
      </c>
      <c r="BY360" s="178">
        <v>6.5999999999999943</v>
      </c>
      <c r="CC360" s="201">
        <v>7.2</v>
      </c>
      <c r="CD360" s="198">
        <v>41822</v>
      </c>
      <c r="CI360" s="174" t="s">
        <v>9346</v>
      </c>
      <c r="CL360" s="174" t="s">
        <v>9001</v>
      </c>
    </row>
    <row r="361" spans="1:91">
      <c r="A361" s="191" t="s">
        <v>7809</v>
      </c>
      <c r="B361" s="192" t="s">
        <v>271</v>
      </c>
      <c r="C361" s="192" t="s">
        <v>8998</v>
      </c>
      <c r="D361" s="192" t="s">
        <v>8931</v>
      </c>
      <c r="E361" s="193">
        <v>243</v>
      </c>
      <c r="F361" s="193">
        <v>12</v>
      </c>
      <c r="K361" s="176">
        <v>7</v>
      </c>
      <c r="M361" s="197">
        <v>5.75</v>
      </c>
      <c r="N361" s="198">
        <v>41822</v>
      </c>
      <c r="S361" s="176">
        <f>(AE361*BS361)/100</f>
        <v>18.473015873015871</v>
      </c>
      <c r="T361" s="198"/>
      <c r="U361" s="176">
        <v>16.2</v>
      </c>
      <c r="Y361" s="200">
        <f>(AE361*BU361)/100</f>
        <v>6.0968253968253965</v>
      </c>
      <c r="Z361" s="198"/>
      <c r="AA361" s="200"/>
      <c r="AB361" s="198"/>
      <c r="AC361" s="378">
        <f t="shared" si="5"/>
        <v>33.222222222222221</v>
      </c>
      <c r="AE361" s="176">
        <f>(M361/U361)*((100-CC361)/(100-9))*100</f>
        <v>36.507936507936506</v>
      </c>
      <c r="AF361" s="198">
        <v>41822</v>
      </c>
      <c r="AG361" s="176">
        <v>4</v>
      </c>
      <c r="AH361" s="196">
        <v>41927</v>
      </c>
      <c r="AI361" s="176">
        <v>145</v>
      </c>
      <c r="AM361" s="176">
        <v>80</v>
      </c>
      <c r="BG361" s="201">
        <v>0</v>
      </c>
      <c r="BI361" s="201">
        <v>4.8</v>
      </c>
      <c r="BK361" s="201">
        <v>1.6</v>
      </c>
      <c r="BM361" s="201">
        <v>62.1</v>
      </c>
      <c r="BO361" s="201">
        <v>21.5</v>
      </c>
      <c r="BQ361" s="201">
        <v>8.1999999999999993</v>
      </c>
      <c r="BS361" s="201">
        <v>50.6</v>
      </c>
      <c r="BU361" s="201">
        <v>16.7</v>
      </c>
      <c r="BW361" s="201">
        <v>11.7</v>
      </c>
      <c r="BY361" s="178">
        <v>6.4000000000000057</v>
      </c>
      <c r="CC361" s="201">
        <v>6.4</v>
      </c>
      <c r="CD361" s="198">
        <v>41822</v>
      </c>
      <c r="CI361" s="174" t="s">
        <v>9347</v>
      </c>
      <c r="CL361" s="174">
        <v>1</v>
      </c>
    </row>
    <row r="362" spans="1:91">
      <c r="A362" s="191" t="s">
        <v>7701</v>
      </c>
      <c r="B362" s="192" t="s">
        <v>269</v>
      </c>
      <c r="C362" s="192" t="s">
        <v>417</v>
      </c>
      <c r="D362" s="192" t="s">
        <v>8497</v>
      </c>
      <c r="E362" s="193">
        <v>244</v>
      </c>
      <c r="F362" s="193">
        <v>1</v>
      </c>
      <c r="K362" s="176">
        <v>8</v>
      </c>
      <c r="M362" s="197">
        <v>4.95</v>
      </c>
      <c r="N362" s="198">
        <v>41822</v>
      </c>
      <c r="S362" s="176">
        <f>(AE362*BS362)/100</f>
        <v>16.012789987789986</v>
      </c>
      <c r="T362" s="198"/>
      <c r="U362" s="176">
        <v>16.2</v>
      </c>
      <c r="Y362" s="200">
        <f>(AE362*BU362)/100</f>
        <v>5.1614041514041515</v>
      </c>
      <c r="Z362" s="198"/>
      <c r="AA362" s="200"/>
      <c r="AB362" s="198"/>
      <c r="AC362" s="378">
        <f t="shared" si="5"/>
        <v>28.294444444444444</v>
      </c>
      <c r="AE362" s="176">
        <f>(M362/U362)*((100-CC362)/(100-9))*100</f>
        <v>31.092796092796092</v>
      </c>
      <c r="AF362" s="198">
        <v>41822</v>
      </c>
      <c r="AG362" s="176">
        <v>4.5</v>
      </c>
      <c r="AH362" s="196">
        <v>41927</v>
      </c>
      <c r="AI362" s="176">
        <v>135</v>
      </c>
      <c r="AM362" s="176">
        <v>82</v>
      </c>
      <c r="BG362" s="201">
        <v>0</v>
      </c>
      <c r="BI362" s="201">
        <v>4.5999999999999996</v>
      </c>
      <c r="BK362" s="201">
        <v>1.5</v>
      </c>
      <c r="BM362" s="201">
        <v>64.400000000000006</v>
      </c>
      <c r="BO362" s="201">
        <v>19.5</v>
      </c>
      <c r="BQ362" s="201">
        <v>8.4</v>
      </c>
      <c r="BS362" s="201">
        <v>51.5</v>
      </c>
      <c r="BU362" s="201">
        <v>16.600000000000001</v>
      </c>
      <c r="BW362" s="201">
        <v>12.7</v>
      </c>
      <c r="BY362" s="178">
        <v>7</v>
      </c>
      <c r="CC362" s="201">
        <v>7.4</v>
      </c>
      <c r="CD362" s="198">
        <v>41822</v>
      </c>
      <c r="CI362" s="174" t="s">
        <v>9335</v>
      </c>
      <c r="CL362" s="174">
        <v>1</v>
      </c>
    </row>
    <row r="363" spans="1:91">
      <c r="A363" s="191" t="s">
        <v>7677</v>
      </c>
      <c r="B363" s="192" t="s">
        <v>269</v>
      </c>
      <c r="C363" s="192" t="s">
        <v>417</v>
      </c>
      <c r="D363" s="192" t="s">
        <v>8401</v>
      </c>
      <c r="E363" s="193">
        <v>244</v>
      </c>
      <c r="F363" s="193">
        <v>2</v>
      </c>
      <c r="K363" s="176">
        <v>7</v>
      </c>
      <c r="M363" s="197">
        <v>3.5</v>
      </c>
      <c r="N363" s="198">
        <v>41822</v>
      </c>
      <c r="S363" s="176">
        <f>(AE363*BS363)/100</f>
        <v>11.341310541310541</v>
      </c>
      <c r="T363" s="198"/>
      <c r="U363" s="176">
        <v>16.2</v>
      </c>
      <c r="Y363" s="200">
        <f>(AE363*BU363)/100</f>
        <v>3.7213675213675215</v>
      </c>
      <c r="Z363" s="198"/>
      <c r="AA363" s="200"/>
      <c r="AB363" s="198"/>
      <c r="AC363" s="378">
        <f t="shared" si="5"/>
        <v>20.157407407407408</v>
      </c>
      <c r="AE363" s="176">
        <f>(M363/U363)*((100-CC363)/(100-9))*100</f>
        <v>22.150997150997149</v>
      </c>
      <c r="AF363" s="198">
        <v>41822</v>
      </c>
      <c r="AG363" s="176">
        <v>5.5</v>
      </c>
      <c r="AH363" s="196">
        <v>41927</v>
      </c>
      <c r="AI363" s="176">
        <v>100</v>
      </c>
      <c r="AM363" s="176">
        <v>85</v>
      </c>
      <c r="BG363" s="201">
        <v>1.2</v>
      </c>
      <c r="BI363" s="201">
        <v>4.7</v>
      </c>
      <c r="BK363" s="201">
        <v>1.5</v>
      </c>
      <c r="BM363" s="201">
        <v>61.3</v>
      </c>
      <c r="BO363" s="201">
        <v>20.8</v>
      </c>
      <c r="BQ363" s="201">
        <v>9</v>
      </c>
      <c r="BS363" s="201">
        <v>51.2</v>
      </c>
      <c r="BU363" s="201">
        <v>16.8</v>
      </c>
      <c r="BW363" s="201">
        <v>13</v>
      </c>
      <c r="BY363" s="178">
        <v>6.7000000000000028</v>
      </c>
      <c r="CC363" s="201">
        <v>6.7</v>
      </c>
      <c r="CD363" s="198">
        <v>41822</v>
      </c>
      <c r="CI363" s="174" t="s">
        <v>9364</v>
      </c>
      <c r="CL363" s="174">
        <v>1</v>
      </c>
    </row>
    <row r="364" spans="1:91">
      <c r="A364" s="191" t="s">
        <v>7781</v>
      </c>
      <c r="B364" s="192" t="s">
        <v>269</v>
      </c>
      <c r="C364" s="192" t="s">
        <v>417</v>
      </c>
      <c r="D364" s="192" t="s">
        <v>8817</v>
      </c>
      <c r="E364" s="193">
        <v>244</v>
      </c>
      <c r="F364" s="193">
        <v>3</v>
      </c>
      <c r="K364" s="176">
        <v>8</v>
      </c>
      <c r="M364" s="197">
        <v>3.6</v>
      </c>
      <c r="N364" s="198">
        <v>41822</v>
      </c>
      <c r="S364" s="176">
        <f>(AE364*BS364)/100</f>
        <v>11.158730158730158</v>
      </c>
      <c r="T364" s="198"/>
      <c r="U364" s="176">
        <v>16.2</v>
      </c>
      <c r="Y364" s="200">
        <f>(AE364*BU364)/100</f>
        <v>3.7496947496947501</v>
      </c>
      <c r="Z364" s="198"/>
      <c r="AA364" s="200"/>
      <c r="AB364" s="198"/>
      <c r="AC364" s="378">
        <f t="shared" si="5"/>
        <v>20.555555555555557</v>
      </c>
      <c r="AE364" s="176">
        <f>(M364/U364)*((100-CC364)/(100-9))*100</f>
        <v>22.58852258852259</v>
      </c>
      <c r="AF364" s="198">
        <v>41822</v>
      </c>
      <c r="AG364" s="176">
        <v>4.8</v>
      </c>
      <c r="AH364" s="196">
        <v>41927</v>
      </c>
      <c r="AI364" s="176">
        <v>140</v>
      </c>
      <c r="AM364" s="176">
        <v>86</v>
      </c>
      <c r="BG364" s="201">
        <v>3.9</v>
      </c>
      <c r="BI364" s="201">
        <v>4.5</v>
      </c>
      <c r="BK364" s="201">
        <v>1.7</v>
      </c>
      <c r="BM364" s="201">
        <v>62.5</v>
      </c>
      <c r="BO364" s="201">
        <v>20.6</v>
      </c>
      <c r="BQ364" s="201">
        <v>7.6</v>
      </c>
      <c r="BS364" s="201">
        <v>49.4</v>
      </c>
      <c r="BU364" s="201">
        <v>16.600000000000001</v>
      </c>
      <c r="BW364" s="201">
        <v>19</v>
      </c>
      <c r="BY364" s="178">
        <v>7</v>
      </c>
      <c r="CC364" s="201">
        <v>7.5</v>
      </c>
      <c r="CD364" s="198">
        <v>41822</v>
      </c>
      <c r="CI364" s="174" t="s">
        <v>9362</v>
      </c>
      <c r="CL364" s="174">
        <v>5</v>
      </c>
    </row>
    <row r="365" spans="1:91">
      <c r="A365" s="202" t="s">
        <v>7754</v>
      </c>
      <c r="B365" s="203" t="s">
        <v>269</v>
      </c>
      <c r="C365" s="203" t="s">
        <v>417</v>
      </c>
      <c r="D365" s="203" t="s">
        <v>8709</v>
      </c>
      <c r="E365" s="204">
        <v>244</v>
      </c>
      <c r="F365" s="204">
        <v>4</v>
      </c>
      <c r="G365" s="204"/>
      <c r="H365" s="204"/>
      <c r="I365" s="206"/>
      <c r="J365" s="206"/>
      <c r="K365" s="177">
        <v>8</v>
      </c>
      <c r="L365" s="207"/>
      <c r="M365" s="208">
        <v>1.6</v>
      </c>
      <c r="N365" s="209">
        <v>41822</v>
      </c>
      <c r="O365" s="183"/>
      <c r="P365" s="210"/>
      <c r="Q365" s="183"/>
      <c r="R365" s="210"/>
      <c r="S365" s="177">
        <f>(AE365*BS365)/100</f>
        <v>4.7640103106769773</v>
      </c>
      <c r="T365" s="209"/>
      <c r="U365" s="177">
        <v>16.2</v>
      </c>
      <c r="V365" s="210"/>
      <c r="W365" s="183"/>
      <c r="X365" s="210"/>
      <c r="Y365" s="213">
        <f>(AE365*BU365)/100</f>
        <v>2.0748121014787686</v>
      </c>
      <c r="Z365" s="209"/>
      <c r="AA365" s="213"/>
      <c r="AB365" s="209"/>
      <c r="AC365" s="378">
        <f t="shared" si="5"/>
        <v>9.1654320987654323</v>
      </c>
      <c r="AD365" s="207"/>
      <c r="AE365" s="177">
        <f>(M365/U365)*((100-CC365)/(100-9))*100</f>
        <v>10.071903405236739</v>
      </c>
      <c r="AF365" s="209">
        <v>41822</v>
      </c>
      <c r="AG365" s="177">
        <v>3.5</v>
      </c>
      <c r="AH365" s="207">
        <v>41927</v>
      </c>
      <c r="AI365" s="177">
        <v>125</v>
      </c>
      <c r="AJ365" s="207"/>
      <c r="AK365" s="183"/>
      <c r="AL365" s="210"/>
      <c r="AM365" s="177">
        <v>89</v>
      </c>
      <c r="AN365" s="210"/>
      <c r="AO365" s="183"/>
      <c r="AP365" s="183"/>
      <c r="AQ365" s="183"/>
      <c r="AR365" s="183"/>
      <c r="AS365" s="183"/>
      <c r="AT365" s="183"/>
      <c r="AU365" s="183"/>
      <c r="AV365" s="183"/>
      <c r="AW365" s="183"/>
      <c r="AX365" s="183"/>
      <c r="AY365" s="183"/>
      <c r="AZ365" s="183"/>
      <c r="BA365" s="183"/>
      <c r="BB365" s="183"/>
      <c r="BC365" s="183"/>
      <c r="BD365" s="183"/>
      <c r="BE365" s="182"/>
      <c r="BF365" s="182"/>
      <c r="BG365" s="211">
        <v>52.5</v>
      </c>
      <c r="BH365" s="181"/>
      <c r="BI365" s="211">
        <v>3.9</v>
      </c>
      <c r="BJ365" s="181"/>
      <c r="BK365" s="211">
        <v>0.9</v>
      </c>
      <c r="BL365" s="181"/>
      <c r="BM365" s="211">
        <v>24.8</v>
      </c>
      <c r="BN365" s="181"/>
      <c r="BO365" s="211">
        <v>14.8</v>
      </c>
      <c r="BP365" s="181"/>
      <c r="BQ365" s="211">
        <v>11.3</v>
      </c>
      <c r="BR365" s="181"/>
      <c r="BS365" s="211">
        <v>47.3</v>
      </c>
      <c r="BT365" s="181"/>
      <c r="BU365" s="211">
        <v>20.6</v>
      </c>
      <c r="BV365" s="181"/>
      <c r="BW365" s="211">
        <v>73.599999999999994</v>
      </c>
      <c r="BX365" s="181"/>
      <c r="BY365" s="181">
        <v>6.7999999999999972</v>
      </c>
      <c r="BZ365" s="181"/>
      <c r="CA365" s="182"/>
      <c r="CB365" s="182"/>
      <c r="CC365" s="211">
        <v>7.2</v>
      </c>
      <c r="CD365" s="209">
        <v>41822</v>
      </c>
      <c r="CE365" s="181"/>
      <c r="CF365" s="181"/>
      <c r="CG365" s="182"/>
      <c r="CH365" s="182"/>
      <c r="CI365" s="175" t="s">
        <v>9373</v>
      </c>
      <c r="CJ365" s="181"/>
      <c r="CK365" s="181"/>
      <c r="CL365" s="175">
        <v>5</v>
      </c>
      <c r="CM365" s="175"/>
    </row>
    <row r="366" spans="1:91">
      <c r="A366" s="191" t="s">
        <v>7610</v>
      </c>
      <c r="B366" s="192" t="s">
        <v>269</v>
      </c>
      <c r="C366" s="192" t="s">
        <v>417</v>
      </c>
      <c r="D366" s="192" t="s">
        <v>8133</v>
      </c>
      <c r="E366" s="193">
        <v>244</v>
      </c>
      <c r="F366" s="193">
        <v>5</v>
      </c>
      <c r="I366" s="184"/>
      <c r="K366" s="176">
        <v>9</v>
      </c>
      <c r="M366" s="197">
        <v>1.5</v>
      </c>
      <c r="N366" s="198">
        <v>41822</v>
      </c>
      <c r="O366" s="179"/>
      <c r="S366" s="176">
        <f>(AE366*BS366)/100</f>
        <v>4.6483516483516496</v>
      </c>
      <c r="T366" s="198"/>
      <c r="U366" s="176">
        <v>16.2</v>
      </c>
      <c r="Y366" s="200">
        <f>(AE366*BU366)/100</f>
        <v>1.7885632885632889</v>
      </c>
      <c r="Z366" s="198"/>
      <c r="AA366" s="200"/>
      <c r="AB366" s="198"/>
      <c r="AC366" s="378">
        <f t="shared" si="5"/>
        <v>8.7037037037037042</v>
      </c>
      <c r="AE366" s="176">
        <f>(M366/U366)*((100-CC366)/(100-9))*100</f>
        <v>9.5645095645095672</v>
      </c>
      <c r="AF366" s="198">
        <v>41822</v>
      </c>
      <c r="AG366" s="176">
        <v>4</v>
      </c>
      <c r="AH366" s="196">
        <v>41927</v>
      </c>
      <c r="AI366" s="176">
        <v>130</v>
      </c>
      <c r="AM366" s="176">
        <v>88</v>
      </c>
      <c r="BG366" s="201">
        <v>38.9</v>
      </c>
      <c r="BI366" s="201">
        <v>4.5</v>
      </c>
      <c r="BK366" s="201">
        <v>1</v>
      </c>
      <c r="BM366" s="201">
        <v>33.5</v>
      </c>
      <c r="BO366" s="201">
        <v>15.8</v>
      </c>
      <c r="BQ366" s="201">
        <v>9.3000000000000007</v>
      </c>
      <c r="BS366" s="201">
        <v>48.6</v>
      </c>
      <c r="BU366" s="201">
        <v>18.7</v>
      </c>
      <c r="BW366" s="201">
        <v>51.1</v>
      </c>
      <c r="BY366" s="178">
        <v>6.7000000000000028</v>
      </c>
      <c r="CC366" s="201">
        <v>6</v>
      </c>
      <c r="CD366" s="198">
        <v>41822</v>
      </c>
      <c r="CI366" s="174" t="s">
        <v>9349</v>
      </c>
      <c r="CL366" s="174">
        <v>9</v>
      </c>
    </row>
    <row r="367" spans="1:91">
      <c r="A367" s="191" t="s">
        <v>7679</v>
      </c>
      <c r="B367" s="192" t="s">
        <v>269</v>
      </c>
      <c r="C367" s="192" t="s">
        <v>417</v>
      </c>
      <c r="D367" s="192" t="s">
        <v>8409</v>
      </c>
      <c r="E367" s="193">
        <v>244</v>
      </c>
      <c r="F367" s="193">
        <v>6</v>
      </c>
      <c r="K367" s="176">
        <v>8</v>
      </c>
      <c r="M367" s="197">
        <v>4.0999999999999996</v>
      </c>
      <c r="N367" s="198">
        <v>41822</v>
      </c>
      <c r="S367" s="176">
        <f>(AE367*BS367)/100</f>
        <v>13.765843169176501</v>
      </c>
      <c r="T367" s="198"/>
      <c r="U367" s="176">
        <v>16.2</v>
      </c>
      <c r="Y367" s="200">
        <f>(AE367*BU367)/100</f>
        <v>4.213499525166192</v>
      </c>
      <c r="Z367" s="198"/>
      <c r="AA367" s="200"/>
      <c r="AB367" s="198"/>
      <c r="AC367" s="378">
        <f t="shared" si="5"/>
        <v>23.815432098765431</v>
      </c>
      <c r="AE367" s="176">
        <f>(M367/U367)*((100-CC367)/(100-9))*100</f>
        <v>26.170804504137834</v>
      </c>
      <c r="AF367" s="198">
        <v>41822</v>
      </c>
      <c r="AG367" s="176">
        <v>5</v>
      </c>
      <c r="AH367" s="196">
        <v>41927</v>
      </c>
      <c r="AI367" s="176">
        <v>145</v>
      </c>
      <c r="AM367" s="176">
        <v>87</v>
      </c>
      <c r="BG367" s="201">
        <v>0</v>
      </c>
      <c r="BI367" s="201">
        <v>4.8</v>
      </c>
      <c r="BK367" s="201">
        <v>1.6</v>
      </c>
      <c r="BM367" s="201">
        <v>64.599999999999994</v>
      </c>
      <c r="BO367" s="201">
        <v>22.1</v>
      </c>
      <c r="BQ367" s="201">
        <v>8</v>
      </c>
      <c r="BS367" s="201">
        <v>52.6</v>
      </c>
      <c r="BU367" s="201">
        <v>16.100000000000001</v>
      </c>
      <c r="BW367" s="201">
        <v>15.7</v>
      </c>
      <c r="BY367" s="178">
        <v>6.5999999999999943</v>
      </c>
      <c r="CC367" s="201">
        <v>5.9</v>
      </c>
      <c r="CD367" s="198">
        <v>41822</v>
      </c>
      <c r="CI367" s="174" t="s">
        <v>9376</v>
      </c>
      <c r="CL367" s="174">
        <v>1</v>
      </c>
    </row>
    <row r="368" spans="1:91">
      <c r="A368" s="191" t="s">
        <v>7676</v>
      </c>
      <c r="B368" s="192" t="s">
        <v>271</v>
      </c>
      <c r="C368" s="192" t="s">
        <v>8998</v>
      </c>
      <c r="D368" s="192" t="s">
        <v>8399</v>
      </c>
      <c r="E368" s="193">
        <v>244</v>
      </c>
      <c r="F368" s="193">
        <v>7</v>
      </c>
      <c r="K368" s="176">
        <v>7</v>
      </c>
      <c r="M368" s="197">
        <v>4.55</v>
      </c>
      <c r="N368" s="198">
        <v>41822</v>
      </c>
      <c r="S368" s="176">
        <f>(AE368*BS368)/100</f>
        <v>14.340555555555554</v>
      </c>
      <c r="T368" s="198"/>
      <c r="U368" s="176">
        <v>16.2</v>
      </c>
      <c r="Y368" s="200">
        <f>(AE368*BU368)/100</f>
        <v>4.9241666666666672</v>
      </c>
      <c r="Z368" s="198"/>
      <c r="AA368" s="200"/>
      <c r="AB368" s="198"/>
      <c r="AC368" s="378">
        <f t="shared" si="5"/>
        <v>26.204629629629633</v>
      </c>
      <c r="AE368" s="176">
        <f>(M368/U368)*((100-CC368)/(100-9))*100</f>
        <v>28.796296296296298</v>
      </c>
      <c r="AF368" s="198">
        <v>41822</v>
      </c>
      <c r="AG368" s="176">
        <v>4.0999999999999996</v>
      </c>
      <c r="AH368" s="196">
        <v>41927</v>
      </c>
      <c r="AI368" s="176">
        <v>135</v>
      </c>
      <c r="AM368" s="176">
        <v>87</v>
      </c>
      <c r="BG368" s="201">
        <v>0</v>
      </c>
      <c r="BI368" s="201">
        <v>4.7</v>
      </c>
      <c r="BK368" s="201">
        <v>1.5</v>
      </c>
      <c r="BM368" s="201">
        <v>64.2</v>
      </c>
      <c r="BO368" s="201">
        <v>22.5</v>
      </c>
      <c r="BQ368" s="201">
        <v>8.1999999999999993</v>
      </c>
      <c r="BS368" s="201">
        <v>49.8</v>
      </c>
      <c r="BU368" s="201">
        <v>17.100000000000001</v>
      </c>
      <c r="BW368" s="201">
        <v>13.9</v>
      </c>
      <c r="BY368" s="178">
        <v>6.5</v>
      </c>
      <c r="CC368" s="201">
        <v>6.7</v>
      </c>
      <c r="CD368" s="198">
        <v>41822</v>
      </c>
      <c r="CI368" s="174" t="s">
        <v>9350</v>
      </c>
      <c r="CL368" s="174">
        <v>1</v>
      </c>
    </row>
    <row r="369" spans="1:91">
      <c r="A369" s="191" t="s">
        <v>7612</v>
      </c>
      <c r="B369" s="192" t="s">
        <v>271</v>
      </c>
      <c r="C369" s="192" t="s">
        <v>8998</v>
      </c>
      <c r="D369" s="192" t="s">
        <v>8143</v>
      </c>
      <c r="E369" s="193">
        <v>244</v>
      </c>
      <c r="F369" s="193">
        <v>8</v>
      </c>
      <c r="I369" s="184"/>
      <c r="K369" s="176">
        <v>9</v>
      </c>
      <c r="M369" s="197">
        <v>2.2999999999999998</v>
      </c>
      <c r="N369" s="198">
        <v>41822</v>
      </c>
      <c r="O369" s="179"/>
      <c r="S369" s="176">
        <f>(AE369*BS369)/100</f>
        <v>7.0913702347035681</v>
      </c>
      <c r="T369" s="198"/>
      <c r="U369" s="176">
        <v>16.2</v>
      </c>
      <c r="Y369" s="200">
        <f>(AE369*BU369)/100</f>
        <v>2.7365038665038663</v>
      </c>
      <c r="Z369" s="198"/>
      <c r="AA369" s="200"/>
      <c r="AB369" s="198"/>
      <c r="AC369" s="378">
        <f t="shared" si="5"/>
        <v>13.38827160493827</v>
      </c>
      <c r="AE369" s="176">
        <f>(M369/U369)*((100-CC369)/(100-9))*100</f>
        <v>14.712386379053044</v>
      </c>
      <c r="AF369" s="198">
        <v>41822</v>
      </c>
      <c r="AG369" s="176">
        <v>4.4000000000000004</v>
      </c>
      <c r="AH369" s="196">
        <v>41927</v>
      </c>
      <c r="AI369" s="176">
        <v>110</v>
      </c>
      <c r="AM369" s="176">
        <v>88</v>
      </c>
      <c r="BG369" s="201">
        <v>50</v>
      </c>
      <c r="BI369" s="201">
        <v>4.2</v>
      </c>
      <c r="BK369" s="201">
        <v>0.9</v>
      </c>
      <c r="BM369" s="201">
        <v>31.4</v>
      </c>
      <c r="BO369" s="201">
        <v>16.399999999999999</v>
      </c>
      <c r="BQ369" s="201">
        <v>8.5</v>
      </c>
      <c r="BS369" s="201">
        <v>48.2</v>
      </c>
      <c r="BU369" s="201">
        <v>18.600000000000001</v>
      </c>
      <c r="BW369" s="201">
        <v>62.2</v>
      </c>
      <c r="BY369" s="178">
        <v>6.2000000000000028</v>
      </c>
      <c r="CC369" s="201">
        <v>5.7</v>
      </c>
      <c r="CD369" s="198">
        <v>41822</v>
      </c>
      <c r="CI369" s="174" t="s">
        <v>9349</v>
      </c>
      <c r="CL369" s="174">
        <v>8</v>
      </c>
    </row>
    <row r="370" spans="1:91">
      <c r="A370" s="202" t="s">
        <v>7629</v>
      </c>
      <c r="B370" s="203" t="s">
        <v>271</v>
      </c>
      <c r="C370" s="203" t="s">
        <v>8998</v>
      </c>
      <c r="D370" s="203" t="s">
        <v>8211</v>
      </c>
      <c r="E370" s="204">
        <v>244</v>
      </c>
      <c r="F370" s="204">
        <v>9</v>
      </c>
      <c r="G370" s="204"/>
      <c r="H370" s="204"/>
      <c r="I370" s="185"/>
      <c r="J370" s="206"/>
      <c r="K370" s="177">
        <v>8</v>
      </c>
      <c r="L370" s="207"/>
      <c r="M370" s="208">
        <v>1.85</v>
      </c>
      <c r="N370" s="209">
        <v>41822</v>
      </c>
      <c r="O370" s="182"/>
      <c r="P370" s="210"/>
      <c r="Q370" s="183"/>
      <c r="R370" s="210"/>
      <c r="S370" s="177">
        <f>(AE370*BS370)/100</f>
        <v>5.8031671415004737</v>
      </c>
      <c r="T370" s="209"/>
      <c r="U370" s="177">
        <v>16.2</v>
      </c>
      <c r="V370" s="210"/>
      <c r="W370" s="183"/>
      <c r="X370" s="210"/>
      <c r="Y370" s="213">
        <f>(AE370*BU370)/100</f>
        <v>2.130574548907882</v>
      </c>
      <c r="Z370" s="209"/>
      <c r="AA370" s="213"/>
      <c r="AB370" s="209"/>
      <c r="AC370" s="378">
        <f t="shared" si="5"/>
        <v>10.711728395061728</v>
      </c>
      <c r="AD370" s="207"/>
      <c r="AE370" s="177">
        <f>(M370/U370)*((100-CC370)/(100-9))*100</f>
        <v>11.771130104463436</v>
      </c>
      <c r="AF370" s="209">
        <v>41822</v>
      </c>
      <c r="AG370" s="177">
        <v>4.0999999999999996</v>
      </c>
      <c r="AH370" s="207">
        <v>41927</v>
      </c>
      <c r="AI370" s="177">
        <v>100</v>
      </c>
      <c r="AJ370" s="207"/>
      <c r="AK370" s="183"/>
      <c r="AL370" s="210"/>
      <c r="AM370" s="177">
        <v>70</v>
      </c>
      <c r="AN370" s="210"/>
      <c r="AO370" s="183"/>
      <c r="AP370" s="183"/>
      <c r="AQ370" s="183"/>
      <c r="AR370" s="183"/>
      <c r="AS370" s="183"/>
      <c r="AT370" s="183"/>
      <c r="AU370" s="183"/>
      <c r="AV370" s="183"/>
      <c r="AW370" s="183"/>
      <c r="AX370" s="183"/>
      <c r="AY370" s="183"/>
      <c r="AZ370" s="183"/>
      <c r="BA370" s="183"/>
      <c r="BB370" s="183"/>
      <c r="BC370" s="183"/>
      <c r="BD370" s="183"/>
      <c r="BE370" s="182"/>
      <c r="BF370" s="182"/>
      <c r="BG370" s="211">
        <v>44.7</v>
      </c>
      <c r="BH370" s="181"/>
      <c r="BI370" s="211">
        <v>4.5</v>
      </c>
      <c r="BJ370" s="181"/>
      <c r="BK370" s="211">
        <v>0.9</v>
      </c>
      <c r="BL370" s="181"/>
      <c r="BM370" s="211">
        <v>34</v>
      </c>
      <c r="BN370" s="181"/>
      <c r="BO370" s="211">
        <v>17.5</v>
      </c>
      <c r="BP370" s="181"/>
      <c r="BQ370" s="211">
        <v>9.4</v>
      </c>
      <c r="BR370" s="181"/>
      <c r="BS370" s="211">
        <v>49.3</v>
      </c>
      <c r="BT370" s="181"/>
      <c r="BU370" s="211">
        <v>18.100000000000001</v>
      </c>
      <c r="BV370" s="181"/>
      <c r="BW370" s="211">
        <v>61.1</v>
      </c>
      <c r="BX370" s="181"/>
      <c r="BY370" s="181">
        <v>6.4000000000000057</v>
      </c>
      <c r="BZ370" s="181"/>
      <c r="CA370" s="182"/>
      <c r="CB370" s="182"/>
      <c r="CC370" s="211">
        <v>6.2</v>
      </c>
      <c r="CD370" s="209">
        <v>41822</v>
      </c>
      <c r="CE370" s="181"/>
      <c r="CF370" s="181"/>
      <c r="CG370" s="182"/>
      <c r="CH370" s="182"/>
      <c r="CI370" s="175" t="s">
        <v>9349</v>
      </c>
      <c r="CJ370" s="181"/>
      <c r="CK370" s="181"/>
      <c r="CL370" s="175">
        <v>8</v>
      </c>
      <c r="CM370" s="175"/>
    </row>
    <row r="371" spans="1:91">
      <c r="A371" s="191" t="s">
        <v>7739</v>
      </c>
      <c r="B371" s="192" t="s">
        <v>271</v>
      </c>
      <c r="C371" s="192" t="s">
        <v>8998</v>
      </c>
      <c r="D371" s="192" t="s">
        <v>8651</v>
      </c>
      <c r="E371" s="193">
        <v>244</v>
      </c>
      <c r="F371" s="193">
        <v>10</v>
      </c>
      <c r="K371" s="176">
        <v>7</v>
      </c>
      <c r="M371" s="197">
        <v>3.45</v>
      </c>
      <c r="N371" s="198">
        <v>41822</v>
      </c>
      <c r="S371" s="176">
        <f>(AE371*BS371)/100</f>
        <v>10.570451770451774</v>
      </c>
      <c r="T371" s="198"/>
      <c r="U371" s="176">
        <v>16.2</v>
      </c>
      <c r="Y371" s="200">
        <f>(AE371*BU371)/100</f>
        <v>4.0520065120065123</v>
      </c>
      <c r="Z371" s="198"/>
      <c r="AA371" s="200"/>
      <c r="AB371" s="198"/>
      <c r="AC371" s="378">
        <f t="shared" si="5"/>
        <v>20.039814814814818</v>
      </c>
      <c r="AE371" s="176">
        <f>(M371/U371)*((100-CC371)/(100-9))*100</f>
        <v>22.021774521774525</v>
      </c>
      <c r="AF371" s="198">
        <v>41822</v>
      </c>
      <c r="AG371" s="176">
        <v>4.2</v>
      </c>
      <c r="AH371" s="196">
        <v>41927</v>
      </c>
      <c r="AI371" s="176">
        <v>145</v>
      </c>
      <c r="AM371" s="176">
        <v>85</v>
      </c>
      <c r="BG371" s="201">
        <v>0</v>
      </c>
      <c r="BI371" s="201">
        <v>4.4000000000000004</v>
      </c>
      <c r="BK371" s="201">
        <v>1.5</v>
      </c>
      <c r="BM371" s="201">
        <v>58.6</v>
      </c>
      <c r="BO371" s="201">
        <v>21.3</v>
      </c>
      <c r="BQ371" s="201">
        <v>11.2</v>
      </c>
      <c r="BS371" s="201">
        <v>48</v>
      </c>
      <c r="BU371" s="201">
        <v>18.399999999999999</v>
      </c>
      <c r="BW371" s="201">
        <v>14</v>
      </c>
      <c r="BY371" s="178">
        <v>6.4000000000000057</v>
      </c>
      <c r="CC371" s="201">
        <v>5.9</v>
      </c>
      <c r="CD371" s="198">
        <v>41822</v>
      </c>
      <c r="CI371" s="174" t="s">
        <v>9351</v>
      </c>
      <c r="CL371" s="174">
        <v>5</v>
      </c>
    </row>
    <row r="372" spans="1:91">
      <c r="A372" s="191" t="s">
        <v>7636</v>
      </c>
      <c r="B372" s="192" t="s">
        <v>271</v>
      </c>
      <c r="C372" s="192" t="s">
        <v>8998</v>
      </c>
      <c r="D372" s="192" t="s">
        <v>8239</v>
      </c>
      <c r="E372" s="193">
        <v>244</v>
      </c>
      <c r="F372" s="193">
        <v>11</v>
      </c>
      <c r="K372" s="176">
        <v>9</v>
      </c>
      <c r="M372" s="197">
        <v>3</v>
      </c>
      <c r="N372" s="198">
        <v>41822</v>
      </c>
      <c r="S372" s="176">
        <f>(AE372*BS372)/100</f>
        <v>8.5824786324786313</v>
      </c>
      <c r="T372" s="198"/>
      <c r="U372" s="176">
        <v>16.2</v>
      </c>
      <c r="Y372" s="200">
        <f>(AE372*BU372)/100</f>
        <v>3.8270655270655265</v>
      </c>
      <c r="Z372" s="198"/>
      <c r="AA372" s="200"/>
      <c r="AB372" s="198"/>
      <c r="AC372" s="378">
        <f t="shared" si="5"/>
        <v>17.24074074074074</v>
      </c>
      <c r="AE372" s="176">
        <f>(M372/U372)*((100-CC372)/(100-9))*100</f>
        <v>18.945868945868945</v>
      </c>
      <c r="AF372" s="198">
        <v>41822</v>
      </c>
      <c r="AG372" s="176">
        <v>4.4000000000000004</v>
      </c>
      <c r="AH372" s="196">
        <v>41927</v>
      </c>
      <c r="AI372" s="176">
        <v>120</v>
      </c>
      <c r="AM372" s="176">
        <v>88</v>
      </c>
      <c r="BG372" s="201">
        <v>14.7</v>
      </c>
      <c r="BI372" s="201">
        <v>4.5999999999999996</v>
      </c>
      <c r="BK372" s="201">
        <v>1.3</v>
      </c>
      <c r="BM372" s="201">
        <v>54.2</v>
      </c>
      <c r="BO372" s="201">
        <v>18.7</v>
      </c>
      <c r="BQ372" s="201">
        <v>8.3000000000000007</v>
      </c>
      <c r="BS372" s="201">
        <v>45.3</v>
      </c>
      <c r="BU372" s="201">
        <v>20.2</v>
      </c>
      <c r="BW372" s="201">
        <v>65.099999999999994</v>
      </c>
      <c r="BY372" s="178">
        <v>6.7999999999999972</v>
      </c>
      <c r="CC372" s="201">
        <v>6.9</v>
      </c>
      <c r="CD372" s="198">
        <v>41822</v>
      </c>
      <c r="CI372" s="174" t="s">
        <v>9358</v>
      </c>
      <c r="CL372" s="174">
        <v>7</v>
      </c>
    </row>
    <row r="373" spans="1:91">
      <c r="A373" s="191" t="s">
        <v>7768</v>
      </c>
      <c r="B373" s="192" t="s">
        <v>271</v>
      </c>
      <c r="C373" s="192" t="s">
        <v>8998</v>
      </c>
      <c r="D373" s="192" t="s">
        <v>8767</v>
      </c>
      <c r="E373" s="193">
        <v>244</v>
      </c>
      <c r="F373" s="193">
        <v>12</v>
      </c>
      <c r="K373" s="176">
        <v>8</v>
      </c>
      <c r="M373" s="197">
        <v>6.3</v>
      </c>
      <c r="N373" s="198">
        <v>41822</v>
      </c>
      <c r="S373" s="176">
        <f>(AE373*BS373)/100</f>
        <v>19.905769230769227</v>
      </c>
      <c r="T373" s="198"/>
      <c r="U373" s="176">
        <v>16.2</v>
      </c>
      <c r="Y373" s="200">
        <f>(AE373*BU373)/100</f>
        <v>7.0776068376068375</v>
      </c>
      <c r="Z373" s="198"/>
      <c r="AA373" s="200"/>
      <c r="AB373" s="198"/>
      <c r="AC373" s="378">
        <f t="shared" si="5"/>
        <v>36.594444444444441</v>
      </c>
      <c r="AE373" s="176">
        <f>(M373/U373)*((100-CC373)/(100-9))*100</f>
        <v>40.213675213675209</v>
      </c>
      <c r="AF373" s="198">
        <v>41822</v>
      </c>
      <c r="AG373" s="176">
        <v>5.2</v>
      </c>
      <c r="AH373" s="196">
        <v>41927</v>
      </c>
      <c r="AI373" s="176">
        <v>145</v>
      </c>
      <c r="AM373" s="176">
        <v>76</v>
      </c>
      <c r="BG373" s="201">
        <v>0</v>
      </c>
      <c r="BI373" s="201">
        <v>4.4000000000000004</v>
      </c>
      <c r="BK373" s="201">
        <v>1.7</v>
      </c>
      <c r="BM373" s="201">
        <v>65.3</v>
      </c>
      <c r="BO373" s="201">
        <v>20.2</v>
      </c>
      <c r="BQ373" s="201">
        <v>7.2</v>
      </c>
      <c r="BS373" s="201">
        <v>49.5</v>
      </c>
      <c r="BU373" s="201">
        <v>17.600000000000001</v>
      </c>
      <c r="BW373" s="201">
        <v>7.9</v>
      </c>
      <c r="BY373" s="178">
        <v>5.9000000000000057</v>
      </c>
      <c r="CC373" s="201">
        <v>5.9</v>
      </c>
      <c r="CD373" s="198">
        <v>41822</v>
      </c>
      <c r="CI373" s="174" t="s">
        <v>9347</v>
      </c>
      <c r="CL373" s="174">
        <v>1</v>
      </c>
    </row>
    <row r="374" spans="1:91">
      <c r="A374" s="191" t="s">
        <v>7750</v>
      </c>
      <c r="B374" s="192" t="s">
        <v>269</v>
      </c>
      <c r="C374" s="192" t="s">
        <v>417</v>
      </c>
      <c r="D374" s="192" t="s">
        <v>8693</v>
      </c>
      <c r="E374" s="193">
        <v>245</v>
      </c>
      <c r="F374" s="193">
        <v>1</v>
      </c>
      <c r="K374" s="176">
        <v>8</v>
      </c>
      <c r="M374" s="197">
        <v>3.45</v>
      </c>
      <c r="N374" s="198">
        <v>41822</v>
      </c>
      <c r="S374" s="176">
        <f>(AE374*BS374)/100</f>
        <v>10.601904761904761</v>
      </c>
      <c r="T374" s="198"/>
      <c r="U374" s="176">
        <v>16.2</v>
      </c>
      <c r="Y374" s="200">
        <f>(AE374*BU374)/100</f>
        <v>4.2714285714285714</v>
      </c>
      <c r="Z374" s="198"/>
      <c r="AA374" s="200"/>
      <c r="AB374" s="198"/>
      <c r="AC374" s="378">
        <f t="shared" si="5"/>
        <v>19.933333333333334</v>
      </c>
      <c r="AE374" s="176">
        <f>(M374/U374)*((100-CC374)/(100-9))*100</f>
        <v>21.904761904761905</v>
      </c>
      <c r="AF374" s="198">
        <v>41822</v>
      </c>
      <c r="AG374" s="176">
        <v>4.3</v>
      </c>
      <c r="AH374" s="196">
        <v>41927</v>
      </c>
      <c r="AI374" s="176">
        <v>135</v>
      </c>
      <c r="AM374" s="176">
        <v>82</v>
      </c>
      <c r="BG374" s="201">
        <v>48.1</v>
      </c>
      <c r="BI374" s="201">
        <v>3.9</v>
      </c>
      <c r="BK374" s="201">
        <v>0.8</v>
      </c>
      <c r="BM374" s="201">
        <v>26</v>
      </c>
      <c r="BO374" s="201">
        <v>13.6</v>
      </c>
      <c r="BQ374" s="201">
        <v>10</v>
      </c>
      <c r="BS374" s="201">
        <v>48.4</v>
      </c>
      <c r="BU374" s="201">
        <v>19.5</v>
      </c>
      <c r="BW374" s="201">
        <v>83.8</v>
      </c>
      <c r="BY374" s="178">
        <v>6.7000000000000028</v>
      </c>
      <c r="CC374" s="201">
        <v>6.4</v>
      </c>
      <c r="CD374" s="198">
        <v>41822</v>
      </c>
      <c r="CI374" s="174" t="s">
        <v>9345</v>
      </c>
      <c r="CL374" s="174">
        <v>5</v>
      </c>
    </row>
    <row r="375" spans="1:91">
      <c r="A375" s="191" t="s">
        <v>7668</v>
      </c>
      <c r="B375" s="192" t="s">
        <v>269</v>
      </c>
      <c r="C375" s="192" t="s">
        <v>417</v>
      </c>
      <c r="D375" s="192" t="s">
        <v>8365</v>
      </c>
      <c r="E375" s="193">
        <v>245</v>
      </c>
      <c r="F375" s="193">
        <v>2</v>
      </c>
      <c r="K375" s="176">
        <v>8</v>
      </c>
      <c r="M375" s="197">
        <v>5</v>
      </c>
      <c r="N375" s="198">
        <v>41822</v>
      </c>
      <c r="S375" s="176">
        <f>(AE375*BS375)/100</f>
        <v>16.275946275946275</v>
      </c>
      <c r="T375" s="198"/>
      <c r="U375" s="176">
        <v>16.2</v>
      </c>
      <c r="Y375" s="200">
        <f>(AE375*BU375)/100</f>
        <v>5.5514855514855519</v>
      </c>
      <c r="Z375" s="198"/>
      <c r="AA375" s="200"/>
      <c r="AB375" s="198"/>
      <c r="AC375" s="378">
        <f t="shared" si="5"/>
        <v>28.703703703703706</v>
      </c>
      <c r="AE375" s="176">
        <f>(M375/U375)*((100-CC375)/(100-9))*100</f>
        <v>31.542531542531542</v>
      </c>
      <c r="AF375" s="198">
        <v>41822</v>
      </c>
      <c r="AG375" s="176">
        <v>4.7</v>
      </c>
      <c r="AH375" s="196">
        <v>41927</v>
      </c>
      <c r="AI375" s="176">
        <v>160</v>
      </c>
      <c r="AM375" s="176">
        <v>80</v>
      </c>
      <c r="BG375" s="201">
        <v>3.7</v>
      </c>
      <c r="BI375" s="201">
        <v>4.5</v>
      </c>
      <c r="BK375" s="201">
        <v>1.6</v>
      </c>
      <c r="BM375" s="201">
        <v>67.2</v>
      </c>
      <c r="BO375" s="201">
        <v>18.8</v>
      </c>
      <c r="BQ375" s="201">
        <v>7.5</v>
      </c>
      <c r="BS375" s="201">
        <v>51.6</v>
      </c>
      <c r="BU375" s="201">
        <v>17.600000000000001</v>
      </c>
      <c r="BW375" s="201">
        <v>19.100000000000001</v>
      </c>
      <c r="BY375" s="178">
        <v>6.5999999999999943</v>
      </c>
      <c r="CC375" s="201">
        <v>7</v>
      </c>
      <c r="CD375" s="198">
        <v>41822</v>
      </c>
      <c r="CI375" s="174" t="s">
        <v>9356</v>
      </c>
      <c r="CL375" s="174">
        <v>1</v>
      </c>
    </row>
    <row r="376" spans="1:91">
      <c r="A376" s="191" t="s">
        <v>7628</v>
      </c>
      <c r="B376" s="192" t="s">
        <v>269</v>
      </c>
      <c r="C376" s="192" t="s">
        <v>417</v>
      </c>
      <c r="D376" s="192" t="s">
        <v>8205</v>
      </c>
      <c r="E376" s="193">
        <v>245</v>
      </c>
      <c r="F376" s="193">
        <v>3</v>
      </c>
      <c r="I376" s="184"/>
      <c r="K376" s="176">
        <v>9</v>
      </c>
      <c r="M376" s="197">
        <v>2.7</v>
      </c>
      <c r="N376" s="198">
        <v>41822</v>
      </c>
      <c r="O376" s="179"/>
      <c r="S376" s="176">
        <f>(AE376*BS376)/100</f>
        <v>8.2343406593406598</v>
      </c>
      <c r="T376" s="198"/>
      <c r="U376" s="176">
        <v>16.2</v>
      </c>
      <c r="Y376" s="200">
        <f>(AE376*BU376)/100</f>
        <v>3.2937362637362635</v>
      </c>
      <c r="Z376" s="198"/>
      <c r="AA376" s="200"/>
      <c r="AB376" s="198"/>
      <c r="AC376" s="378">
        <f t="shared" si="5"/>
        <v>15.450000000000003</v>
      </c>
      <c r="AE376" s="176">
        <f>(M376/U376)*((100-CC376)/(100-9))*100</f>
        <v>16.978021978021978</v>
      </c>
      <c r="AF376" s="198">
        <v>41822</v>
      </c>
      <c r="AG376" s="176">
        <v>5.5</v>
      </c>
      <c r="AH376" s="196">
        <v>41927</v>
      </c>
      <c r="AI376" s="176">
        <v>150</v>
      </c>
      <c r="AM376" s="176">
        <v>87</v>
      </c>
      <c r="BG376" s="201">
        <v>32</v>
      </c>
      <c r="BI376" s="201">
        <v>4.4000000000000004</v>
      </c>
      <c r="BK376" s="201">
        <v>1.2</v>
      </c>
      <c r="BM376" s="201">
        <v>42.2</v>
      </c>
      <c r="BO376" s="201">
        <v>16.100000000000001</v>
      </c>
      <c r="BQ376" s="201">
        <v>9.1</v>
      </c>
      <c r="BS376" s="201">
        <v>48.5</v>
      </c>
      <c r="BU376" s="201">
        <v>19.399999999999999</v>
      </c>
      <c r="BW376" s="201">
        <v>62.3</v>
      </c>
      <c r="BY376" s="178">
        <v>6.7999999999999972</v>
      </c>
      <c r="CC376" s="201">
        <v>7.3</v>
      </c>
      <c r="CD376" s="198">
        <v>41822</v>
      </c>
      <c r="CI376" s="174" t="s">
        <v>9355</v>
      </c>
      <c r="CL376" s="174">
        <v>7</v>
      </c>
    </row>
    <row r="377" spans="1:91">
      <c r="A377" s="202" t="s">
        <v>7629</v>
      </c>
      <c r="B377" s="203" t="s">
        <v>269</v>
      </c>
      <c r="C377" s="203" t="s">
        <v>417</v>
      </c>
      <c r="D377" s="203" t="s">
        <v>8209</v>
      </c>
      <c r="E377" s="204">
        <v>245</v>
      </c>
      <c r="F377" s="204">
        <v>4</v>
      </c>
      <c r="G377" s="204"/>
      <c r="H377" s="204"/>
      <c r="I377" s="185"/>
      <c r="J377" s="206"/>
      <c r="K377" s="177">
        <v>8</v>
      </c>
      <c r="L377" s="207"/>
      <c r="M377" s="208">
        <v>1.55</v>
      </c>
      <c r="N377" s="209">
        <v>41822</v>
      </c>
      <c r="O377" s="182"/>
      <c r="P377" s="210"/>
      <c r="Q377" s="183"/>
      <c r="R377" s="210"/>
      <c r="S377" s="177">
        <f>(AE377*BS377)/100</f>
        <v>4.629087301587302</v>
      </c>
      <c r="T377" s="209"/>
      <c r="U377" s="177">
        <v>16.2</v>
      </c>
      <c r="V377" s="210"/>
      <c r="W377" s="183"/>
      <c r="X377" s="210"/>
      <c r="Y377" s="213">
        <f>(AE377*BU377)/100</f>
        <v>1.9409171075837746</v>
      </c>
      <c r="Z377" s="209"/>
      <c r="AA377" s="213"/>
      <c r="AB377" s="209"/>
      <c r="AC377" s="378">
        <f t="shared" si="5"/>
        <v>8.8311728395061735</v>
      </c>
      <c r="AD377" s="207"/>
      <c r="AE377" s="177">
        <f>(M377/U377)*((100-CC377)/(100-9))*100</f>
        <v>9.7045855379188719</v>
      </c>
      <c r="AF377" s="209">
        <v>41822</v>
      </c>
      <c r="AG377" s="177">
        <v>4.5</v>
      </c>
      <c r="AH377" s="207">
        <v>41927</v>
      </c>
      <c r="AI377" s="177">
        <v>50</v>
      </c>
      <c r="AJ377" s="207"/>
      <c r="AK377" s="183"/>
      <c r="AL377" s="210"/>
      <c r="AM377" s="177">
        <v>72</v>
      </c>
      <c r="AN377" s="210"/>
      <c r="AO377" s="183"/>
      <c r="AP377" s="183"/>
      <c r="AQ377" s="183"/>
      <c r="AR377" s="183"/>
      <c r="AS377" s="183"/>
      <c r="AT377" s="183"/>
      <c r="AU377" s="183"/>
      <c r="AV377" s="183"/>
      <c r="AW377" s="183"/>
      <c r="AX377" s="183"/>
      <c r="AY377" s="183"/>
      <c r="AZ377" s="183"/>
      <c r="BA377" s="183"/>
      <c r="BB377" s="183"/>
      <c r="BC377" s="183"/>
      <c r="BD377" s="183"/>
      <c r="BE377" s="182"/>
      <c r="BF377" s="182"/>
      <c r="BG377" s="211">
        <v>32.799999999999997</v>
      </c>
      <c r="BH377" s="181"/>
      <c r="BI377" s="211">
        <v>4.0999999999999996</v>
      </c>
      <c r="BJ377" s="181"/>
      <c r="BK377" s="211">
        <v>1.1000000000000001</v>
      </c>
      <c r="BL377" s="181"/>
      <c r="BM377" s="211">
        <v>45.1</v>
      </c>
      <c r="BN377" s="181"/>
      <c r="BO377" s="211">
        <v>15.8</v>
      </c>
      <c r="BP377" s="181"/>
      <c r="BQ377" s="211">
        <v>10.5</v>
      </c>
      <c r="BR377" s="181"/>
      <c r="BS377" s="211">
        <v>47.7</v>
      </c>
      <c r="BT377" s="181"/>
      <c r="BU377" s="211">
        <v>20</v>
      </c>
      <c r="BV377" s="181"/>
      <c r="BW377" s="211">
        <v>49</v>
      </c>
      <c r="BX377" s="181"/>
      <c r="BY377" s="181">
        <v>7</v>
      </c>
      <c r="BZ377" s="181"/>
      <c r="CA377" s="182"/>
      <c r="CB377" s="182"/>
      <c r="CC377" s="211">
        <v>7.7</v>
      </c>
      <c r="CD377" s="209">
        <v>41822</v>
      </c>
      <c r="CE377" s="181"/>
      <c r="CF377" s="181"/>
      <c r="CG377" s="182"/>
      <c r="CH377" s="182"/>
      <c r="CI377" s="175" t="s">
        <v>9349</v>
      </c>
      <c r="CJ377" s="181"/>
      <c r="CK377" s="181"/>
      <c r="CL377" s="175">
        <v>7</v>
      </c>
      <c r="CM377" s="175"/>
    </row>
    <row r="378" spans="1:91">
      <c r="A378" s="191" t="s">
        <v>7664</v>
      </c>
      <c r="B378" s="192" t="s">
        <v>269</v>
      </c>
      <c r="C378" s="192" t="s">
        <v>417</v>
      </c>
      <c r="D378" s="192" t="s">
        <v>8349</v>
      </c>
      <c r="E378" s="193">
        <v>245</v>
      </c>
      <c r="F378" s="193">
        <v>5</v>
      </c>
      <c r="K378" s="176">
        <v>9</v>
      </c>
      <c r="M378" s="197">
        <v>4.2</v>
      </c>
      <c r="N378" s="198">
        <v>41822</v>
      </c>
      <c r="S378" s="176">
        <f>(AE378*BS378)/100</f>
        <v>13.160170940170943</v>
      </c>
      <c r="T378" s="198"/>
      <c r="U378" s="176">
        <v>16.2</v>
      </c>
      <c r="Y378" s="200">
        <f>(AE378*BU378)/100</f>
        <v>4.3079202279202278</v>
      </c>
      <c r="Z378" s="198"/>
      <c r="AA378" s="200"/>
      <c r="AB378" s="198"/>
      <c r="AC378" s="378">
        <f t="shared" si="5"/>
        <v>23.903703703703709</v>
      </c>
      <c r="AE378" s="176">
        <f>(M378/U378)*((100-CC378)/(100-9))*100</f>
        <v>26.267806267806272</v>
      </c>
      <c r="AF378" s="198">
        <v>41822</v>
      </c>
      <c r="AG378" s="176">
        <v>4.4000000000000004</v>
      </c>
      <c r="AH378" s="196">
        <v>41927</v>
      </c>
      <c r="AI378" s="176">
        <v>135</v>
      </c>
      <c r="AM378" s="176">
        <v>86</v>
      </c>
      <c r="BG378" s="201">
        <v>3.5</v>
      </c>
      <c r="BI378" s="201">
        <v>4.8</v>
      </c>
      <c r="BK378" s="201">
        <v>1.7</v>
      </c>
      <c r="BM378" s="201">
        <v>65.5</v>
      </c>
      <c r="BO378" s="201">
        <v>19.7</v>
      </c>
      <c r="BQ378" s="201">
        <v>6.7</v>
      </c>
      <c r="BS378" s="201">
        <v>50.1</v>
      </c>
      <c r="BU378" s="201">
        <v>16.399999999999999</v>
      </c>
      <c r="BW378" s="201">
        <v>10.9</v>
      </c>
      <c r="BY378" s="178">
        <v>7</v>
      </c>
      <c r="CC378" s="201">
        <v>7.8</v>
      </c>
      <c r="CD378" s="198">
        <v>41822</v>
      </c>
      <c r="CI378" s="174" t="s">
        <v>9347</v>
      </c>
      <c r="CL378" s="174">
        <v>1</v>
      </c>
    </row>
    <row r="379" spans="1:91">
      <c r="A379" s="191" t="s">
        <v>7788</v>
      </c>
      <c r="B379" s="192" t="s">
        <v>269</v>
      </c>
      <c r="C379" s="192" t="s">
        <v>417</v>
      </c>
      <c r="D379" s="192" t="s">
        <v>8845</v>
      </c>
      <c r="E379" s="193">
        <v>245</v>
      </c>
      <c r="F379" s="193">
        <v>6</v>
      </c>
      <c r="K379" s="176">
        <v>9</v>
      </c>
      <c r="M379" s="197">
        <v>3.65</v>
      </c>
      <c r="N379" s="198">
        <v>41822</v>
      </c>
      <c r="S379" s="176">
        <f>(AE379*BS379)/100</f>
        <v>12.105461945461943</v>
      </c>
      <c r="T379" s="198"/>
      <c r="U379" s="176">
        <v>16.2</v>
      </c>
      <c r="Y379" s="200">
        <f>(AE379*BU379)/100</f>
        <v>3.5078327228327226</v>
      </c>
      <c r="Z379" s="198"/>
      <c r="AA379" s="200"/>
      <c r="AB379" s="198"/>
      <c r="AC379" s="378">
        <f t="shared" si="5"/>
        <v>20.863580246913578</v>
      </c>
      <c r="AE379" s="176">
        <f>(M379/U379)*((100-CC379)/(100-9))*100</f>
        <v>22.927011260344592</v>
      </c>
      <c r="AF379" s="198">
        <v>41822</v>
      </c>
      <c r="AG379" s="176">
        <v>5</v>
      </c>
      <c r="AH379" s="196">
        <v>41927</v>
      </c>
      <c r="AI379" s="176">
        <v>140</v>
      </c>
      <c r="AM379" s="176">
        <v>77</v>
      </c>
      <c r="BG379" s="201">
        <v>0</v>
      </c>
      <c r="BI379" s="201">
        <v>4.8</v>
      </c>
      <c r="BK379" s="201">
        <v>1.6</v>
      </c>
      <c r="BM379" s="201">
        <v>63</v>
      </c>
      <c r="BO379" s="201">
        <v>20.7</v>
      </c>
      <c r="BQ379" s="201">
        <v>8.8000000000000007</v>
      </c>
      <c r="BS379" s="201">
        <v>52.8</v>
      </c>
      <c r="BU379" s="201">
        <v>15.3</v>
      </c>
      <c r="BW379" s="201">
        <v>14.3</v>
      </c>
      <c r="BY379" s="178">
        <v>6.7000000000000028</v>
      </c>
      <c r="CC379" s="201">
        <v>7.4</v>
      </c>
      <c r="CD379" s="198">
        <v>41822</v>
      </c>
      <c r="CI379" s="174" t="s">
        <v>9354</v>
      </c>
      <c r="CL379" s="174">
        <v>1</v>
      </c>
    </row>
    <row r="380" spans="1:91">
      <c r="A380" s="191" t="s">
        <v>7898</v>
      </c>
      <c r="B380" s="192" t="s">
        <v>271</v>
      </c>
      <c r="C380" s="192" t="s">
        <v>8998</v>
      </c>
      <c r="D380" s="192" t="s">
        <v>8979</v>
      </c>
      <c r="E380" s="193">
        <v>245</v>
      </c>
      <c r="F380" s="193">
        <v>7</v>
      </c>
      <c r="K380" s="176">
        <v>6</v>
      </c>
      <c r="M380" s="197">
        <v>6.55</v>
      </c>
      <c r="N380" s="198">
        <v>41822</v>
      </c>
      <c r="S380" s="176">
        <f>(AE380*BS380)/100</f>
        <v>21.459047619047613</v>
      </c>
      <c r="T380" s="198"/>
      <c r="U380" s="176">
        <v>16.2</v>
      </c>
      <c r="Y380" s="200">
        <f>(AE380*BU380)/100</f>
        <v>6.7371428571428558</v>
      </c>
      <c r="Z380" s="198"/>
      <c r="AA380" s="200"/>
      <c r="AB380" s="198"/>
      <c r="AC380" s="378">
        <f t="shared" si="5"/>
        <v>37.844444444444441</v>
      </c>
      <c r="AE380" s="176">
        <f>(M380/U380)*((100-CC380)/(100-9))*100</f>
        <v>41.587301587301582</v>
      </c>
      <c r="AF380" s="198">
        <v>41822</v>
      </c>
      <c r="AG380" s="176">
        <v>4.5999999999999996</v>
      </c>
      <c r="AH380" s="196">
        <v>41927</v>
      </c>
      <c r="AI380" s="176">
        <v>155</v>
      </c>
      <c r="AM380" s="176">
        <v>86</v>
      </c>
      <c r="BG380" s="201">
        <v>0</v>
      </c>
      <c r="BI380" s="201">
        <v>4.8</v>
      </c>
      <c r="BK380" s="201">
        <v>1.6</v>
      </c>
      <c r="BM380" s="201">
        <v>63.2</v>
      </c>
      <c r="BO380" s="201">
        <v>22.1</v>
      </c>
      <c r="BQ380" s="201">
        <v>8.1</v>
      </c>
      <c r="BS380" s="201">
        <v>51.6</v>
      </c>
      <c r="BU380" s="201">
        <v>16.2</v>
      </c>
      <c r="BW380" s="201">
        <v>16</v>
      </c>
      <c r="BY380" s="178">
        <v>6.2000000000000028</v>
      </c>
      <c r="CC380" s="201">
        <v>6.4</v>
      </c>
      <c r="CD380" s="198">
        <v>41822</v>
      </c>
      <c r="CI380" s="174" t="s">
        <v>9358</v>
      </c>
      <c r="CL380" s="174">
        <v>2</v>
      </c>
    </row>
    <row r="381" spans="1:91">
      <c r="A381" s="191" t="s">
        <v>7715</v>
      </c>
      <c r="B381" s="192" t="s">
        <v>271</v>
      </c>
      <c r="C381" s="192" t="s">
        <v>8998</v>
      </c>
      <c r="D381" s="192" t="s">
        <v>8555</v>
      </c>
      <c r="E381" s="193">
        <v>245</v>
      </c>
      <c r="F381" s="193">
        <v>8</v>
      </c>
      <c r="K381" s="176">
        <v>7</v>
      </c>
      <c r="M381" s="197">
        <v>4.8499999999999996</v>
      </c>
      <c r="N381" s="198">
        <v>41822</v>
      </c>
      <c r="S381" s="176">
        <f>(AE381*BS381)/100</f>
        <v>14.257460317460316</v>
      </c>
      <c r="T381" s="198"/>
      <c r="U381" s="176">
        <v>16.2</v>
      </c>
      <c r="Y381" s="200">
        <f>(AE381*BU381)/100</f>
        <v>5.3888888888888884</v>
      </c>
      <c r="Z381" s="198"/>
      <c r="AA381" s="200"/>
      <c r="AB381" s="198"/>
      <c r="AC381" s="378">
        <f t="shared" si="5"/>
        <v>28.022222222222219</v>
      </c>
      <c r="AE381" s="176">
        <f>(M381/U381)*((100-CC381)/(100-9))*100</f>
        <v>30.793650793650791</v>
      </c>
      <c r="AF381" s="198">
        <v>41822</v>
      </c>
      <c r="AG381" s="176">
        <v>4</v>
      </c>
      <c r="AH381" s="196">
        <v>41927</v>
      </c>
      <c r="AI381" s="176">
        <v>150</v>
      </c>
      <c r="AM381" s="176">
        <v>85</v>
      </c>
      <c r="BG381" s="201">
        <v>1.4</v>
      </c>
      <c r="BI381" s="201">
        <v>5.0999999999999996</v>
      </c>
      <c r="BK381" s="201">
        <v>1.6</v>
      </c>
      <c r="BM381" s="201">
        <v>62</v>
      </c>
      <c r="BO381" s="201">
        <v>21.9</v>
      </c>
      <c r="BQ381" s="201">
        <v>8</v>
      </c>
      <c r="BS381" s="201">
        <v>46.3</v>
      </c>
      <c r="BU381" s="201">
        <v>17.5</v>
      </c>
      <c r="BW381" s="201">
        <v>20.9</v>
      </c>
      <c r="BY381" s="178">
        <v>6.2999999999999972</v>
      </c>
      <c r="CC381" s="201">
        <v>6.4</v>
      </c>
      <c r="CD381" s="198">
        <v>41822</v>
      </c>
      <c r="CI381" s="174" t="s">
        <v>9355</v>
      </c>
      <c r="CL381" s="174">
        <v>3</v>
      </c>
    </row>
    <row r="382" spans="1:91">
      <c r="A382" s="202" t="s">
        <v>7620</v>
      </c>
      <c r="B382" s="203" t="s">
        <v>271</v>
      </c>
      <c r="C382" s="203" t="s">
        <v>8998</v>
      </c>
      <c r="D382" s="203" t="s">
        <v>8175</v>
      </c>
      <c r="E382" s="204">
        <v>245</v>
      </c>
      <c r="F382" s="204">
        <v>9</v>
      </c>
      <c r="G382" s="204"/>
      <c r="H382" s="204"/>
      <c r="I382" s="185"/>
      <c r="J382" s="206"/>
      <c r="K382" s="177">
        <v>9</v>
      </c>
      <c r="L382" s="207"/>
      <c r="M382" s="208">
        <v>1.65</v>
      </c>
      <c r="N382" s="209">
        <v>41822</v>
      </c>
      <c r="O382" s="182"/>
      <c r="P382" s="210"/>
      <c r="Q382" s="183"/>
      <c r="R382" s="210"/>
      <c r="S382" s="177">
        <f>(AE382*BS382)/100</f>
        <v>4.8558150183150177</v>
      </c>
      <c r="T382" s="209"/>
      <c r="U382" s="177">
        <v>16.2</v>
      </c>
      <c r="V382" s="210"/>
      <c r="W382" s="183"/>
      <c r="X382" s="210"/>
      <c r="Y382" s="213">
        <f>(AE382*BU382)/100</f>
        <v>2.1929487179487177</v>
      </c>
      <c r="Z382" s="209"/>
      <c r="AA382" s="213"/>
      <c r="AB382" s="209"/>
      <c r="AC382" s="378">
        <f t="shared" si="5"/>
        <v>9.5027777777777764</v>
      </c>
      <c r="AD382" s="207"/>
      <c r="AE382" s="177">
        <f>(M382/U382)*((100-CC382)/(100-9))*100</f>
        <v>10.442612942612941</v>
      </c>
      <c r="AF382" s="209">
        <v>41822</v>
      </c>
      <c r="AG382" s="177">
        <v>4.4000000000000004</v>
      </c>
      <c r="AH382" s="207">
        <v>41927</v>
      </c>
      <c r="AI382" s="177">
        <v>70</v>
      </c>
      <c r="AJ382" s="207"/>
      <c r="AK382" s="183"/>
      <c r="AL382" s="210"/>
      <c r="AM382" s="177">
        <v>85</v>
      </c>
      <c r="AN382" s="210"/>
      <c r="AO382" s="183"/>
      <c r="AP382" s="183"/>
      <c r="AQ382" s="183"/>
      <c r="AR382" s="183"/>
      <c r="AS382" s="183"/>
      <c r="AT382" s="183"/>
      <c r="AU382" s="183"/>
      <c r="AV382" s="183"/>
      <c r="AW382" s="183"/>
      <c r="AX382" s="183"/>
      <c r="AY382" s="183"/>
      <c r="AZ382" s="183"/>
      <c r="BA382" s="183"/>
      <c r="BB382" s="183"/>
      <c r="BC382" s="183"/>
      <c r="BD382" s="183"/>
      <c r="BE382" s="182"/>
      <c r="BF382" s="182"/>
      <c r="BG382" s="211">
        <v>40.9</v>
      </c>
      <c r="BH382" s="181"/>
      <c r="BI382" s="211">
        <v>4</v>
      </c>
      <c r="BJ382" s="181"/>
      <c r="BK382" s="211">
        <v>1.2</v>
      </c>
      <c r="BL382" s="181"/>
      <c r="BM382" s="211">
        <v>39.200000000000003</v>
      </c>
      <c r="BN382" s="181"/>
      <c r="BO382" s="211">
        <v>17.100000000000001</v>
      </c>
      <c r="BP382" s="181"/>
      <c r="BQ382" s="211">
        <v>9</v>
      </c>
      <c r="BR382" s="181"/>
      <c r="BS382" s="211">
        <v>46.5</v>
      </c>
      <c r="BT382" s="181"/>
      <c r="BU382" s="211">
        <v>21</v>
      </c>
      <c r="BV382" s="181"/>
      <c r="BW382" s="211">
        <v>73</v>
      </c>
      <c r="BX382" s="181"/>
      <c r="BY382" s="181">
        <v>6.5999999999999943</v>
      </c>
      <c r="BZ382" s="181"/>
      <c r="CA382" s="182"/>
      <c r="CB382" s="182"/>
      <c r="CC382" s="211">
        <v>6.7</v>
      </c>
      <c r="CD382" s="209">
        <v>41822</v>
      </c>
      <c r="CE382" s="181"/>
      <c r="CF382" s="181"/>
      <c r="CG382" s="182"/>
      <c r="CH382" s="182"/>
      <c r="CI382" s="175" t="s">
        <v>9351</v>
      </c>
      <c r="CJ382" s="181"/>
      <c r="CK382" s="181"/>
      <c r="CL382" s="175">
        <v>9</v>
      </c>
      <c r="CM382" s="175"/>
    </row>
    <row r="383" spans="1:91">
      <c r="A383" s="191" t="s">
        <v>7635</v>
      </c>
      <c r="B383" s="192" t="s">
        <v>271</v>
      </c>
      <c r="C383" s="192" t="s">
        <v>8998</v>
      </c>
      <c r="D383" s="192" t="s">
        <v>8235</v>
      </c>
      <c r="E383" s="193">
        <v>245</v>
      </c>
      <c r="F383" s="193">
        <v>10</v>
      </c>
      <c r="K383" s="176">
        <v>8</v>
      </c>
      <c r="M383" s="197">
        <v>1.85</v>
      </c>
      <c r="N383" s="198">
        <v>41822</v>
      </c>
      <c r="S383" s="176">
        <f>(AE383*BS383)/100</f>
        <v>5.4795238095238092</v>
      </c>
      <c r="T383" s="198"/>
      <c r="U383" s="176">
        <v>16.2</v>
      </c>
      <c r="Y383" s="200">
        <f>(AE383*BU383)/100</f>
        <v>2.3299684574684574</v>
      </c>
      <c r="Z383" s="198"/>
      <c r="AA383" s="200"/>
      <c r="AB383" s="198"/>
      <c r="AC383" s="378">
        <f t="shared" si="5"/>
        <v>10.65462962962963</v>
      </c>
      <c r="AE383" s="176">
        <f>(M383/U383)*((100-CC383)/(100-9))*100</f>
        <v>11.708384208384208</v>
      </c>
      <c r="AF383" s="198">
        <v>41822</v>
      </c>
      <c r="AG383" s="176">
        <v>4.2</v>
      </c>
      <c r="AH383" s="196">
        <v>41927</v>
      </c>
      <c r="AI383" s="176">
        <v>90</v>
      </c>
      <c r="AM383" s="176">
        <v>84</v>
      </c>
      <c r="BG383" s="201">
        <v>4.4000000000000004</v>
      </c>
      <c r="BI383" s="201">
        <v>4.4000000000000004</v>
      </c>
      <c r="BK383" s="201">
        <v>1.4</v>
      </c>
      <c r="BM383" s="201">
        <v>61.4</v>
      </c>
      <c r="BO383" s="201">
        <v>20.100000000000001</v>
      </c>
      <c r="BQ383" s="201">
        <v>10.4</v>
      </c>
      <c r="BS383" s="201">
        <v>46.8</v>
      </c>
      <c r="BU383" s="201">
        <v>19.899999999999999</v>
      </c>
      <c r="BW383" s="201">
        <v>46.2</v>
      </c>
      <c r="BY383" s="178">
        <v>6.5999999999999943</v>
      </c>
      <c r="CC383" s="201">
        <v>6.7</v>
      </c>
      <c r="CD383" s="198">
        <v>41822</v>
      </c>
      <c r="CI383" s="174" t="s">
        <v>9373</v>
      </c>
      <c r="CL383" s="174">
        <v>9</v>
      </c>
    </row>
    <row r="384" spans="1:91">
      <c r="A384" s="191" t="s">
        <v>7654</v>
      </c>
      <c r="B384" s="192" t="s">
        <v>271</v>
      </c>
      <c r="C384" s="192" t="s">
        <v>8998</v>
      </c>
      <c r="D384" s="192" t="s">
        <v>8311</v>
      </c>
      <c r="E384" s="193">
        <v>245</v>
      </c>
      <c r="F384" s="193">
        <v>11</v>
      </c>
      <c r="K384" s="176">
        <v>9</v>
      </c>
      <c r="M384" s="197">
        <v>2.0499999999999998</v>
      </c>
      <c r="N384" s="198">
        <v>41822</v>
      </c>
      <c r="S384" s="176">
        <f>(AE384*BS384)/100</f>
        <v>5.8965798399131746</v>
      </c>
      <c r="T384" s="198"/>
      <c r="U384" s="176">
        <v>16.2</v>
      </c>
      <c r="Y384" s="200">
        <f>(AE384*BU384)/100</f>
        <v>2.597612264278931</v>
      </c>
      <c r="Z384" s="198"/>
      <c r="AA384" s="200"/>
      <c r="AB384" s="198"/>
      <c r="AC384" s="378">
        <f t="shared" si="5"/>
        <v>11.819135802469138</v>
      </c>
      <c r="AE384" s="176">
        <f>(M384/U384)*((100-CC384)/(100-9))*100</f>
        <v>12.988061321394657</v>
      </c>
      <c r="AF384" s="198">
        <v>41822</v>
      </c>
      <c r="AG384" s="176">
        <v>4</v>
      </c>
      <c r="AH384" s="196">
        <v>41927</v>
      </c>
      <c r="AI384" s="176">
        <v>125</v>
      </c>
      <c r="AM384" s="176">
        <v>85</v>
      </c>
      <c r="BG384" s="201">
        <v>2.4</v>
      </c>
      <c r="BI384" s="201">
        <v>4.5999999999999996</v>
      </c>
      <c r="BK384" s="201">
        <v>1.4</v>
      </c>
      <c r="BM384" s="201">
        <v>61.5</v>
      </c>
      <c r="BO384" s="201">
        <v>20.399999999999999</v>
      </c>
      <c r="BQ384" s="201">
        <v>10.1</v>
      </c>
      <c r="BS384" s="201">
        <v>45.4</v>
      </c>
      <c r="BU384" s="201">
        <v>20</v>
      </c>
      <c r="BW384" s="201">
        <v>74.3</v>
      </c>
      <c r="BY384" s="178">
        <v>6.9000000000000057</v>
      </c>
      <c r="CC384" s="201">
        <v>6.6</v>
      </c>
      <c r="CD384" s="198">
        <v>41822</v>
      </c>
      <c r="CI384" s="174" t="s">
        <v>9373</v>
      </c>
      <c r="CL384" s="174">
        <v>9</v>
      </c>
    </row>
    <row r="385" spans="1:91">
      <c r="A385" s="191" t="s">
        <v>7771</v>
      </c>
      <c r="B385" s="192" t="s">
        <v>271</v>
      </c>
      <c r="C385" s="192" t="s">
        <v>8998</v>
      </c>
      <c r="D385" s="192" t="s">
        <v>8779</v>
      </c>
      <c r="E385" s="193">
        <v>245</v>
      </c>
      <c r="F385" s="193">
        <v>12</v>
      </c>
      <c r="K385" s="176">
        <v>7</v>
      </c>
      <c r="M385" s="197">
        <v>6.75</v>
      </c>
      <c r="N385" s="198">
        <v>41822</v>
      </c>
      <c r="S385" s="176">
        <f>(AE385*BS385)/100</f>
        <v>21.655128205128204</v>
      </c>
      <c r="T385" s="198"/>
      <c r="U385" s="176">
        <v>16.2</v>
      </c>
      <c r="Y385" s="200">
        <f>(AE385*BU385)/100</f>
        <v>7.1189102564102553</v>
      </c>
      <c r="Z385" s="198"/>
      <c r="AA385" s="200"/>
      <c r="AB385" s="198"/>
      <c r="AC385" s="378">
        <f t="shared" si="5"/>
        <v>38.791666666666664</v>
      </c>
      <c r="AE385" s="176">
        <f>(M385/U385)*((100-CC385)/(100-9))*100</f>
        <v>42.628205128205124</v>
      </c>
      <c r="AF385" s="198">
        <v>41822</v>
      </c>
      <c r="AG385" s="176">
        <v>4.3</v>
      </c>
      <c r="AH385" s="196">
        <v>41927</v>
      </c>
      <c r="AI385" s="176">
        <v>150</v>
      </c>
      <c r="AM385" s="176">
        <v>88</v>
      </c>
      <c r="BG385" s="201">
        <v>0</v>
      </c>
      <c r="BI385" s="201">
        <v>4.8</v>
      </c>
      <c r="BK385" s="201">
        <v>1.7</v>
      </c>
      <c r="BM385" s="201">
        <v>66.900000000000006</v>
      </c>
      <c r="BO385" s="201">
        <v>19.3</v>
      </c>
      <c r="BQ385" s="201">
        <v>6.7</v>
      </c>
      <c r="BS385" s="201">
        <v>50.8</v>
      </c>
      <c r="BU385" s="201">
        <v>16.7</v>
      </c>
      <c r="BW385" s="201">
        <v>17</v>
      </c>
      <c r="BY385" s="178">
        <v>6.2999999999999972</v>
      </c>
      <c r="CC385" s="201">
        <v>6.9</v>
      </c>
      <c r="CD385" s="198">
        <v>41822</v>
      </c>
      <c r="CI385" s="174" t="s">
        <v>9347</v>
      </c>
      <c r="CL385" s="174">
        <v>1</v>
      </c>
    </row>
    <row r="386" spans="1:91">
      <c r="A386" s="191" t="s">
        <v>7645</v>
      </c>
      <c r="B386" s="192" t="s">
        <v>269</v>
      </c>
      <c r="C386" s="192" t="s">
        <v>417</v>
      </c>
      <c r="D386" s="192" t="s">
        <v>8273</v>
      </c>
      <c r="E386" s="193">
        <v>246</v>
      </c>
      <c r="F386" s="193">
        <v>1</v>
      </c>
      <c r="K386" s="176">
        <v>6</v>
      </c>
      <c r="M386" s="197">
        <v>3.7</v>
      </c>
      <c r="N386" s="198">
        <v>41822</v>
      </c>
      <c r="S386" s="176">
        <f>(AE386*BS386)/100</f>
        <v>11.857468457468455</v>
      </c>
      <c r="T386" s="198"/>
      <c r="U386" s="176">
        <v>16.2</v>
      </c>
      <c r="Y386" s="200">
        <f>(AE386*BU386)/100</f>
        <v>3.8980260480260474</v>
      </c>
      <c r="Z386" s="198"/>
      <c r="AA386" s="200"/>
      <c r="AB386" s="198"/>
      <c r="AC386" s="378">
        <f t="shared" si="5"/>
        <v>21.24074074074074</v>
      </c>
      <c r="AE386" s="176">
        <f>(M386/U386)*((100-CC386)/(100-9))*100</f>
        <v>23.341473341473339</v>
      </c>
      <c r="AF386" s="198">
        <v>41822</v>
      </c>
      <c r="AG386" s="176">
        <v>4</v>
      </c>
      <c r="AH386" s="196">
        <v>41927</v>
      </c>
      <c r="AI386" s="176">
        <v>135</v>
      </c>
      <c r="AM386" s="176">
        <v>78</v>
      </c>
      <c r="BG386" s="201">
        <v>7.1</v>
      </c>
      <c r="BI386" s="201">
        <v>4.9000000000000004</v>
      </c>
      <c r="BK386" s="201">
        <v>1.4</v>
      </c>
      <c r="BM386" s="201">
        <v>64.3</v>
      </c>
      <c r="BO386" s="201">
        <v>19.100000000000001</v>
      </c>
      <c r="BQ386" s="201">
        <v>9.4</v>
      </c>
      <c r="BS386" s="201">
        <v>50.8</v>
      </c>
      <c r="BU386" s="201">
        <v>16.7</v>
      </c>
      <c r="BW386" s="201">
        <v>57.4</v>
      </c>
      <c r="BY386" s="178">
        <v>6.9000000000000057</v>
      </c>
      <c r="CC386" s="201">
        <v>7</v>
      </c>
      <c r="CD386" s="198">
        <v>41822</v>
      </c>
      <c r="CI386" s="174" t="s">
        <v>9339</v>
      </c>
      <c r="CL386" s="174">
        <v>1</v>
      </c>
    </row>
    <row r="387" spans="1:91">
      <c r="A387" s="191" t="s">
        <v>7743</v>
      </c>
      <c r="B387" s="192" t="s">
        <v>269</v>
      </c>
      <c r="C387" s="192" t="s">
        <v>417</v>
      </c>
      <c r="D387" s="192" t="s">
        <v>8665</v>
      </c>
      <c r="E387" s="193">
        <v>246</v>
      </c>
      <c r="F387" s="193">
        <v>2</v>
      </c>
      <c r="K387" s="176">
        <v>8</v>
      </c>
      <c r="M387" s="197">
        <v>1.1000000000000001</v>
      </c>
      <c r="N387" s="198">
        <v>41822</v>
      </c>
      <c r="S387" s="176">
        <f>(AE387*BS387)/100</f>
        <v>3.3135802469135802</v>
      </c>
      <c r="T387" s="198"/>
      <c r="U387" s="176">
        <v>16.2</v>
      </c>
      <c r="Y387" s="200">
        <f>(AE387*BU387)/100</f>
        <v>1.3240740740740742</v>
      </c>
      <c r="Z387" s="198"/>
      <c r="AA387" s="200"/>
      <c r="AB387" s="198"/>
      <c r="AC387" s="378">
        <f t="shared" ref="AC387:AC450" si="6">(M387/16.2)*(100-CC387)</f>
        <v>6.1790123456790136</v>
      </c>
      <c r="AE387" s="176">
        <f>(M387/U387)*((100-CC387)/(100-9))*100</f>
        <v>6.7901234567901243</v>
      </c>
      <c r="AF387" s="198">
        <v>41822</v>
      </c>
      <c r="AG387" s="176">
        <v>4.5</v>
      </c>
      <c r="AH387" s="196">
        <v>41927</v>
      </c>
      <c r="AI387" s="176">
        <v>155</v>
      </c>
      <c r="AM387" s="176">
        <v>88</v>
      </c>
      <c r="BG387" s="201">
        <v>24.5</v>
      </c>
      <c r="BI387" s="201">
        <v>4.4000000000000004</v>
      </c>
      <c r="BK387" s="201">
        <v>1.2</v>
      </c>
      <c r="BM387" s="201">
        <v>47.3</v>
      </c>
      <c r="BO387" s="201">
        <v>16.3</v>
      </c>
      <c r="BQ387" s="201">
        <v>9.6999999999999993</v>
      </c>
      <c r="BS387" s="201">
        <v>48.8</v>
      </c>
      <c r="BU387" s="201">
        <v>19.5</v>
      </c>
      <c r="BW387" s="201">
        <v>65.8</v>
      </c>
      <c r="BY387" s="178">
        <v>6.7999999999999972</v>
      </c>
      <c r="CC387" s="201">
        <v>9</v>
      </c>
      <c r="CD387" s="198">
        <v>41822</v>
      </c>
      <c r="CI387" s="174" t="s">
        <v>9349</v>
      </c>
      <c r="CL387" s="174">
        <v>8</v>
      </c>
    </row>
    <row r="388" spans="1:91">
      <c r="A388" s="191" t="s">
        <v>7753</v>
      </c>
      <c r="B388" s="192" t="s">
        <v>269</v>
      </c>
      <c r="C388" s="192" t="s">
        <v>417</v>
      </c>
      <c r="D388" s="192" t="s">
        <v>8705</v>
      </c>
      <c r="E388" s="193">
        <v>246</v>
      </c>
      <c r="F388" s="193">
        <v>3</v>
      </c>
      <c r="K388" s="176">
        <v>9</v>
      </c>
      <c r="M388" s="197">
        <v>3</v>
      </c>
      <c r="N388" s="198">
        <v>41822</v>
      </c>
      <c r="S388" s="176">
        <f>(AE388*BS388)/100</f>
        <v>9.5326617826617834</v>
      </c>
      <c r="T388" s="198"/>
      <c r="U388" s="176">
        <v>16.2</v>
      </c>
      <c r="Y388" s="200">
        <f>(AE388*BU388)/100</f>
        <v>3.6342083842083848</v>
      </c>
      <c r="Z388" s="198"/>
      <c r="AA388" s="200"/>
      <c r="AB388" s="198"/>
      <c r="AC388" s="378">
        <f t="shared" si="6"/>
        <v>17.314814814814817</v>
      </c>
      <c r="AE388" s="176">
        <f>(M388/U388)*((100-CC388)/(100-9))*100</f>
        <v>19.027269027269028</v>
      </c>
      <c r="AF388" s="198">
        <v>41822</v>
      </c>
      <c r="AG388" s="176">
        <v>5.4</v>
      </c>
      <c r="AH388" s="196">
        <v>41927</v>
      </c>
      <c r="AI388" s="176">
        <v>100</v>
      </c>
      <c r="AM388" s="176">
        <v>85</v>
      </c>
      <c r="BG388" s="201">
        <v>36.6</v>
      </c>
      <c r="BI388" s="201">
        <v>3.9</v>
      </c>
      <c r="BK388" s="201">
        <v>1.2</v>
      </c>
      <c r="BM388" s="201">
        <v>37.200000000000003</v>
      </c>
      <c r="BO388" s="201">
        <v>12.9</v>
      </c>
      <c r="BQ388" s="201">
        <v>8.9</v>
      </c>
      <c r="BS388" s="201">
        <v>50.1</v>
      </c>
      <c r="BU388" s="201">
        <v>19.100000000000001</v>
      </c>
      <c r="BW388" s="201">
        <v>64.5</v>
      </c>
      <c r="BY388" s="178">
        <v>6.5</v>
      </c>
      <c r="CC388" s="201">
        <v>6.5</v>
      </c>
      <c r="CD388" s="198">
        <v>41822</v>
      </c>
      <c r="CI388" s="174" t="s">
        <v>9349</v>
      </c>
      <c r="CL388" s="174">
        <v>7</v>
      </c>
    </row>
    <row r="389" spans="1:91">
      <c r="A389" s="202" t="s">
        <v>7655</v>
      </c>
      <c r="B389" s="203" t="s">
        <v>269</v>
      </c>
      <c r="C389" s="203" t="s">
        <v>417</v>
      </c>
      <c r="D389" s="203" t="s">
        <v>8313</v>
      </c>
      <c r="E389" s="204">
        <v>246</v>
      </c>
      <c r="F389" s="204">
        <v>4</v>
      </c>
      <c r="G389" s="204"/>
      <c r="H389" s="204"/>
      <c r="I389" s="206"/>
      <c r="J389" s="206"/>
      <c r="K389" s="177">
        <v>8</v>
      </c>
      <c r="L389" s="207"/>
      <c r="M389" s="208">
        <v>0.8</v>
      </c>
      <c r="N389" s="209">
        <v>41822</v>
      </c>
      <c r="O389" s="183"/>
      <c r="P389" s="210"/>
      <c r="Q389" s="183"/>
      <c r="R389" s="210"/>
      <c r="S389" s="177">
        <f>(AE389*BS389)/100</f>
        <v>2.1879473612806954</v>
      </c>
      <c r="T389" s="209"/>
      <c r="U389" s="177">
        <v>16.2</v>
      </c>
      <c r="V389" s="210"/>
      <c r="W389" s="183"/>
      <c r="X389" s="210"/>
      <c r="Y389" s="213">
        <f>(AE389*BU389)/100</f>
        <v>1.0358865825532493</v>
      </c>
      <c r="Z389" s="209"/>
      <c r="AA389" s="213"/>
      <c r="AB389" s="209"/>
      <c r="AC389" s="378">
        <f t="shared" si="6"/>
        <v>4.404938271604939</v>
      </c>
      <c r="AD389" s="207"/>
      <c r="AE389" s="177">
        <f>(M389/U389)*((100-CC389)/(100-9))*100</f>
        <v>4.8405915072581749</v>
      </c>
      <c r="AF389" s="209">
        <v>41822</v>
      </c>
      <c r="AG389" s="177">
        <v>4.5999999999999996</v>
      </c>
      <c r="AH389" s="207">
        <v>41927</v>
      </c>
      <c r="AI389" s="177">
        <v>10</v>
      </c>
      <c r="AJ389" s="207"/>
      <c r="AK389" s="183"/>
      <c r="AL389" s="210"/>
      <c r="AM389" s="177">
        <v>86</v>
      </c>
      <c r="AN389" s="210"/>
      <c r="AO389" s="183"/>
      <c r="AP389" s="183"/>
      <c r="AQ389" s="183"/>
      <c r="AR389" s="183"/>
      <c r="AS389" s="183"/>
      <c r="AT389" s="183"/>
      <c r="AU389" s="183"/>
      <c r="AV389" s="183"/>
      <c r="AW389" s="183"/>
      <c r="AX389" s="183"/>
      <c r="AY389" s="183"/>
      <c r="AZ389" s="183"/>
      <c r="BA389" s="183"/>
      <c r="BB389" s="183"/>
      <c r="BC389" s="183"/>
      <c r="BD389" s="183"/>
      <c r="BE389" s="182"/>
      <c r="BF389" s="182"/>
      <c r="BG389" s="211">
        <v>7</v>
      </c>
      <c r="BH389" s="181"/>
      <c r="BI389" s="211">
        <v>4.5</v>
      </c>
      <c r="BJ389" s="181"/>
      <c r="BK389" s="211">
        <v>1.4</v>
      </c>
      <c r="BL389" s="181"/>
      <c r="BM389" s="211">
        <v>56.5</v>
      </c>
      <c r="BN389" s="181"/>
      <c r="BO389" s="211">
        <v>18</v>
      </c>
      <c r="BP389" s="181"/>
      <c r="BQ389" s="211">
        <v>11.3</v>
      </c>
      <c r="BR389" s="181"/>
      <c r="BS389" s="211">
        <v>45.2</v>
      </c>
      <c r="BT389" s="181"/>
      <c r="BU389" s="211">
        <v>21.4</v>
      </c>
      <c r="BV389" s="181"/>
      <c r="BW389" s="211">
        <v>61.6</v>
      </c>
      <c r="BX389" s="181"/>
      <c r="BY389" s="181">
        <v>7.4000000000000057</v>
      </c>
      <c r="BZ389" s="181"/>
      <c r="CA389" s="182"/>
      <c r="CB389" s="182"/>
      <c r="CC389" s="211">
        <v>10.8</v>
      </c>
      <c r="CD389" s="209">
        <v>41822</v>
      </c>
      <c r="CE389" s="181"/>
      <c r="CF389" s="181"/>
      <c r="CG389" s="182"/>
      <c r="CH389" s="182"/>
      <c r="CI389" s="175" t="s">
        <v>9349</v>
      </c>
      <c r="CJ389" s="181"/>
      <c r="CK389" s="181"/>
      <c r="CL389" s="175">
        <v>9</v>
      </c>
      <c r="CM389" s="175"/>
    </row>
    <row r="390" spans="1:91">
      <c r="A390" s="191" t="s">
        <v>7770</v>
      </c>
      <c r="B390" s="192" t="s">
        <v>269</v>
      </c>
      <c r="C390" s="192" t="s">
        <v>417</v>
      </c>
      <c r="D390" s="192" t="s">
        <v>8773</v>
      </c>
      <c r="E390" s="193">
        <v>246</v>
      </c>
      <c r="F390" s="193">
        <v>5</v>
      </c>
      <c r="K390" s="176">
        <v>9</v>
      </c>
      <c r="M390" s="197">
        <v>4.3</v>
      </c>
      <c r="N390" s="198">
        <v>41822</v>
      </c>
      <c r="S390" s="176">
        <f>(AE390*BS390)/100</f>
        <v>14.450677655677657</v>
      </c>
      <c r="T390" s="198"/>
      <c r="U390" s="176">
        <v>16.2</v>
      </c>
      <c r="Y390" s="200">
        <f>(AE390*BU390)/100</f>
        <v>4.2181827431827434</v>
      </c>
      <c r="Z390" s="198"/>
      <c r="AA390" s="200"/>
      <c r="AB390" s="198"/>
      <c r="AC390" s="378">
        <f t="shared" si="6"/>
        <v>24.764814814814816</v>
      </c>
      <c r="AE390" s="176">
        <f>(M390/U390)*((100-CC390)/(100-9))*100</f>
        <v>27.214082214082215</v>
      </c>
      <c r="AF390" s="198">
        <v>41822</v>
      </c>
      <c r="AG390" s="176">
        <v>4.8</v>
      </c>
      <c r="AH390" s="196">
        <v>41927</v>
      </c>
      <c r="AI390" s="176">
        <v>145</v>
      </c>
      <c r="AM390" s="176">
        <v>78</v>
      </c>
      <c r="BG390" s="201">
        <v>0</v>
      </c>
      <c r="BI390" s="201">
        <v>4.5</v>
      </c>
      <c r="BK390" s="201">
        <v>1.5</v>
      </c>
      <c r="BM390" s="201">
        <v>62.4</v>
      </c>
      <c r="BO390" s="201">
        <v>20.9</v>
      </c>
      <c r="BQ390" s="201">
        <v>9.5</v>
      </c>
      <c r="BS390" s="201">
        <v>53.1</v>
      </c>
      <c r="BU390" s="201">
        <v>15.5</v>
      </c>
      <c r="BW390" s="201">
        <v>8.3000000000000007</v>
      </c>
      <c r="BY390" s="178">
        <v>6.5</v>
      </c>
      <c r="CC390" s="201">
        <v>6.7</v>
      </c>
      <c r="CD390" s="198">
        <v>41822</v>
      </c>
      <c r="CI390" s="174" t="s">
        <v>9362</v>
      </c>
      <c r="CL390" s="174">
        <v>1</v>
      </c>
    </row>
    <row r="391" spans="1:91">
      <c r="A391" s="191" t="s">
        <v>7812</v>
      </c>
      <c r="B391" s="192" t="s">
        <v>269</v>
      </c>
      <c r="C391" s="192" t="s">
        <v>417</v>
      </c>
      <c r="D391" s="192" t="s">
        <v>8941</v>
      </c>
      <c r="E391" s="193">
        <v>246</v>
      </c>
      <c r="F391" s="193">
        <v>6</v>
      </c>
      <c r="K391" s="176">
        <v>7</v>
      </c>
      <c r="M391" s="197">
        <v>5</v>
      </c>
      <c r="N391" s="198">
        <v>41822</v>
      </c>
      <c r="S391" s="176">
        <f>(AE391*BS391)/100</f>
        <v>17.503052503052505</v>
      </c>
      <c r="T391" s="198"/>
      <c r="U391" s="176">
        <v>16.2</v>
      </c>
      <c r="Y391" s="200">
        <f>(AE391*BU391)/100</f>
        <v>4.3359110025776699</v>
      </c>
      <c r="Z391" s="198"/>
      <c r="AA391" s="200"/>
      <c r="AB391" s="198"/>
      <c r="AC391" s="378">
        <f t="shared" si="6"/>
        <v>29.012345679012348</v>
      </c>
      <c r="AE391" s="176">
        <f>(M391/U391)*((100-CC391)/(100-9))*100</f>
        <v>31.881698548365222</v>
      </c>
      <c r="AF391" s="198">
        <v>41822</v>
      </c>
      <c r="AG391" s="176">
        <v>5.4</v>
      </c>
      <c r="AH391" s="196">
        <v>41927</v>
      </c>
      <c r="AI391" s="176">
        <v>145</v>
      </c>
      <c r="AM391" s="176">
        <v>80</v>
      </c>
      <c r="BG391" s="201">
        <v>0</v>
      </c>
      <c r="BI391" s="201">
        <v>4.9000000000000004</v>
      </c>
      <c r="BK391" s="201">
        <v>1.7</v>
      </c>
      <c r="BM391" s="201">
        <v>67.3</v>
      </c>
      <c r="BO391" s="201">
        <v>20.100000000000001</v>
      </c>
      <c r="BQ391" s="201">
        <v>6.8</v>
      </c>
      <c r="BS391" s="201">
        <v>54.9</v>
      </c>
      <c r="BU391" s="201">
        <v>13.6</v>
      </c>
      <c r="BW391" s="201">
        <v>15.4</v>
      </c>
      <c r="BY391" s="178">
        <v>6.2000000000000028</v>
      </c>
      <c r="CC391" s="201">
        <v>6</v>
      </c>
      <c r="CD391" s="198">
        <v>41822</v>
      </c>
      <c r="CI391" s="174" t="s">
        <v>9360</v>
      </c>
      <c r="CL391" s="174">
        <v>3</v>
      </c>
    </row>
    <row r="392" spans="1:91">
      <c r="A392" s="191" t="s">
        <v>7610</v>
      </c>
      <c r="B392" s="192" t="s">
        <v>271</v>
      </c>
      <c r="C392" s="192" t="s">
        <v>8998</v>
      </c>
      <c r="D392" s="192" t="s">
        <v>8135</v>
      </c>
      <c r="E392" s="193">
        <v>246</v>
      </c>
      <c r="F392" s="193">
        <v>7</v>
      </c>
      <c r="I392" s="184"/>
      <c r="J392" s="184"/>
      <c r="K392" s="176">
        <v>6</v>
      </c>
      <c r="L392" s="178"/>
      <c r="M392" s="197">
        <v>2.9</v>
      </c>
      <c r="N392" s="198">
        <v>41822</v>
      </c>
      <c r="O392" s="179"/>
      <c r="P392" s="179"/>
      <c r="Q392" s="179"/>
      <c r="R392" s="179"/>
      <c r="S392" s="176">
        <f>(AE392*BS392)/100</f>
        <v>8.7835653235653233</v>
      </c>
      <c r="T392" s="198"/>
      <c r="U392" s="178">
        <v>16.2</v>
      </c>
      <c r="V392" s="179"/>
      <c r="W392" s="179"/>
      <c r="X392" s="179"/>
      <c r="Y392" s="200">
        <f>(AE392*BU392)/100</f>
        <v>3.5949613349613347</v>
      </c>
      <c r="Z392" s="198"/>
      <c r="AA392" s="200"/>
      <c r="AB392" s="198"/>
      <c r="AC392" s="378">
        <f t="shared" si="6"/>
        <v>16.862962962962964</v>
      </c>
      <c r="AE392" s="176">
        <f>(M392/U392)*((100-CC392)/(100-9))*100</f>
        <v>18.530728530728531</v>
      </c>
      <c r="AF392" s="198">
        <v>41822</v>
      </c>
      <c r="AG392" s="176">
        <v>4.0999999999999996</v>
      </c>
      <c r="AH392" s="196">
        <v>41927</v>
      </c>
      <c r="AI392" s="176">
        <v>140</v>
      </c>
      <c r="AM392" s="176">
        <v>89</v>
      </c>
      <c r="BG392" s="201">
        <v>45.6</v>
      </c>
      <c r="BI392" s="201">
        <v>3.9</v>
      </c>
      <c r="BK392" s="201">
        <v>1</v>
      </c>
      <c r="BM392" s="201">
        <v>33.9</v>
      </c>
      <c r="BO392" s="201">
        <v>16.399999999999999</v>
      </c>
      <c r="BQ392" s="201">
        <v>7.9</v>
      </c>
      <c r="BS392" s="201">
        <v>47.4</v>
      </c>
      <c r="BU392" s="201">
        <v>19.399999999999999</v>
      </c>
      <c r="BW392" s="201">
        <v>49.6</v>
      </c>
      <c r="BY392" s="178">
        <v>6.4000000000000057</v>
      </c>
      <c r="CC392" s="201">
        <v>5.8</v>
      </c>
      <c r="CD392" s="198">
        <v>41822</v>
      </c>
      <c r="CI392" s="174" t="s">
        <v>9349</v>
      </c>
      <c r="CL392" s="174">
        <v>8</v>
      </c>
    </row>
    <row r="393" spans="1:91">
      <c r="A393" s="191" t="s">
        <v>7789</v>
      </c>
      <c r="B393" s="192" t="s">
        <v>271</v>
      </c>
      <c r="C393" s="192" t="s">
        <v>8998</v>
      </c>
      <c r="D393" s="192" t="s">
        <v>8851</v>
      </c>
      <c r="E393" s="193">
        <v>246</v>
      </c>
      <c r="F393" s="193">
        <v>8</v>
      </c>
      <c r="K393" s="176">
        <v>7</v>
      </c>
      <c r="M393" s="197">
        <v>8.35</v>
      </c>
      <c r="N393" s="198">
        <v>41822</v>
      </c>
      <c r="S393" s="176">
        <f>(AE393*BS393)/100</f>
        <v>27.051858974358971</v>
      </c>
      <c r="T393" s="198"/>
      <c r="U393" s="176">
        <v>16.2</v>
      </c>
      <c r="Y393" s="200">
        <f>(AE393*BU393)/100</f>
        <v>8.542692307692306</v>
      </c>
      <c r="Z393" s="198"/>
      <c r="AA393" s="200"/>
      <c r="AB393" s="198"/>
      <c r="AC393" s="378">
        <f t="shared" si="6"/>
        <v>47.986728395061725</v>
      </c>
      <c r="AE393" s="176">
        <f>(M393/U393)*((100-CC393)/(100-9))*100</f>
        <v>52.732668566001891</v>
      </c>
      <c r="AF393" s="198">
        <v>41822</v>
      </c>
      <c r="AG393" s="176">
        <v>5.3</v>
      </c>
      <c r="AH393" s="196">
        <v>41927</v>
      </c>
      <c r="AI393" s="176">
        <v>170</v>
      </c>
      <c r="AM393" s="176">
        <v>86</v>
      </c>
      <c r="BG393" s="201">
        <v>0</v>
      </c>
      <c r="BI393" s="201">
        <v>4.9000000000000004</v>
      </c>
      <c r="BK393" s="201">
        <v>1.6</v>
      </c>
      <c r="BM393" s="201">
        <v>63.4</v>
      </c>
      <c r="BO393" s="201">
        <v>22.4</v>
      </c>
      <c r="BQ393" s="201">
        <v>7.3</v>
      </c>
      <c r="BS393" s="201">
        <v>51.3</v>
      </c>
      <c r="BU393" s="201">
        <v>16.2</v>
      </c>
      <c r="BW393" s="201">
        <v>10.6</v>
      </c>
      <c r="BY393" s="178">
        <v>6.2999999999999972</v>
      </c>
      <c r="CC393" s="201">
        <v>6.9</v>
      </c>
      <c r="CD393" s="198">
        <v>41822</v>
      </c>
      <c r="CI393" s="174" t="s">
        <v>9347</v>
      </c>
      <c r="CL393" s="174">
        <v>1</v>
      </c>
    </row>
    <row r="394" spans="1:91">
      <c r="A394" s="191" t="s">
        <v>7756</v>
      </c>
      <c r="B394" s="192" t="s">
        <v>271</v>
      </c>
      <c r="C394" s="192" t="s">
        <v>8998</v>
      </c>
      <c r="D394" s="192" t="s">
        <v>8719</v>
      </c>
      <c r="E394" s="193">
        <v>246</v>
      </c>
      <c r="F394" s="193">
        <v>9</v>
      </c>
      <c r="K394" s="176">
        <v>8</v>
      </c>
      <c r="M394" s="197">
        <v>3.9</v>
      </c>
      <c r="N394" s="198">
        <v>41822</v>
      </c>
      <c r="S394" s="176">
        <f>(AE394*BS394)/100</f>
        <v>11.786666666666665</v>
      </c>
      <c r="T394" s="198"/>
      <c r="U394" s="176">
        <v>16.2</v>
      </c>
      <c r="Y394" s="200">
        <f>(AE394*BU394)/100</f>
        <v>4.9276190476190465</v>
      </c>
      <c r="Z394" s="198"/>
      <c r="AA394" s="200"/>
      <c r="AB394" s="198"/>
      <c r="AC394" s="378">
        <f t="shared" si="6"/>
        <v>22.533333333333335</v>
      </c>
      <c r="AE394" s="176">
        <f>(M394/U394)*((100-CC394)/(100-9))*100</f>
        <v>24.761904761904759</v>
      </c>
      <c r="AF394" s="198">
        <v>41822</v>
      </c>
      <c r="AG394" s="176">
        <v>4.5</v>
      </c>
      <c r="AH394" s="196">
        <v>41927</v>
      </c>
      <c r="AI394" s="176">
        <v>100</v>
      </c>
      <c r="AM394" s="176">
        <v>82</v>
      </c>
      <c r="BG394" s="201">
        <v>2.5</v>
      </c>
      <c r="BI394" s="201">
        <v>4.4000000000000004</v>
      </c>
      <c r="BK394" s="201">
        <v>1.4</v>
      </c>
      <c r="BM394" s="201">
        <v>67.599999999999994</v>
      </c>
      <c r="BO394" s="201">
        <v>19.3</v>
      </c>
      <c r="BQ394" s="201">
        <v>8.1</v>
      </c>
      <c r="BS394" s="201">
        <v>47.6</v>
      </c>
      <c r="BU394" s="201">
        <v>19.899999999999999</v>
      </c>
      <c r="BW394" s="201">
        <v>65.099999999999994</v>
      </c>
      <c r="BY394" s="178">
        <v>6.2000000000000028</v>
      </c>
      <c r="CC394" s="201">
        <v>6.4</v>
      </c>
      <c r="CD394" s="198">
        <v>41822</v>
      </c>
      <c r="CI394" s="174" t="s">
        <v>9351</v>
      </c>
      <c r="CL394" s="174">
        <v>9</v>
      </c>
    </row>
    <row r="395" spans="1:91">
      <c r="A395" s="191" t="s">
        <v>7631</v>
      </c>
      <c r="B395" s="192" t="s">
        <v>271</v>
      </c>
      <c r="C395" s="192" t="s">
        <v>8998</v>
      </c>
      <c r="D395" s="192" t="s">
        <v>8219</v>
      </c>
      <c r="E395" s="193">
        <v>246</v>
      </c>
      <c r="F395" s="193">
        <v>10</v>
      </c>
      <c r="I395" s="184"/>
      <c r="K395" s="176">
        <v>7</v>
      </c>
      <c r="M395" s="197">
        <v>3.6</v>
      </c>
      <c r="N395" s="198">
        <v>41822</v>
      </c>
      <c r="O395" s="179"/>
      <c r="S395" s="176">
        <f>(AE395*BS395)/100</f>
        <v>10.447081807081808</v>
      </c>
      <c r="T395" s="198"/>
      <c r="U395" s="176">
        <v>16.2</v>
      </c>
      <c r="Y395" s="200">
        <f>(AE395*BU395)/100</f>
        <v>4.705689865689866</v>
      </c>
      <c r="Z395" s="198"/>
      <c r="AA395" s="200"/>
      <c r="AB395" s="198"/>
      <c r="AC395" s="378">
        <f t="shared" si="6"/>
        <v>20.488888888888891</v>
      </c>
      <c r="AE395" s="176">
        <f>(M395/U395)*((100-CC395)/(100-9))*100</f>
        <v>22.515262515262517</v>
      </c>
      <c r="AF395" s="198">
        <v>41822</v>
      </c>
      <c r="AG395" s="176">
        <v>4.3</v>
      </c>
      <c r="AH395" s="196">
        <v>41927</v>
      </c>
      <c r="AI395" s="176">
        <v>170</v>
      </c>
      <c r="AM395" s="176">
        <v>90</v>
      </c>
      <c r="BG395" s="201">
        <v>44.3</v>
      </c>
      <c r="BI395" s="201">
        <v>3.8</v>
      </c>
      <c r="BK395" s="201">
        <v>1</v>
      </c>
      <c r="BM395" s="201">
        <v>38.4</v>
      </c>
      <c r="BO395" s="201">
        <v>14.5</v>
      </c>
      <c r="BQ395" s="201">
        <v>7</v>
      </c>
      <c r="BS395" s="201">
        <v>46.4</v>
      </c>
      <c r="BU395" s="201">
        <v>20.9</v>
      </c>
      <c r="BW395" s="201">
        <v>77.099999999999994</v>
      </c>
      <c r="BY395" s="178">
        <v>6.7999999999999972</v>
      </c>
      <c r="CC395" s="201">
        <v>7.8</v>
      </c>
      <c r="CD395" s="198">
        <v>41822</v>
      </c>
      <c r="CI395" s="174" t="s">
        <v>9356</v>
      </c>
      <c r="CL395" s="174">
        <v>6</v>
      </c>
    </row>
    <row r="396" spans="1:91">
      <c r="A396" s="191" t="s">
        <v>7813</v>
      </c>
      <c r="B396" s="192" t="s">
        <v>271</v>
      </c>
      <c r="C396" s="192" t="s">
        <v>8998</v>
      </c>
      <c r="D396" s="192" t="s">
        <v>8947</v>
      </c>
      <c r="E396" s="193">
        <v>246</v>
      </c>
      <c r="F396" s="193">
        <v>11</v>
      </c>
      <c r="K396" s="176">
        <v>8</v>
      </c>
      <c r="M396" s="197">
        <v>6.65</v>
      </c>
      <c r="N396" s="198">
        <v>41822</v>
      </c>
      <c r="S396" s="176">
        <f>(AE396*BS396)/100</f>
        <v>20.708962488129156</v>
      </c>
      <c r="T396" s="198"/>
      <c r="U396" s="176">
        <v>16.2</v>
      </c>
      <c r="Y396" s="200">
        <f>(AE396*BU396)/100</f>
        <v>7.3388176638176628</v>
      </c>
      <c r="Z396" s="198"/>
      <c r="AA396" s="200"/>
      <c r="AB396" s="198"/>
      <c r="AC396" s="378">
        <f t="shared" si="6"/>
        <v>38.381172839506178</v>
      </c>
      <c r="AE396" s="176">
        <f>(M396/U396)*((100-CC396)/(100-9))*100</f>
        <v>42.177113010446341</v>
      </c>
      <c r="AF396" s="198">
        <v>41822</v>
      </c>
      <c r="AG396" s="176">
        <v>4.7</v>
      </c>
      <c r="AH396" s="196">
        <v>41927</v>
      </c>
      <c r="AI396" s="176">
        <v>170</v>
      </c>
      <c r="AM396" s="176">
        <v>87</v>
      </c>
      <c r="BG396" s="201">
        <v>1.4</v>
      </c>
      <c r="BI396" s="201">
        <v>4.9000000000000004</v>
      </c>
      <c r="BK396" s="201">
        <v>1.6</v>
      </c>
      <c r="BM396" s="201">
        <v>63.9</v>
      </c>
      <c r="BO396" s="201">
        <v>21</v>
      </c>
      <c r="BQ396" s="201">
        <v>7.5</v>
      </c>
      <c r="BS396" s="201">
        <v>49.1</v>
      </c>
      <c r="BU396" s="201">
        <v>17.399999999999999</v>
      </c>
      <c r="BW396" s="201">
        <v>9.6</v>
      </c>
      <c r="BY396" s="178">
        <v>6.5999999999999943</v>
      </c>
      <c r="CC396" s="201">
        <v>6.5</v>
      </c>
      <c r="CD396" s="198">
        <v>41822</v>
      </c>
      <c r="CI396" s="174" t="s">
        <v>9347</v>
      </c>
      <c r="CL396" s="174">
        <v>2</v>
      </c>
    </row>
    <row r="397" spans="1:91">
      <c r="A397" s="191" t="s">
        <v>7807</v>
      </c>
      <c r="B397" s="192" t="s">
        <v>271</v>
      </c>
      <c r="C397" s="192" t="s">
        <v>8998</v>
      </c>
      <c r="D397" s="192" t="s">
        <v>8923</v>
      </c>
      <c r="E397" s="193">
        <v>246</v>
      </c>
      <c r="F397" s="193">
        <v>12</v>
      </c>
      <c r="K397" s="176">
        <v>6</v>
      </c>
      <c r="M397" s="197">
        <v>6.4</v>
      </c>
      <c r="N397" s="198">
        <v>41822</v>
      </c>
      <c r="S397" s="176">
        <f>(AE397*BS397)/100</f>
        <v>21.224713064713068</v>
      </c>
      <c r="T397" s="198"/>
      <c r="U397" s="176">
        <v>16.2</v>
      </c>
      <c r="Y397" s="200">
        <f>(AE397*BU397)/100</f>
        <v>6.9522181522181539</v>
      </c>
      <c r="Z397" s="198"/>
      <c r="AA397" s="200"/>
      <c r="AB397" s="198"/>
      <c r="AC397" s="378">
        <f t="shared" si="6"/>
        <v>37.214814814814822</v>
      </c>
      <c r="AE397" s="176">
        <f>(M397/U397)*((100-CC397)/(100-9))*100</f>
        <v>40.895400895400904</v>
      </c>
      <c r="AF397" s="198">
        <v>41822</v>
      </c>
      <c r="AG397" s="176">
        <v>5.0999999999999996</v>
      </c>
      <c r="AH397" s="196">
        <v>41927</v>
      </c>
      <c r="AI397" s="176">
        <v>150</v>
      </c>
      <c r="AM397" s="176">
        <v>87</v>
      </c>
      <c r="BG397" s="201">
        <v>0</v>
      </c>
      <c r="BI397" s="201">
        <v>4.5</v>
      </c>
      <c r="BK397" s="201">
        <v>1.5</v>
      </c>
      <c r="BM397" s="201">
        <v>61.6</v>
      </c>
      <c r="BO397" s="201">
        <v>20.8</v>
      </c>
      <c r="BQ397" s="201">
        <v>9</v>
      </c>
      <c r="BS397" s="201">
        <v>51.9</v>
      </c>
      <c r="BU397" s="201">
        <v>17</v>
      </c>
      <c r="BW397" s="201">
        <v>13.9</v>
      </c>
      <c r="BY397" s="178">
        <v>6</v>
      </c>
      <c r="CC397" s="201">
        <v>5.8</v>
      </c>
      <c r="CD397" s="198">
        <v>41822</v>
      </c>
      <c r="CI397" s="174" t="s">
        <v>9347</v>
      </c>
      <c r="CL397" s="174">
        <v>1</v>
      </c>
    </row>
    <row r="398" spans="1:91">
      <c r="A398" s="191" t="s">
        <v>7646</v>
      </c>
      <c r="B398" s="192" t="s">
        <v>269</v>
      </c>
      <c r="C398" s="192" t="s">
        <v>417</v>
      </c>
      <c r="D398" s="192" t="s">
        <v>8277</v>
      </c>
      <c r="E398" s="193">
        <v>247</v>
      </c>
      <c r="F398" s="193">
        <v>1</v>
      </c>
      <c r="K398" s="176">
        <v>8</v>
      </c>
      <c r="M398" s="197">
        <v>2.35</v>
      </c>
      <c r="N398" s="198">
        <v>41822</v>
      </c>
      <c r="S398" s="176">
        <f>(AE398*BS398)/100</f>
        <v>7.2126923076923086</v>
      </c>
      <c r="T398" s="198"/>
      <c r="U398" s="176">
        <v>16.2</v>
      </c>
      <c r="Y398" s="200">
        <f>(AE398*BU398)/100</f>
        <v>2.6565265906932574</v>
      </c>
      <c r="Z398" s="198"/>
      <c r="AA398" s="200"/>
      <c r="AB398" s="198"/>
      <c r="AC398" s="378">
        <f t="shared" si="6"/>
        <v>13.505246913580246</v>
      </c>
      <c r="AE398" s="176">
        <f>(M398/U398)*((100-CC398)/(100-9))*100</f>
        <v>14.840930674264008</v>
      </c>
      <c r="AF398" s="198">
        <v>41822</v>
      </c>
      <c r="AG398" s="176">
        <v>4.3</v>
      </c>
      <c r="AH398" s="196">
        <v>41927</v>
      </c>
      <c r="AI398" s="176">
        <v>100</v>
      </c>
      <c r="AM398" s="176">
        <v>83</v>
      </c>
      <c r="BG398" s="201">
        <v>4.2</v>
      </c>
      <c r="BI398" s="201">
        <v>4.7</v>
      </c>
      <c r="BK398" s="201">
        <v>1.4</v>
      </c>
      <c r="BM398" s="201">
        <v>61.4</v>
      </c>
      <c r="BO398" s="201">
        <v>20</v>
      </c>
      <c r="BQ398" s="201">
        <v>9.5</v>
      </c>
      <c r="BS398" s="201">
        <v>48.6</v>
      </c>
      <c r="BU398" s="201">
        <v>17.899999999999999</v>
      </c>
      <c r="BW398" s="201">
        <v>65.2</v>
      </c>
      <c r="BY398" s="178">
        <v>7</v>
      </c>
      <c r="CC398" s="201">
        <v>6.9</v>
      </c>
      <c r="CD398" s="198">
        <v>41822</v>
      </c>
      <c r="CI398" s="174" t="s">
        <v>9337</v>
      </c>
      <c r="CL398" s="174">
        <v>8</v>
      </c>
    </row>
    <row r="399" spans="1:91">
      <c r="A399" s="202" t="s">
        <v>7737</v>
      </c>
      <c r="B399" s="203" t="s">
        <v>269</v>
      </c>
      <c r="C399" s="203" t="s">
        <v>417</v>
      </c>
      <c r="D399" s="203" t="s">
        <v>8641</v>
      </c>
      <c r="E399" s="204">
        <v>247</v>
      </c>
      <c r="F399" s="204">
        <v>2</v>
      </c>
      <c r="G399" s="204"/>
      <c r="H399" s="204"/>
      <c r="I399" s="206"/>
      <c r="J399" s="206"/>
      <c r="K399" s="177">
        <v>8</v>
      </c>
      <c r="L399" s="207"/>
      <c r="M399" s="208">
        <v>1.2</v>
      </c>
      <c r="N399" s="209">
        <v>41822</v>
      </c>
      <c r="O399" s="183"/>
      <c r="P399" s="210"/>
      <c r="Q399" s="183"/>
      <c r="R399" s="210"/>
      <c r="S399" s="177">
        <f>(AE399*BS399)/100</f>
        <v>3.5672771672771666</v>
      </c>
      <c r="T399" s="209"/>
      <c r="U399" s="177">
        <v>16.2</v>
      </c>
      <c r="V399" s="210"/>
      <c r="W399" s="183"/>
      <c r="X399" s="210"/>
      <c r="Y399" s="213">
        <f>(AE399*BU399)/100</f>
        <v>1.3753357753357749</v>
      </c>
      <c r="Z399" s="209"/>
      <c r="AA399" s="213"/>
      <c r="AB399" s="209"/>
      <c r="AC399" s="378">
        <f t="shared" si="6"/>
        <v>6.5185185185185182</v>
      </c>
      <c r="AD399" s="207"/>
      <c r="AE399" s="177">
        <f>(M399/U399)*((100-CC399)/(100-9))*100</f>
        <v>7.1632071632071623</v>
      </c>
      <c r="AF399" s="209">
        <v>41822</v>
      </c>
      <c r="AG399" s="177">
        <v>5.3</v>
      </c>
      <c r="AH399" s="207">
        <v>41927</v>
      </c>
      <c r="AI399" s="177">
        <v>100</v>
      </c>
      <c r="AJ399" s="207"/>
      <c r="AK399" s="183"/>
      <c r="AL399" s="210"/>
      <c r="AM399" s="177">
        <v>78</v>
      </c>
      <c r="AN399" s="210"/>
      <c r="AO399" s="183"/>
      <c r="AP399" s="183"/>
      <c r="AQ399" s="183"/>
      <c r="AR399" s="183"/>
      <c r="AS399" s="183"/>
      <c r="AT399" s="183"/>
      <c r="AU399" s="183"/>
      <c r="AV399" s="183"/>
      <c r="AW399" s="183"/>
      <c r="AX399" s="183"/>
      <c r="AY399" s="183"/>
      <c r="AZ399" s="183"/>
      <c r="BA399" s="183"/>
      <c r="BB399" s="183"/>
      <c r="BC399" s="183"/>
      <c r="BD399" s="183"/>
      <c r="BE399" s="182"/>
      <c r="BF399" s="182"/>
      <c r="BG399" s="211">
        <v>5</v>
      </c>
      <c r="BH399" s="181"/>
      <c r="BI399" s="211">
        <v>4.3</v>
      </c>
      <c r="BJ399" s="181"/>
      <c r="BK399" s="211">
        <v>1.4</v>
      </c>
      <c r="BL399" s="181"/>
      <c r="BM399" s="211">
        <v>65.400000000000006</v>
      </c>
      <c r="BN399" s="181"/>
      <c r="BO399" s="211">
        <v>17.7</v>
      </c>
      <c r="BP399" s="181"/>
      <c r="BQ399" s="211">
        <v>9.8000000000000007</v>
      </c>
      <c r="BR399" s="181"/>
      <c r="BS399" s="211">
        <v>49.8</v>
      </c>
      <c r="BT399" s="181"/>
      <c r="BU399" s="211">
        <v>19.2</v>
      </c>
      <c r="BV399" s="181"/>
      <c r="BW399" s="211">
        <v>28.6</v>
      </c>
      <c r="BX399" s="181"/>
      <c r="BY399" s="181">
        <v>7.2000000000000028</v>
      </c>
      <c r="BZ399" s="181"/>
      <c r="CA399" s="182"/>
      <c r="CB399" s="182"/>
      <c r="CC399" s="211">
        <v>12</v>
      </c>
      <c r="CD399" s="209">
        <v>41822</v>
      </c>
      <c r="CE399" s="181"/>
      <c r="CF399" s="181"/>
      <c r="CG399" s="182"/>
      <c r="CH399" s="182"/>
      <c r="CI399" s="175" t="s">
        <v>9351</v>
      </c>
      <c r="CJ399" s="181"/>
      <c r="CK399" s="181"/>
      <c r="CL399" s="175">
        <v>9</v>
      </c>
      <c r="CM399" s="175"/>
    </row>
    <row r="400" spans="1:91">
      <c r="A400" s="191" t="s">
        <v>7802</v>
      </c>
      <c r="B400" s="192" t="s">
        <v>269</v>
      </c>
      <c r="C400" s="192" t="s">
        <v>417</v>
      </c>
      <c r="D400" s="192" t="s">
        <v>8901</v>
      </c>
      <c r="E400" s="193">
        <v>247</v>
      </c>
      <c r="F400" s="193">
        <v>3</v>
      </c>
      <c r="K400" s="176">
        <v>8</v>
      </c>
      <c r="M400" s="197">
        <v>4.7</v>
      </c>
      <c r="N400" s="198">
        <v>41822</v>
      </c>
      <c r="S400" s="176">
        <f>(AE400*BS400)/100</f>
        <v>15.883079636412969</v>
      </c>
      <c r="T400" s="198"/>
      <c r="U400" s="176">
        <v>16.2</v>
      </c>
      <c r="Y400" s="200">
        <f>(AE400*BU400)/100</f>
        <v>4.3693230226563564</v>
      </c>
      <c r="Z400" s="198"/>
      <c r="AA400" s="200"/>
      <c r="AB400" s="198"/>
      <c r="AC400" s="378">
        <f t="shared" si="6"/>
        <v>26.865432098765432</v>
      </c>
      <c r="AE400" s="176">
        <f>(M400/U400)*((100-CC400)/(100-9))*100</f>
        <v>29.522452855786192</v>
      </c>
      <c r="AF400" s="198">
        <v>41822</v>
      </c>
      <c r="AG400" s="176">
        <v>5.0999999999999996</v>
      </c>
      <c r="AH400" s="196">
        <v>41927</v>
      </c>
      <c r="AI400" s="176">
        <v>150</v>
      </c>
      <c r="AM400" s="176">
        <v>80</v>
      </c>
      <c r="BG400" s="201">
        <v>0</v>
      </c>
      <c r="BI400" s="201">
        <v>5.2</v>
      </c>
      <c r="BK400" s="201">
        <v>1.6</v>
      </c>
      <c r="BM400" s="201">
        <v>63.5</v>
      </c>
      <c r="BO400" s="201">
        <v>20.9</v>
      </c>
      <c r="BQ400" s="201">
        <v>8.8000000000000007</v>
      </c>
      <c r="BS400" s="201">
        <v>53.8</v>
      </c>
      <c r="BU400" s="201">
        <v>14.8</v>
      </c>
      <c r="BW400" s="201">
        <v>11.1</v>
      </c>
      <c r="BY400" s="178">
        <v>6.7000000000000028</v>
      </c>
      <c r="CC400" s="201">
        <v>7.4</v>
      </c>
      <c r="CD400" s="198">
        <v>41822</v>
      </c>
      <c r="CI400" s="174" t="s">
        <v>9374</v>
      </c>
      <c r="CL400" s="174">
        <v>3</v>
      </c>
    </row>
    <row r="401" spans="1:90">
      <c r="A401" s="191" t="s">
        <v>7779</v>
      </c>
      <c r="B401" s="192" t="s">
        <v>269</v>
      </c>
      <c r="C401" s="192" t="s">
        <v>417</v>
      </c>
      <c r="D401" s="192" t="s">
        <v>8809</v>
      </c>
      <c r="E401" s="193">
        <v>247</v>
      </c>
      <c r="F401" s="193">
        <v>4</v>
      </c>
      <c r="K401" s="176">
        <v>8</v>
      </c>
      <c r="M401" s="197">
        <v>4.75</v>
      </c>
      <c r="N401" s="198">
        <v>41822</v>
      </c>
      <c r="S401" s="176">
        <f>(AE401*BS401)/100</f>
        <v>15.664173789173789</v>
      </c>
      <c r="T401" s="198"/>
      <c r="U401" s="176">
        <v>16.2</v>
      </c>
      <c r="Y401" s="200">
        <f>(AE401*BU401)/100</f>
        <v>4.8335164835164832</v>
      </c>
      <c r="Z401" s="198"/>
      <c r="AA401" s="200"/>
      <c r="AB401" s="198"/>
      <c r="AC401" s="378">
        <f t="shared" si="6"/>
        <v>27.151234567901234</v>
      </c>
      <c r="AE401" s="176">
        <f>(M401/U401)*((100-CC401)/(100-9))*100</f>
        <v>29.83652150318817</v>
      </c>
      <c r="AF401" s="198">
        <v>41822</v>
      </c>
      <c r="AG401" s="176">
        <v>5.2</v>
      </c>
      <c r="AH401" s="196">
        <v>41927</v>
      </c>
      <c r="AI401" s="176">
        <v>150</v>
      </c>
      <c r="AM401" s="176">
        <v>80</v>
      </c>
      <c r="BG401" s="201">
        <v>5</v>
      </c>
      <c r="BI401" s="201">
        <v>4.8</v>
      </c>
      <c r="BK401" s="201">
        <v>1.6</v>
      </c>
      <c r="BM401" s="201">
        <v>65.5</v>
      </c>
      <c r="BO401" s="201">
        <v>20.9</v>
      </c>
      <c r="BQ401" s="201">
        <v>8.5</v>
      </c>
      <c r="BS401" s="201">
        <v>52.5</v>
      </c>
      <c r="BU401" s="201">
        <v>16.2</v>
      </c>
      <c r="BW401" s="201">
        <v>7.2</v>
      </c>
      <c r="BY401" s="178">
        <v>6.5999999999999943</v>
      </c>
      <c r="CC401" s="201">
        <v>7.4</v>
      </c>
      <c r="CD401" s="198">
        <v>41822</v>
      </c>
      <c r="CI401" s="174" t="s">
        <v>9347</v>
      </c>
      <c r="CL401" s="174">
        <v>1</v>
      </c>
    </row>
    <row r="402" spans="1:90">
      <c r="A402" s="191" t="s">
        <v>7692</v>
      </c>
      <c r="B402" s="192" t="s">
        <v>269</v>
      </c>
      <c r="C402" s="192" t="s">
        <v>417</v>
      </c>
      <c r="D402" s="192" t="s">
        <v>8461</v>
      </c>
      <c r="E402" s="193">
        <v>247</v>
      </c>
      <c r="F402" s="193">
        <v>5</v>
      </c>
      <c r="K402" s="176">
        <v>8</v>
      </c>
      <c r="M402" s="197">
        <v>3.9</v>
      </c>
      <c r="N402" s="198">
        <v>41822</v>
      </c>
      <c r="S402" s="176">
        <f>(AE402*BS402)/100</f>
        <v>12.588095238095237</v>
      </c>
      <c r="T402" s="198"/>
      <c r="U402" s="176">
        <v>16.2</v>
      </c>
      <c r="Y402" s="200">
        <f>(AE402*BU402)/100</f>
        <v>4.1466666666666665</v>
      </c>
      <c r="Z402" s="198"/>
      <c r="AA402" s="200"/>
      <c r="AB402" s="198"/>
      <c r="AC402" s="378">
        <f t="shared" si="6"/>
        <v>22.461111111111112</v>
      </c>
      <c r="AE402" s="176">
        <f>(M402/U402)*((100-CC402)/(100-9))*100</f>
        <v>24.68253968253968</v>
      </c>
      <c r="AF402" s="198">
        <v>41822</v>
      </c>
      <c r="AG402" s="176">
        <v>4.4000000000000004</v>
      </c>
      <c r="AH402" s="196">
        <v>41927</v>
      </c>
      <c r="AI402" s="176">
        <v>120</v>
      </c>
      <c r="AM402" s="176">
        <v>78</v>
      </c>
      <c r="BG402" s="201">
        <v>1.3</v>
      </c>
      <c r="BI402" s="201">
        <v>4.5</v>
      </c>
      <c r="BK402" s="201">
        <v>1.5</v>
      </c>
      <c r="BM402" s="201">
        <v>63</v>
      </c>
      <c r="BO402" s="201">
        <v>19.8</v>
      </c>
      <c r="BQ402" s="201">
        <v>8.5</v>
      </c>
      <c r="BS402" s="201">
        <v>51</v>
      </c>
      <c r="BU402" s="201">
        <v>16.8</v>
      </c>
      <c r="BW402" s="201">
        <v>13.5</v>
      </c>
      <c r="BY402" s="178">
        <v>6.7999999999999972</v>
      </c>
      <c r="CC402" s="201">
        <v>6.7</v>
      </c>
      <c r="CD402" s="198">
        <v>41822</v>
      </c>
      <c r="CI402" s="174" t="s">
        <v>9362</v>
      </c>
      <c r="CL402" s="174">
        <v>1</v>
      </c>
    </row>
    <row r="403" spans="1:90">
      <c r="A403" s="191" t="s">
        <v>7897</v>
      </c>
      <c r="B403" s="192" t="s">
        <v>269</v>
      </c>
      <c r="C403" s="192" t="s">
        <v>417</v>
      </c>
      <c r="D403" s="192" t="s">
        <v>8961</v>
      </c>
      <c r="E403" s="193">
        <v>247</v>
      </c>
      <c r="F403" s="193">
        <v>6</v>
      </c>
      <c r="K403" s="176">
        <v>7</v>
      </c>
      <c r="M403" s="197">
        <v>3.3</v>
      </c>
      <c r="N403" s="198">
        <v>41822</v>
      </c>
      <c r="S403" s="176">
        <f>(AE403*BS403)/100</f>
        <v>10.782484737484735</v>
      </c>
      <c r="T403" s="198"/>
      <c r="U403" s="176">
        <v>16.2</v>
      </c>
      <c r="Y403" s="200">
        <f>(AE403*BU403)/100</f>
        <v>3.2986568986568985</v>
      </c>
      <c r="Z403" s="198"/>
      <c r="AA403" s="200"/>
      <c r="AB403" s="198"/>
      <c r="AC403" s="378">
        <f t="shared" si="6"/>
        <v>18.761111111111109</v>
      </c>
      <c r="AE403" s="176">
        <f>(M403/U403)*((100-CC403)/(100-9))*100</f>
        <v>20.616605616605614</v>
      </c>
      <c r="AF403" s="198">
        <v>41822</v>
      </c>
      <c r="AG403" s="176">
        <v>4.7</v>
      </c>
      <c r="AH403" s="196">
        <v>41927</v>
      </c>
      <c r="AI403" s="176">
        <v>130</v>
      </c>
      <c r="AM403" s="176">
        <v>76</v>
      </c>
      <c r="BG403" s="201">
        <v>0.3</v>
      </c>
      <c r="BI403" s="201">
        <v>4.5</v>
      </c>
      <c r="BK403" s="201">
        <v>1.6</v>
      </c>
      <c r="BM403" s="201">
        <v>63.2</v>
      </c>
      <c r="BO403" s="201">
        <v>21.6</v>
      </c>
      <c r="BQ403" s="201">
        <v>8.4</v>
      </c>
      <c r="BS403" s="201">
        <v>52.3</v>
      </c>
      <c r="BU403" s="201">
        <v>16</v>
      </c>
      <c r="BW403" s="201">
        <v>15.5</v>
      </c>
      <c r="BY403" s="178">
        <v>6.7999999999999972</v>
      </c>
      <c r="CC403" s="201">
        <v>7.9</v>
      </c>
      <c r="CD403" s="198">
        <v>41822</v>
      </c>
      <c r="CI403" s="174" t="s">
        <v>9392</v>
      </c>
      <c r="CL403" s="174" t="s">
        <v>9001</v>
      </c>
    </row>
    <row r="404" spans="1:90">
      <c r="A404" s="191" t="s">
        <v>7898</v>
      </c>
      <c r="B404" s="192" t="s">
        <v>271</v>
      </c>
      <c r="C404" s="192" t="s">
        <v>8998</v>
      </c>
      <c r="D404" s="192" t="s">
        <v>8995</v>
      </c>
      <c r="E404" s="193">
        <v>247</v>
      </c>
      <c r="F404" s="193">
        <v>7</v>
      </c>
      <c r="K404" s="176">
        <v>7</v>
      </c>
      <c r="M404" s="197">
        <v>7.3</v>
      </c>
      <c r="N404" s="198">
        <v>41822</v>
      </c>
      <c r="S404" s="176">
        <f>(AE404*BS404)/100</f>
        <v>23.192726902726903</v>
      </c>
      <c r="T404" s="198"/>
      <c r="U404" s="176">
        <v>16.2</v>
      </c>
      <c r="Y404" s="200">
        <f>(AE404*BU404)/100</f>
        <v>7.8541107041107043</v>
      </c>
      <c r="Z404" s="198"/>
      <c r="AA404" s="200"/>
      <c r="AB404" s="198"/>
      <c r="AC404" s="378">
        <f t="shared" si="6"/>
        <v>42.042592592592591</v>
      </c>
      <c r="AE404" s="176">
        <f>(M404/U404)*((100-CC404)/(100-9))*100</f>
        <v>46.200651200651201</v>
      </c>
      <c r="AF404" s="198">
        <v>41822</v>
      </c>
      <c r="AG404" s="176">
        <v>3.7</v>
      </c>
      <c r="AH404" s="196">
        <v>41927</v>
      </c>
      <c r="AI404" s="176">
        <v>170</v>
      </c>
      <c r="AM404" s="176">
        <v>79</v>
      </c>
      <c r="BG404" s="201">
        <v>0</v>
      </c>
      <c r="BI404" s="201">
        <v>4.9000000000000004</v>
      </c>
      <c r="BK404" s="201">
        <v>1.6</v>
      </c>
      <c r="BM404" s="201">
        <v>63</v>
      </c>
      <c r="BO404" s="201">
        <v>21</v>
      </c>
      <c r="BQ404" s="201">
        <v>8.6</v>
      </c>
      <c r="BS404" s="201">
        <v>50.2</v>
      </c>
      <c r="BU404" s="201">
        <v>17</v>
      </c>
      <c r="BW404" s="201">
        <v>13.1</v>
      </c>
      <c r="BY404" s="178">
        <v>6.5</v>
      </c>
      <c r="CC404" s="201">
        <v>6.7</v>
      </c>
      <c r="CD404" s="198">
        <v>41822</v>
      </c>
      <c r="CI404" s="174" t="s">
        <v>9346</v>
      </c>
      <c r="CL404" s="174" t="s">
        <v>9001</v>
      </c>
    </row>
    <row r="405" spans="1:90">
      <c r="A405" s="191" t="s">
        <v>7775</v>
      </c>
      <c r="B405" s="192" t="s">
        <v>271</v>
      </c>
      <c r="C405" s="192" t="s">
        <v>8998</v>
      </c>
      <c r="D405" s="192" t="s">
        <v>8795</v>
      </c>
      <c r="E405" s="193">
        <v>247</v>
      </c>
      <c r="F405" s="193">
        <v>8</v>
      </c>
      <c r="K405" s="176">
        <v>7</v>
      </c>
      <c r="M405" s="197">
        <v>7.35</v>
      </c>
      <c r="N405" s="198">
        <v>41822</v>
      </c>
      <c r="S405" s="176">
        <f>(AE405*BS405)/100</f>
        <v>23.351581196581197</v>
      </c>
      <c r="T405" s="198"/>
      <c r="U405" s="176">
        <v>16.2</v>
      </c>
      <c r="Y405" s="200">
        <f>(AE405*BU405)/100</f>
        <v>7.9544230769230762</v>
      </c>
      <c r="Z405" s="198"/>
      <c r="AA405" s="200"/>
      <c r="AB405" s="198"/>
      <c r="AC405" s="378">
        <f t="shared" si="6"/>
        <v>42.330555555555556</v>
      </c>
      <c r="AE405" s="176">
        <f>(M405/U405)*((100-CC405)/(100-9))*100</f>
        <v>46.51709401709401</v>
      </c>
      <c r="AF405" s="198">
        <v>41822</v>
      </c>
      <c r="AG405" s="176">
        <v>5</v>
      </c>
      <c r="AH405" s="196">
        <v>41927</v>
      </c>
      <c r="AI405" s="176">
        <v>135</v>
      </c>
      <c r="AM405" s="176">
        <v>83</v>
      </c>
      <c r="BG405" s="201">
        <v>0.1</v>
      </c>
      <c r="BI405" s="201">
        <v>4.5</v>
      </c>
      <c r="BK405" s="201">
        <v>1.6</v>
      </c>
      <c r="BM405" s="201">
        <v>62.6</v>
      </c>
      <c r="BO405" s="201">
        <v>20.5</v>
      </c>
      <c r="BQ405" s="201">
        <v>9.3000000000000007</v>
      </c>
      <c r="BS405" s="201">
        <v>50.2</v>
      </c>
      <c r="BU405" s="201">
        <v>17.100000000000001</v>
      </c>
      <c r="BW405" s="201">
        <v>9.6999999999999993</v>
      </c>
      <c r="BY405" s="178">
        <v>6.4000000000000057</v>
      </c>
      <c r="CC405" s="201">
        <v>6.7</v>
      </c>
      <c r="CD405" s="198">
        <v>41822</v>
      </c>
      <c r="CI405" s="174" t="s">
        <v>9347</v>
      </c>
      <c r="CL405" s="174">
        <v>1</v>
      </c>
    </row>
    <row r="406" spans="1:90">
      <c r="A406" s="191" t="s">
        <v>7726</v>
      </c>
      <c r="B406" s="192" t="s">
        <v>271</v>
      </c>
      <c r="C406" s="192" t="s">
        <v>8998</v>
      </c>
      <c r="D406" s="192" t="s">
        <v>8599</v>
      </c>
      <c r="E406" s="193">
        <v>247</v>
      </c>
      <c r="F406" s="193">
        <v>9</v>
      </c>
      <c r="K406" s="176">
        <v>8</v>
      </c>
      <c r="M406" s="197">
        <v>3.6</v>
      </c>
      <c r="N406" s="198">
        <v>41822</v>
      </c>
      <c r="S406" s="176">
        <f>(AE406*BS406)/100</f>
        <v>10.719902319902321</v>
      </c>
      <c r="T406" s="198"/>
      <c r="U406" s="176">
        <v>16.2</v>
      </c>
      <c r="Y406" s="200">
        <f>(AE406*BU406)/100</f>
        <v>4.1967277167277173</v>
      </c>
      <c r="Z406" s="198"/>
      <c r="AA406" s="200"/>
      <c r="AB406" s="198"/>
      <c r="AC406" s="378">
        <f t="shared" si="6"/>
        <v>20.75555555555556</v>
      </c>
      <c r="AE406" s="176">
        <f>(M406/U406)*((100-CC406)/(100-9))*100</f>
        <v>22.808302808302813</v>
      </c>
      <c r="AF406" s="198">
        <v>41822</v>
      </c>
      <c r="AG406" s="176">
        <v>4.5</v>
      </c>
      <c r="AH406" s="196">
        <v>41927</v>
      </c>
      <c r="AI406" s="176">
        <v>110</v>
      </c>
      <c r="AM406" s="176">
        <v>85</v>
      </c>
      <c r="BG406" s="201">
        <v>0.9</v>
      </c>
      <c r="BI406" s="201">
        <v>4.5</v>
      </c>
      <c r="BK406" s="201">
        <v>1.5</v>
      </c>
      <c r="BM406" s="201">
        <v>60.9</v>
      </c>
      <c r="BO406" s="201">
        <v>21</v>
      </c>
      <c r="BQ406" s="201">
        <v>7.6</v>
      </c>
      <c r="BS406" s="201">
        <v>47</v>
      </c>
      <c r="BU406" s="201">
        <v>18.399999999999999</v>
      </c>
      <c r="BW406" s="201">
        <v>22</v>
      </c>
      <c r="BY406" s="178">
        <v>6.5999999999999943</v>
      </c>
      <c r="CC406" s="201">
        <v>6.6</v>
      </c>
      <c r="CD406" s="198">
        <v>41822</v>
      </c>
      <c r="CI406" s="174" t="s">
        <v>9355</v>
      </c>
      <c r="CL406" s="174">
        <v>8</v>
      </c>
    </row>
    <row r="407" spans="1:90">
      <c r="A407" s="191" t="s">
        <v>7798</v>
      </c>
      <c r="B407" s="192" t="s">
        <v>271</v>
      </c>
      <c r="C407" s="192" t="s">
        <v>8998</v>
      </c>
      <c r="D407" s="192" t="s">
        <v>8887</v>
      </c>
      <c r="E407" s="193">
        <v>247</v>
      </c>
      <c r="F407" s="193">
        <v>10</v>
      </c>
      <c r="K407" s="176">
        <v>8</v>
      </c>
      <c r="M407" s="197">
        <v>5.4</v>
      </c>
      <c r="N407" s="198">
        <v>41822</v>
      </c>
      <c r="S407" s="176">
        <f>(AE407*BS407)/100</f>
        <v>17.581684981684983</v>
      </c>
      <c r="T407" s="198"/>
      <c r="U407" s="176">
        <v>16.2</v>
      </c>
      <c r="Y407" s="200">
        <f>(AE407*BU407)/100</f>
        <v>5.7012454212454227</v>
      </c>
      <c r="Z407" s="198"/>
      <c r="AA407" s="200"/>
      <c r="AB407" s="198"/>
      <c r="AC407" s="378">
        <f t="shared" si="6"/>
        <v>31.06666666666667</v>
      </c>
      <c r="AE407" s="176">
        <f>(M407/U407)*((100-CC407)/(100-9))*100</f>
        <v>34.139194139194146</v>
      </c>
      <c r="AF407" s="198">
        <v>41822</v>
      </c>
      <c r="AG407" s="176">
        <v>4</v>
      </c>
      <c r="AH407" s="196">
        <v>41927</v>
      </c>
      <c r="AI407" s="176">
        <v>165</v>
      </c>
      <c r="AM407" s="176">
        <v>87</v>
      </c>
      <c r="BG407" s="201">
        <v>0</v>
      </c>
      <c r="BI407" s="201">
        <v>4.9000000000000004</v>
      </c>
      <c r="BK407" s="201">
        <v>1.5</v>
      </c>
      <c r="BM407" s="201">
        <v>63.9</v>
      </c>
      <c r="BO407" s="201">
        <v>20.5</v>
      </c>
      <c r="BQ407" s="201">
        <v>8.8000000000000007</v>
      </c>
      <c r="BS407" s="201">
        <v>51.5</v>
      </c>
      <c r="BU407" s="201">
        <v>16.7</v>
      </c>
      <c r="BW407" s="201">
        <v>18.2</v>
      </c>
      <c r="BY407" s="178">
        <v>6.0999999999999943</v>
      </c>
      <c r="CC407" s="201">
        <v>6.8</v>
      </c>
      <c r="CD407" s="198">
        <v>41822</v>
      </c>
      <c r="CI407" s="174" t="s">
        <v>9347</v>
      </c>
      <c r="CL407" s="174">
        <v>1</v>
      </c>
    </row>
    <row r="408" spans="1:90">
      <c r="A408" s="191" t="s">
        <v>7897</v>
      </c>
      <c r="B408" s="192" t="s">
        <v>271</v>
      </c>
      <c r="C408" s="192" t="s">
        <v>8998</v>
      </c>
      <c r="D408" s="192" t="s">
        <v>8963</v>
      </c>
      <c r="E408" s="193">
        <v>247</v>
      </c>
      <c r="F408" s="193">
        <v>11</v>
      </c>
      <c r="K408" s="176">
        <v>8</v>
      </c>
      <c r="M408" s="197">
        <v>5.2</v>
      </c>
      <c r="N408" s="198">
        <v>41822</v>
      </c>
      <c r="S408" s="176">
        <f>(AE408*BS408)/100</f>
        <v>16.756190476190476</v>
      </c>
      <c r="T408" s="198"/>
      <c r="U408" s="176">
        <v>16.2</v>
      </c>
      <c r="Y408" s="200">
        <f>(AE408*BU408)/100</f>
        <v>5.422081128747795</v>
      </c>
      <c r="Z408" s="198"/>
      <c r="AA408" s="200"/>
      <c r="AB408" s="198"/>
      <c r="AC408" s="378">
        <f t="shared" si="6"/>
        <v>29.723456790123457</v>
      </c>
      <c r="AE408" s="176">
        <f>(M408/U408)*((100-CC408)/(100-9))*100</f>
        <v>32.663139329805993</v>
      </c>
      <c r="AF408" s="198">
        <v>41822</v>
      </c>
      <c r="AG408" s="176">
        <v>4.5</v>
      </c>
      <c r="AH408" s="196">
        <v>41927</v>
      </c>
      <c r="AI408" s="176">
        <v>155</v>
      </c>
      <c r="AM408" s="176">
        <v>78</v>
      </c>
      <c r="BG408" s="201">
        <v>0</v>
      </c>
      <c r="BI408" s="201">
        <v>4.5999999999999996</v>
      </c>
      <c r="BK408" s="201">
        <v>1.5</v>
      </c>
      <c r="BM408" s="201">
        <v>64.7</v>
      </c>
      <c r="BO408" s="201">
        <v>20.399999999999999</v>
      </c>
      <c r="BQ408" s="201">
        <v>8.8000000000000007</v>
      </c>
      <c r="BS408" s="201">
        <v>51.3</v>
      </c>
      <c r="BU408" s="201">
        <v>16.600000000000001</v>
      </c>
      <c r="BW408" s="201">
        <v>14.1</v>
      </c>
      <c r="BY408" s="178">
        <v>6.5999999999999943</v>
      </c>
      <c r="CC408" s="201">
        <v>7.4</v>
      </c>
      <c r="CD408" s="198">
        <v>41822</v>
      </c>
      <c r="CI408" s="174" t="s">
        <v>9363</v>
      </c>
      <c r="CL408" s="174" t="s">
        <v>9001</v>
      </c>
    </row>
    <row r="409" spans="1:90">
      <c r="A409" s="191" t="s">
        <v>7643</v>
      </c>
      <c r="B409" s="192" t="s">
        <v>271</v>
      </c>
      <c r="C409" s="192" t="s">
        <v>8998</v>
      </c>
      <c r="D409" s="192" t="s">
        <v>8267</v>
      </c>
      <c r="E409" s="193">
        <v>247</v>
      </c>
      <c r="F409" s="193">
        <v>12</v>
      </c>
      <c r="K409" s="176">
        <v>7</v>
      </c>
      <c r="M409" s="197">
        <v>5.2</v>
      </c>
      <c r="N409" s="198">
        <v>41822</v>
      </c>
      <c r="S409" s="176">
        <f>(AE409*BS409)/100</f>
        <v>15.645643738977071</v>
      </c>
      <c r="T409" s="198"/>
      <c r="U409" s="176">
        <v>16.2</v>
      </c>
      <c r="Y409" s="200">
        <f>(AE409*BU409)/100</f>
        <v>6.4673015873015869</v>
      </c>
      <c r="Z409" s="198"/>
      <c r="AA409" s="200"/>
      <c r="AB409" s="198"/>
      <c r="AC409" s="378">
        <f t="shared" si="6"/>
        <v>29.723456790123457</v>
      </c>
      <c r="AE409" s="176">
        <f>(M409/U409)*((100-CC409)/(100-9))*100</f>
        <v>32.663139329805993</v>
      </c>
      <c r="AF409" s="198">
        <v>41822</v>
      </c>
      <c r="AG409" s="176">
        <v>5</v>
      </c>
      <c r="AH409" s="196">
        <v>41927</v>
      </c>
      <c r="AI409" s="176">
        <v>150</v>
      </c>
      <c r="AM409" s="176">
        <v>87</v>
      </c>
      <c r="BG409" s="201">
        <v>3.3</v>
      </c>
      <c r="BI409" s="201">
        <v>4.8</v>
      </c>
      <c r="BK409" s="201">
        <v>1.4</v>
      </c>
      <c r="BM409" s="201">
        <v>63.3</v>
      </c>
      <c r="BO409" s="201">
        <v>20.399999999999999</v>
      </c>
      <c r="BQ409" s="201">
        <v>9.3000000000000007</v>
      </c>
      <c r="BS409" s="201">
        <v>47.9</v>
      </c>
      <c r="BU409" s="201">
        <v>19.8</v>
      </c>
      <c r="BW409" s="201">
        <v>76.099999999999994</v>
      </c>
      <c r="BY409" s="178">
        <v>6.5</v>
      </c>
      <c r="CC409" s="201">
        <v>7.4</v>
      </c>
      <c r="CD409" s="198">
        <v>41822</v>
      </c>
      <c r="CI409" s="174" t="s">
        <v>9366</v>
      </c>
      <c r="CL409" s="174">
        <v>1</v>
      </c>
    </row>
    <row r="410" spans="1:90">
      <c r="A410" s="191" t="s">
        <v>7734</v>
      </c>
      <c r="B410" s="192" t="s">
        <v>269</v>
      </c>
      <c r="C410" s="192" t="s">
        <v>417</v>
      </c>
      <c r="D410" s="192" t="s">
        <v>8629</v>
      </c>
      <c r="E410" s="193">
        <v>248</v>
      </c>
      <c r="F410" s="193">
        <v>1</v>
      </c>
      <c r="K410" s="176">
        <v>8</v>
      </c>
      <c r="M410" s="197">
        <v>5.25</v>
      </c>
      <c r="N410" s="198">
        <v>41822</v>
      </c>
      <c r="S410" s="176">
        <f>(AE410*BS410)/100</f>
        <v>16.915242165242162</v>
      </c>
      <c r="T410" s="198"/>
      <c r="U410" s="176">
        <v>16.2</v>
      </c>
      <c r="Y410" s="200">
        <f>(AE410*BU410)/100</f>
        <v>5.494123931623931</v>
      </c>
      <c r="Z410" s="198"/>
      <c r="AA410" s="200"/>
      <c r="AB410" s="198"/>
      <c r="AC410" s="378">
        <f t="shared" si="6"/>
        <v>30.300925925925924</v>
      </c>
      <c r="AE410" s="176">
        <f>(M410/U410)*((100-CC410)/(100-9))*100</f>
        <v>33.297720797720793</v>
      </c>
      <c r="AF410" s="198">
        <v>41822</v>
      </c>
      <c r="AG410" s="176">
        <v>4.5</v>
      </c>
      <c r="AH410" s="196">
        <v>41927</v>
      </c>
      <c r="AI410" s="176">
        <v>120</v>
      </c>
      <c r="AM410" s="176">
        <v>83</v>
      </c>
      <c r="BG410" s="201">
        <v>0</v>
      </c>
      <c r="BI410" s="201">
        <v>4.7</v>
      </c>
      <c r="BK410" s="201">
        <v>1.5</v>
      </c>
      <c r="BM410" s="201">
        <v>63.3</v>
      </c>
      <c r="BO410" s="201">
        <v>20.7</v>
      </c>
      <c r="BQ410" s="201">
        <v>8.9</v>
      </c>
      <c r="BS410" s="201">
        <v>50.8</v>
      </c>
      <c r="BU410" s="201">
        <v>16.5</v>
      </c>
      <c r="BW410" s="201">
        <v>14.5</v>
      </c>
      <c r="BY410" s="178">
        <v>6.7000000000000028</v>
      </c>
      <c r="CC410" s="201">
        <v>6.5</v>
      </c>
      <c r="CD410" s="198">
        <v>41822</v>
      </c>
      <c r="CI410" s="174" t="s">
        <v>9343</v>
      </c>
      <c r="CL410" s="174">
        <v>1</v>
      </c>
    </row>
    <row r="411" spans="1:90">
      <c r="A411" s="191" t="s">
        <v>7708</v>
      </c>
      <c r="B411" s="192" t="s">
        <v>269</v>
      </c>
      <c r="C411" s="192" t="s">
        <v>417</v>
      </c>
      <c r="D411" s="192" t="s">
        <v>8525</v>
      </c>
      <c r="E411" s="193">
        <v>248</v>
      </c>
      <c r="F411" s="193">
        <v>2</v>
      </c>
      <c r="K411" s="176">
        <v>8</v>
      </c>
      <c r="M411" s="197">
        <v>1.55</v>
      </c>
      <c r="N411" s="198">
        <v>41822</v>
      </c>
      <c r="S411" s="176">
        <f>(AE411*BS411)/100</f>
        <v>4.8402014652014653</v>
      </c>
      <c r="T411" s="198"/>
      <c r="U411" s="176">
        <v>16.2</v>
      </c>
      <c r="Y411" s="200">
        <f>(AE411*BU411)/100</f>
        <v>1.7111823361823364</v>
      </c>
      <c r="Z411" s="198"/>
      <c r="AA411" s="200"/>
      <c r="AB411" s="198"/>
      <c r="AC411" s="378">
        <f t="shared" si="6"/>
        <v>8.8981481481481488</v>
      </c>
      <c r="AE411" s="176">
        <f>(M411/U411)*((100-CC411)/(100-9))*100</f>
        <v>9.7781847781847784</v>
      </c>
      <c r="AF411" s="198">
        <v>41822</v>
      </c>
      <c r="AG411" s="176">
        <v>4.8</v>
      </c>
      <c r="AH411" s="196">
        <v>41927</v>
      </c>
      <c r="AI411" s="176">
        <v>50</v>
      </c>
      <c r="AM411" s="176">
        <v>88</v>
      </c>
      <c r="BG411" s="201">
        <v>0</v>
      </c>
      <c r="BI411" s="201">
        <v>4.4000000000000004</v>
      </c>
      <c r="BK411" s="201">
        <v>1.7</v>
      </c>
      <c r="BM411" s="201">
        <v>63.7</v>
      </c>
      <c r="BO411" s="201">
        <v>18.899999999999999</v>
      </c>
      <c r="BQ411" s="201">
        <v>8.1999999999999993</v>
      </c>
      <c r="BS411" s="201">
        <v>49.5</v>
      </c>
      <c r="BU411" s="201">
        <v>17.5</v>
      </c>
      <c r="BW411" s="201">
        <v>11.9</v>
      </c>
      <c r="BY411" s="178">
        <v>6.7000000000000028</v>
      </c>
      <c r="CC411" s="201">
        <v>7</v>
      </c>
      <c r="CD411" s="198">
        <v>41822</v>
      </c>
      <c r="CI411" s="174" t="s">
        <v>9351</v>
      </c>
      <c r="CL411" s="174">
        <v>7</v>
      </c>
    </row>
    <row r="412" spans="1:90">
      <c r="A412" s="191" t="s">
        <v>7768</v>
      </c>
      <c r="B412" s="192" t="s">
        <v>269</v>
      </c>
      <c r="C412" s="192" t="s">
        <v>417</v>
      </c>
      <c r="D412" s="192" t="s">
        <v>8765</v>
      </c>
      <c r="E412" s="193">
        <v>248</v>
      </c>
      <c r="F412" s="193">
        <v>3</v>
      </c>
      <c r="K412" s="176">
        <v>9</v>
      </c>
      <c r="M412" s="197">
        <v>5.2</v>
      </c>
      <c r="N412" s="198">
        <v>41822</v>
      </c>
      <c r="S412" s="176">
        <f>(AE412*BS412)/100</f>
        <v>17.24507936507937</v>
      </c>
      <c r="T412" s="198"/>
      <c r="U412" s="176">
        <v>16.2</v>
      </c>
      <c r="Y412" s="200">
        <f>(AE412*BU412)/100</f>
        <v>4.9841269841269851</v>
      </c>
      <c r="Z412" s="198"/>
      <c r="AA412" s="200"/>
      <c r="AB412" s="198"/>
      <c r="AC412" s="378">
        <f t="shared" si="6"/>
        <v>30.237037037037041</v>
      </c>
      <c r="AE412" s="176">
        <f>(M412/U412)*((100-CC412)/(100-9))*100</f>
        <v>33.227513227513235</v>
      </c>
      <c r="AF412" s="198">
        <v>41822</v>
      </c>
      <c r="AG412" s="176">
        <v>5.2</v>
      </c>
      <c r="AH412" s="196">
        <v>41927</v>
      </c>
      <c r="AI412" s="176">
        <v>140</v>
      </c>
      <c r="AM412" s="176">
        <v>76</v>
      </c>
      <c r="BG412" s="201">
        <v>0</v>
      </c>
      <c r="BI412" s="201">
        <v>4.8</v>
      </c>
      <c r="BK412" s="201">
        <v>1.5</v>
      </c>
      <c r="BM412" s="201">
        <v>64</v>
      </c>
      <c r="BO412" s="201">
        <v>20.7</v>
      </c>
      <c r="BQ412" s="201">
        <v>8.6999999999999993</v>
      </c>
      <c r="BS412" s="201">
        <v>51.9</v>
      </c>
      <c r="BU412" s="201">
        <v>15</v>
      </c>
      <c r="BW412" s="201">
        <v>15.2</v>
      </c>
      <c r="BY412" s="178">
        <v>6.4000000000000057</v>
      </c>
      <c r="CC412" s="201">
        <v>5.8</v>
      </c>
      <c r="CD412" s="198">
        <v>41822</v>
      </c>
      <c r="CI412" s="174" t="s">
        <v>9364</v>
      </c>
      <c r="CL412" s="174">
        <v>1</v>
      </c>
    </row>
    <row r="413" spans="1:90">
      <c r="A413" s="191" t="s">
        <v>7704</v>
      </c>
      <c r="B413" s="192" t="s">
        <v>269</v>
      </c>
      <c r="C413" s="192" t="s">
        <v>417</v>
      </c>
      <c r="D413" s="192" t="s">
        <v>8509</v>
      </c>
      <c r="E413" s="193">
        <v>248</v>
      </c>
      <c r="F413" s="193">
        <v>4</v>
      </c>
      <c r="K413" s="176">
        <v>7</v>
      </c>
      <c r="M413" s="197">
        <v>3.6</v>
      </c>
      <c r="N413" s="198">
        <v>41822</v>
      </c>
      <c r="S413" s="176">
        <f>(AE413*BS413)/100</f>
        <v>11.52</v>
      </c>
      <c r="T413" s="198"/>
      <c r="U413" s="176">
        <v>16.2</v>
      </c>
      <c r="Y413" s="200">
        <f>(AE413*BU413)/100</f>
        <v>3.9542857142857146</v>
      </c>
      <c r="Z413" s="198"/>
      <c r="AA413" s="200"/>
      <c r="AB413" s="198"/>
      <c r="AC413" s="378">
        <f t="shared" si="6"/>
        <v>20.8</v>
      </c>
      <c r="AE413" s="176">
        <f>(M413/U413)*((100-CC413)/(100-9))*100</f>
        <v>22.857142857142858</v>
      </c>
      <c r="AF413" s="198">
        <v>41822</v>
      </c>
      <c r="AG413" s="176">
        <v>4.4000000000000004</v>
      </c>
      <c r="AH413" s="196">
        <v>41927</v>
      </c>
      <c r="AI413" s="176">
        <v>125</v>
      </c>
      <c r="AM413" s="176">
        <v>80</v>
      </c>
      <c r="BG413" s="201">
        <v>6.5</v>
      </c>
      <c r="BI413" s="201">
        <v>4.5</v>
      </c>
      <c r="BK413" s="201">
        <v>1.4</v>
      </c>
      <c r="BM413" s="201">
        <v>64.7</v>
      </c>
      <c r="BO413" s="201">
        <v>20.399999999999999</v>
      </c>
      <c r="BQ413" s="201">
        <v>9.4</v>
      </c>
      <c r="BS413" s="201">
        <v>50.4</v>
      </c>
      <c r="BU413" s="201">
        <v>17.3</v>
      </c>
      <c r="BW413" s="201">
        <v>24.5</v>
      </c>
      <c r="BY413" s="178">
        <v>6.7999999999999972</v>
      </c>
      <c r="CC413" s="201">
        <v>6.4</v>
      </c>
      <c r="CD413" s="198">
        <v>41822</v>
      </c>
      <c r="CI413" s="174" t="s">
        <v>9350</v>
      </c>
      <c r="CL413" s="174">
        <v>3</v>
      </c>
    </row>
    <row r="414" spans="1:90">
      <c r="A414" s="191" t="s">
        <v>7711</v>
      </c>
      <c r="B414" s="192" t="s">
        <v>269</v>
      </c>
      <c r="C414" s="192" t="s">
        <v>417</v>
      </c>
      <c r="D414" s="192" t="s">
        <v>8537</v>
      </c>
      <c r="E414" s="193">
        <v>248</v>
      </c>
      <c r="F414" s="193">
        <v>5</v>
      </c>
      <c r="K414" s="176">
        <v>9</v>
      </c>
      <c r="M414" s="197">
        <v>3.55</v>
      </c>
      <c r="N414" s="198">
        <v>41822</v>
      </c>
      <c r="S414" s="176">
        <f>(AE414*BS414)/100</f>
        <v>11.429449192782526</v>
      </c>
      <c r="T414" s="198"/>
      <c r="U414" s="176">
        <v>16.2</v>
      </c>
      <c r="Y414" s="200">
        <f>(AE414*BU414)/100</f>
        <v>4.1335754985754987</v>
      </c>
      <c r="Z414" s="198"/>
      <c r="AA414" s="200"/>
      <c r="AB414" s="198"/>
      <c r="AC414" s="378">
        <f t="shared" si="6"/>
        <v>20.554938271604939</v>
      </c>
      <c r="AE414" s="176">
        <f>(M414/U414)*((100-CC414)/(100-9))*100</f>
        <v>22.587844254510919</v>
      </c>
      <c r="AF414" s="198">
        <v>41822</v>
      </c>
      <c r="AG414" s="176">
        <v>5</v>
      </c>
      <c r="AH414" s="196">
        <v>41927</v>
      </c>
      <c r="AI414" s="176">
        <v>125</v>
      </c>
      <c r="AM414" s="176">
        <v>79</v>
      </c>
      <c r="BG414" s="201">
        <v>3.3</v>
      </c>
      <c r="BI414" s="201">
        <v>4.5999999999999996</v>
      </c>
      <c r="BK414" s="201">
        <v>1.5</v>
      </c>
      <c r="BM414" s="201">
        <v>64.8</v>
      </c>
      <c r="BO414" s="201">
        <v>20.399999999999999</v>
      </c>
      <c r="BQ414" s="201">
        <v>9.1999999999999993</v>
      </c>
      <c r="BS414" s="201">
        <v>50.6</v>
      </c>
      <c r="BU414" s="201">
        <v>18.3</v>
      </c>
      <c r="BW414" s="201">
        <v>15.1</v>
      </c>
      <c r="BY414" s="178">
        <v>6.4000000000000057</v>
      </c>
      <c r="CC414" s="201">
        <v>6.2</v>
      </c>
      <c r="CD414" s="198">
        <v>41822</v>
      </c>
      <c r="CI414" s="174" t="s">
        <v>9358</v>
      </c>
      <c r="CL414" s="174">
        <v>3</v>
      </c>
    </row>
    <row r="415" spans="1:90">
      <c r="A415" s="191" t="s">
        <v>7631</v>
      </c>
      <c r="B415" s="192" t="s">
        <v>269</v>
      </c>
      <c r="C415" s="192" t="s">
        <v>417</v>
      </c>
      <c r="D415" s="192" t="s">
        <v>8217</v>
      </c>
      <c r="E415" s="193">
        <v>248</v>
      </c>
      <c r="F415" s="193">
        <v>6</v>
      </c>
      <c r="I415" s="184"/>
      <c r="K415" s="176">
        <v>9</v>
      </c>
      <c r="M415" s="197">
        <v>2.5</v>
      </c>
      <c r="N415" s="198">
        <v>41822</v>
      </c>
      <c r="O415" s="179"/>
      <c r="S415" s="176">
        <f>(AE415*BS415)/100</f>
        <v>7.5989010989011003</v>
      </c>
      <c r="T415" s="198"/>
      <c r="U415" s="176">
        <v>16.2</v>
      </c>
      <c r="Y415" s="200">
        <f>(AE415*BU415)/100</f>
        <v>3.0333061999728672</v>
      </c>
      <c r="Z415" s="198"/>
      <c r="AA415" s="200"/>
      <c r="AB415" s="198"/>
      <c r="AC415" s="378">
        <f t="shared" si="6"/>
        <v>14.228395061728397</v>
      </c>
      <c r="AE415" s="176">
        <f>(M415/U415)*((100-CC415)/(100-9))*100</f>
        <v>15.635598968932305</v>
      </c>
      <c r="AF415" s="198">
        <v>41822</v>
      </c>
      <c r="AG415" s="176">
        <v>4.7</v>
      </c>
      <c r="AH415" s="196">
        <v>41927</v>
      </c>
      <c r="AI415" s="176">
        <v>135</v>
      </c>
      <c r="AM415" s="176">
        <v>90</v>
      </c>
      <c r="BG415" s="201">
        <v>46.1</v>
      </c>
      <c r="BI415" s="201">
        <v>4.0999999999999996</v>
      </c>
      <c r="BK415" s="201">
        <v>1</v>
      </c>
      <c r="BM415" s="201">
        <v>33.1</v>
      </c>
      <c r="BO415" s="201">
        <v>14.9</v>
      </c>
      <c r="BQ415" s="201">
        <v>8.3000000000000007</v>
      </c>
      <c r="BS415" s="201">
        <v>48.6</v>
      </c>
      <c r="BU415" s="201">
        <v>19.399999999999999</v>
      </c>
      <c r="BW415" s="201">
        <v>79</v>
      </c>
      <c r="BY415" s="178">
        <v>7.0999999999999943</v>
      </c>
      <c r="CC415" s="201">
        <v>7.8</v>
      </c>
      <c r="CD415" s="198">
        <v>41822</v>
      </c>
      <c r="CI415" s="174" t="s">
        <v>9351</v>
      </c>
      <c r="CL415" s="174">
        <v>5</v>
      </c>
    </row>
    <row r="416" spans="1:90">
      <c r="A416" s="191" t="s">
        <v>7810</v>
      </c>
      <c r="B416" s="192" t="s">
        <v>271</v>
      </c>
      <c r="C416" s="192" t="s">
        <v>8998</v>
      </c>
      <c r="D416" s="192" t="s">
        <v>8935</v>
      </c>
      <c r="E416" s="193">
        <v>248</v>
      </c>
      <c r="F416" s="193">
        <v>7</v>
      </c>
      <c r="K416" s="176">
        <v>8</v>
      </c>
      <c r="M416" s="197">
        <v>6.75</v>
      </c>
      <c r="N416" s="198">
        <v>41822</v>
      </c>
      <c r="S416" s="176">
        <f>(AE416*BS416)/100</f>
        <v>21.701648351648352</v>
      </c>
      <c r="T416" s="198"/>
      <c r="U416" s="176">
        <v>16.2</v>
      </c>
      <c r="Y416" s="200">
        <f>(AE416*BU416)/100</f>
        <v>7.134203296703296</v>
      </c>
      <c r="Z416" s="198"/>
      <c r="AA416" s="200"/>
      <c r="AB416" s="198"/>
      <c r="AC416" s="378">
        <f t="shared" si="6"/>
        <v>38.875</v>
      </c>
      <c r="AE416" s="176">
        <f>(M416/U416)*((100-CC416)/(100-9))*100</f>
        <v>42.719780219780219</v>
      </c>
      <c r="AF416" s="198">
        <v>41822</v>
      </c>
      <c r="AG416" s="176">
        <v>4.4000000000000004</v>
      </c>
      <c r="AH416" s="196">
        <v>41927</v>
      </c>
      <c r="AI416" s="176">
        <v>155</v>
      </c>
      <c r="AM416" s="176">
        <v>84</v>
      </c>
      <c r="BG416" s="201">
        <v>0</v>
      </c>
      <c r="BI416" s="201">
        <v>4.5</v>
      </c>
      <c r="BK416" s="201">
        <v>1.5</v>
      </c>
      <c r="BM416" s="201">
        <v>62.3</v>
      </c>
      <c r="BO416" s="201">
        <v>20.8</v>
      </c>
      <c r="BQ416" s="201">
        <v>9.5</v>
      </c>
      <c r="BS416" s="201">
        <v>50.8</v>
      </c>
      <c r="BU416" s="201">
        <v>16.7</v>
      </c>
      <c r="BW416" s="201">
        <v>11.9</v>
      </c>
      <c r="BY416" s="178">
        <v>6.5999999999999943</v>
      </c>
      <c r="CC416" s="201">
        <v>6.7</v>
      </c>
      <c r="CD416" s="198">
        <v>41822</v>
      </c>
      <c r="CI416" s="174" t="s">
        <v>9355</v>
      </c>
      <c r="CL416" s="174">
        <v>1</v>
      </c>
    </row>
    <row r="417" spans="1:90">
      <c r="A417" s="191" t="s">
        <v>7814</v>
      </c>
      <c r="B417" s="192" t="s">
        <v>271</v>
      </c>
      <c r="C417" s="192" t="s">
        <v>8998</v>
      </c>
      <c r="D417" s="192" t="s">
        <v>8951</v>
      </c>
      <c r="E417" s="193">
        <v>248</v>
      </c>
      <c r="F417" s="193">
        <v>8</v>
      </c>
      <c r="K417" s="176">
        <v>7</v>
      </c>
      <c r="M417" s="197">
        <v>5.7</v>
      </c>
      <c r="N417" s="198">
        <v>41822</v>
      </c>
      <c r="S417" s="176">
        <f>(AE417*BS417)/100</f>
        <v>18.850404965404962</v>
      </c>
      <c r="T417" s="198"/>
      <c r="U417" s="176">
        <v>16.2</v>
      </c>
      <c r="Y417" s="200">
        <f>(AE417*BU417)/100</f>
        <v>5.8337810337810332</v>
      </c>
      <c r="Z417" s="198"/>
      <c r="AA417" s="200"/>
      <c r="AB417" s="198"/>
      <c r="AC417" s="378">
        <f t="shared" si="6"/>
        <v>33.17962962962963</v>
      </c>
      <c r="AE417" s="176">
        <f>(M417/U417)*((100-CC417)/(100-9))*100</f>
        <v>36.461131461131458</v>
      </c>
      <c r="AF417" s="198">
        <v>41822</v>
      </c>
      <c r="AG417" s="176">
        <v>4</v>
      </c>
      <c r="AH417" s="196">
        <v>41927</v>
      </c>
      <c r="AI417" s="176">
        <v>140</v>
      </c>
      <c r="AM417" s="176">
        <v>86</v>
      </c>
      <c r="BG417" s="201">
        <v>0</v>
      </c>
      <c r="BI417" s="201">
        <v>4.4000000000000004</v>
      </c>
      <c r="BK417" s="201">
        <v>1.7</v>
      </c>
      <c r="BM417" s="201">
        <v>65</v>
      </c>
      <c r="BO417" s="201">
        <v>20.100000000000001</v>
      </c>
      <c r="BQ417" s="201">
        <v>8.3000000000000007</v>
      </c>
      <c r="BS417" s="201">
        <v>51.7</v>
      </c>
      <c r="BU417" s="201">
        <v>16</v>
      </c>
      <c r="BW417" s="201">
        <v>12.3</v>
      </c>
      <c r="BY417" s="178">
        <v>5.9000000000000057</v>
      </c>
      <c r="CC417" s="201">
        <v>5.7</v>
      </c>
      <c r="CD417" s="198">
        <v>41822</v>
      </c>
      <c r="CI417" s="174" t="s">
        <v>9355</v>
      </c>
      <c r="CL417" s="174">
        <v>1</v>
      </c>
    </row>
    <row r="418" spans="1:90">
      <c r="A418" s="191" t="s">
        <v>7668</v>
      </c>
      <c r="B418" s="192" t="s">
        <v>271</v>
      </c>
      <c r="C418" s="192" t="s">
        <v>8998</v>
      </c>
      <c r="D418" s="192" t="s">
        <v>8367</v>
      </c>
      <c r="E418" s="193">
        <v>248</v>
      </c>
      <c r="F418" s="193">
        <v>9</v>
      </c>
      <c r="K418" s="176">
        <v>9</v>
      </c>
      <c r="M418" s="197">
        <v>6.4</v>
      </c>
      <c r="N418" s="198">
        <v>41822</v>
      </c>
      <c r="S418" s="176">
        <f>(AE418*BS418)/100</f>
        <v>21.089523809523808</v>
      </c>
      <c r="T418" s="198"/>
      <c r="U418" s="176">
        <v>16.2</v>
      </c>
      <c r="Y418" s="200">
        <f>(AE418*BU418)/100</f>
        <v>6.9079365079365074</v>
      </c>
      <c r="Z418" s="198"/>
      <c r="AA418" s="200"/>
      <c r="AB418" s="198"/>
      <c r="AC418" s="378">
        <f t="shared" si="6"/>
        <v>36.977777777777781</v>
      </c>
      <c r="AE418" s="176">
        <f>(M418/U418)*((100-CC418)/(100-9))*100</f>
        <v>40.634920634920633</v>
      </c>
      <c r="AF418" s="198">
        <v>41822</v>
      </c>
      <c r="AG418" s="176">
        <v>4.4000000000000004</v>
      </c>
      <c r="AH418" s="196">
        <v>41927</v>
      </c>
      <c r="AI418" s="176">
        <v>170</v>
      </c>
      <c r="AM418" s="176">
        <v>85</v>
      </c>
      <c r="BG418" s="201">
        <v>2.4</v>
      </c>
      <c r="BI418" s="201">
        <v>4.7</v>
      </c>
      <c r="BK418" s="201">
        <v>1.7</v>
      </c>
      <c r="BM418" s="201">
        <v>70.099999999999994</v>
      </c>
      <c r="BO418" s="201">
        <v>20.3</v>
      </c>
      <c r="BQ418" s="201">
        <v>6.1</v>
      </c>
      <c r="BS418" s="201">
        <v>51.9</v>
      </c>
      <c r="BU418" s="201">
        <v>17</v>
      </c>
      <c r="BW418" s="201">
        <v>14</v>
      </c>
      <c r="BY418" s="178">
        <v>6.0999999999999943</v>
      </c>
      <c r="CC418" s="201">
        <v>6.4</v>
      </c>
      <c r="CD418" s="198">
        <v>41822</v>
      </c>
      <c r="CI418" s="174" t="s">
        <v>9356</v>
      </c>
      <c r="CL418" s="174">
        <v>2</v>
      </c>
    </row>
    <row r="419" spans="1:90">
      <c r="A419" s="191" t="s">
        <v>7666</v>
      </c>
      <c r="B419" s="192" t="s">
        <v>271</v>
      </c>
      <c r="C419" s="192" t="s">
        <v>8998</v>
      </c>
      <c r="D419" s="192" t="s">
        <v>8359</v>
      </c>
      <c r="E419" s="193">
        <v>248</v>
      </c>
      <c r="F419" s="193">
        <v>10</v>
      </c>
      <c r="K419" s="176">
        <v>7</v>
      </c>
      <c r="M419" s="197">
        <v>4.45</v>
      </c>
      <c r="N419" s="198">
        <v>41822</v>
      </c>
      <c r="S419" s="176">
        <f>(AE419*BS419)/100</f>
        <v>14.202448785782117</v>
      </c>
      <c r="T419" s="198"/>
      <c r="U419" s="176">
        <v>16.2</v>
      </c>
      <c r="Y419" s="200">
        <f>(AE419*BU419)/100</f>
        <v>4.5447836114502778</v>
      </c>
      <c r="Z419" s="198"/>
      <c r="AA419" s="200"/>
      <c r="AB419" s="198"/>
      <c r="AC419" s="378">
        <f t="shared" si="6"/>
        <v>25.848456790123453</v>
      </c>
      <c r="AE419" s="176">
        <f>(M419/U419)*((100-CC419)/(100-9))*100</f>
        <v>28.404897571564234</v>
      </c>
      <c r="AF419" s="198">
        <v>41822</v>
      </c>
      <c r="AG419" s="176">
        <v>4.5</v>
      </c>
      <c r="AH419" s="196">
        <v>41927</v>
      </c>
      <c r="AI419" s="176">
        <v>150</v>
      </c>
      <c r="AM419" s="176">
        <v>83</v>
      </c>
      <c r="BG419" s="201">
        <v>0</v>
      </c>
      <c r="BI419" s="201">
        <v>4.5999999999999996</v>
      </c>
      <c r="BK419" s="201">
        <v>1.8</v>
      </c>
      <c r="BM419" s="201">
        <v>63.7</v>
      </c>
      <c r="BO419" s="201">
        <v>22.6</v>
      </c>
      <c r="BQ419" s="201">
        <v>6.3</v>
      </c>
      <c r="BS419" s="201">
        <v>50</v>
      </c>
      <c r="BU419" s="201">
        <v>16</v>
      </c>
      <c r="BW419" s="201">
        <v>8.1999999999999993</v>
      </c>
      <c r="BY419" s="178">
        <v>6.2000000000000028</v>
      </c>
      <c r="CC419" s="201">
        <v>5.9</v>
      </c>
      <c r="CD419" s="198">
        <v>41822</v>
      </c>
      <c r="CI419" s="174" t="s">
        <v>9355</v>
      </c>
      <c r="CL419" s="174">
        <v>1</v>
      </c>
    </row>
    <row r="420" spans="1:90">
      <c r="A420" s="191" t="s">
        <v>7811</v>
      </c>
      <c r="B420" s="192" t="s">
        <v>271</v>
      </c>
      <c r="C420" s="192" t="s">
        <v>8998</v>
      </c>
      <c r="D420" s="192" t="s">
        <v>8939</v>
      </c>
      <c r="E420" s="193">
        <v>248</v>
      </c>
      <c r="F420" s="193">
        <v>11</v>
      </c>
      <c r="K420" s="176">
        <v>8</v>
      </c>
      <c r="M420" s="197">
        <v>8</v>
      </c>
      <c r="N420" s="198">
        <v>41822</v>
      </c>
      <c r="S420" s="176">
        <f>(AE420*BS420)/100</f>
        <v>25.163532763532768</v>
      </c>
      <c r="T420" s="198"/>
      <c r="U420" s="176">
        <v>16.2</v>
      </c>
      <c r="Y420" s="200">
        <f>(AE420*BU420)/100</f>
        <v>8.5566137566137552</v>
      </c>
      <c r="Z420" s="198"/>
      <c r="AA420" s="200"/>
      <c r="AB420" s="198"/>
      <c r="AC420" s="378">
        <f t="shared" si="6"/>
        <v>46.074074074074076</v>
      </c>
      <c r="AE420" s="176">
        <f>(M420/U420)*((100-CC420)/(100-9))*100</f>
        <v>50.630850630850631</v>
      </c>
      <c r="AF420" s="198">
        <v>41822</v>
      </c>
      <c r="AG420" s="176">
        <v>4.4000000000000004</v>
      </c>
      <c r="AH420" s="196">
        <v>41927</v>
      </c>
      <c r="AI420" s="176">
        <v>160</v>
      </c>
      <c r="AM420" s="176">
        <v>85</v>
      </c>
      <c r="BG420" s="201">
        <v>0</v>
      </c>
      <c r="BI420" s="201">
        <v>4.4000000000000004</v>
      </c>
      <c r="BK420" s="201">
        <v>1.6</v>
      </c>
      <c r="BM420" s="201">
        <v>64.2</v>
      </c>
      <c r="BO420" s="201">
        <v>20.100000000000001</v>
      </c>
      <c r="BQ420" s="201">
        <v>8.1999999999999993</v>
      </c>
      <c r="BS420" s="201">
        <v>49.7</v>
      </c>
      <c r="BU420" s="201">
        <v>16.899999999999999</v>
      </c>
      <c r="BW420" s="201">
        <v>14.2</v>
      </c>
      <c r="BY420" s="178">
        <v>6.5999999999999943</v>
      </c>
      <c r="CC420" s="201">
        <v>6.7</v>
      </c>
      <c r="CD420" s="198">
        <v>41822</v>
      </c>
      <c r="CI420" s="174" t="s">
        <v>9347</v>
      </c>
      <c r="CL420" s="174">
        <v>1</v>
      </c>
    </row>
    <row r="421" spans="1:90">
      <c r="A421" s="191" t="s">
        <v>7721</v>
      </c>
      <c r="B421" s="192" t="s">
        <v>271</v>
      </c>
      <c r="C421" s="192" t="s">
        <v>8998</v>
      </c>
      <c r="D421" s="192" t="s">
        <v>8579</v>
      </c>
      <c r="E421" s="193">
        <v>248</v>
      </c>
      <c r="F421" s="193">
        <v>12</v>
      </c>
      <c r="K421" s="176">
        <v>8</v>
      </c>
      <c r="M421" s="197">
        <v>5.9</v>
      </c>
      <c r="N421" s="198">
        <v>41822</v>
      </c>
      <c r="S421" s="176">
        <f>(AE421*BS421)/100</f>
        <v>18.302967032967032</v>
      </c>
      <c r="T421" s="198"/>
      <c r="U421" s="176">
        <v>16.2</v>
      </c>
      <c r="Y421" s="200">
        <f>(AE421*BU421)/100</f>
        <v>6.2516307149640484</v>
      </c>
      <c r="Z421" s="198"/>
      <c r="AA421" s="200"/>
      <c r="AB421" s="198"/>
      <c r="AC421" s="378">
        <f t="shared" si="6"/>
        <v>34.27098765432099</v>
      </c>
      <c r="AE421" s="176">
        <f>(M421/U421)*((100-CC421)/(100-9))*100</f>
        <v>37.660425993759326</v>
      </c>
      <c r="AF421" s="198">
        <v>41822</v>
      </c>
      <c r="AG421" s="176">
        <v>4.5</v>
      </c>
      <c r="AH421" s="196">
        <v>41927</v>
      </c>
      <c r="AI421" s="176">
        <v>170</v>
      </c>
      <c r="AM421" s="176">
        <v>84</v>
      </c>
      <c r="BG421" s="201">
        <v>0</v>
      </c>
      <c r="BI421" s="201">
        <v>5.3</v>
      </c>
      <c r="BK421" s="201">
        <v>1.7</v>
      </c>
      <c r="BM421" s="201">
        <v>61.9</v>
      </c>
      <c r="BO421" s="201">
        <v>24.6</v>
      </c>
      <c r="BQ421" s="201">
        <v>8.6</v>
      </c>
      <c r="BS421" s="201">
        <v>48.6</v>
      </c>
      <c r="BU421" s="201">
        <v>16.600000000000001</v>
      </c>
      <c r="BW421" s="201">
        <v>12.2</v>
      </c>
      <c r="BY421" s="178">
        <v>6.0999999999999943</v>
      </c>
      <c r="CC421" s="201">
        <v>5.9</v>
      </c>
      <c r="CD421" s="198">
        <v>41822</v>
      </c>
      <c r="CI421" s="174" t="s">
        <v>9349</v>
      </c>
      <c r="CL421" s="174">
        <v>3</v>
      </c>
    </row>
    <row r="422" spans="1:90">
      <c r="A422" s="191" t="s">
        <v>7774</v>
      </c>
      <c r="B422" s="192" t="s">
        <v>269</v>
      </c>
      <c r="C422" s="192" t="s">
        <v>417</v>
      </c>
      <c r="D422" s="192" t="s">
        <v>8789</v>
      </c>
      <c r="E422" s="193">
        <v>249</v>
      </c>
      <c r="F422" s="193">
        <v>1</v>
      </c>
      <c r="K422" s="176">
        <v>9</v>
      </c>
      <c r="M422" s="197">
        <v>5.85</v>
      </c>
      <c r="N422" s="198">
        <v>41822</v>
      </c>
      <c r="S422" s="176">
        <f>(AE422*BS422)/100</f>
        <v>18.801190476190477</v>
      </c>
      <c r="T422" s="198"/>
      <c r="U422" s="176">
        <v>16.2</v>
      </c>
      <c r="Y422" s="200">
        <f>(AE422*BU422)/100</f>
        <v>6.2670634920634924</v>
      </c>
      <c r="Z422" s="198"/>
      <c r="AA422" s="200"/>
      <c r="AB422" s="198"/>
      <c r="AC422" s="378">
        <f t="shared" si="6"/>
        <v>33.547222222222224</v>
      </c>
      <c r="AE422" s="176">
        <f>(M422/U422)*((100-CC422)/(100-9))*100</f>
        <v>36.865079365079367</v>
      </c>
      <c r="AF422" s="198">
        <v>41822</v>
      </c>
      <c r="AG422" s="176">
        <v>4.9000000000000004</v>
      </c>
      <c r="AH422" s="196">
        <v>41927</v>
      </c>
      <c r="AI422" s="176">
        <v>120</v>
      </c>
      <c r="AM422" s="176">
        <v>87</v>
      </c>
      <c r="BG422" s="201">
        <v>0.2</v>
      </c>
      <c r="BI422" s="201">
        <v>4.5999999999999996</v>
      </c>
      <c r="BK422" s="201">
        <v>1.6</v>
      </c>
      <c r="BM422" s="201">
        <v>65</v>
      </c>
      <c r="BO422" s="201">
        <v>19.399999999999999</v>
      </c>
      <c r="BQ422" s="201">
        <v>8.1</v>
      </c>
      <c r="BS422" s="201">
        <v>51</v>
      </c>
      <c r="BU422" s="201">
        <v>17</v>
      </c>
      <c r="BW422" s="201">
        <v>17</v>
      </c>
      <c r="BY422" s="178">
        <v>7.0999999999999943</v>
      </c>
      <c r="CC422" s="201">
        <v>7.1</v>
      </c>
      <c r="CD422" s="198">
        <v>41822</v>
      </c>
      <c r="CI422" s="174" t="s">
        <v>9339</v>
      </c>
      <c r="CL422" s="174">
        <v>2</v>
      </c>
    </row>
    <row r="423" spans="1:90">
      <c r="A423" s="191" t="s">
        <v>7723</v>
      </c>
      <c r="B423" s="192" t="s">
        <v>269</v>
      </c>
      <c r="C423" s="192" t="s">
        <v>417</v>
      </c>
      <c r="D423" s="192" t="s">
        <v>8585</v>
      </c>
      <c r="E423" s="193">
        <v>249</v>
      </c>
      <c r="F423" s="193">
        <v>2</v>
      </c>
      <c r="K423" s="176">
        <v>8</v>
      </c>
      <c r="M423" s="197">
        <v>4.0999999999999996</v>
      </c>
      <c r="N423" s="198">
        <v>41822</v>
      </c>
      <c r="S423" s="176">
        <f>(AE423*BS423)/100</f>
        <v>13.193534120200788</v>
      </c>
      <c r="T423" s="198"/>
      <c r="U423" s="176">
        <v>16.2</v>
      </c>
      <c r="Y423" s="200">
        <f>(AE423*BU423)/100</f>
        <v>4.380564373897708</v>
      </c>
      <c r="Z423" s="198"/>
      <c r="AA423" s="200"/>
      <c r="AB423" s="198"/>
      <c r="AC423" s="378">
        <f t="shared" si="6"/>
        <v>23.587654320987657</v>
      </c>
      <c r="AE423" s="176">
        <f>(M423/U423)*((100-CC423)/(100-9))*100</f>
        <v>25.920499253832592</v>
      </c>
      <c r="AF423" s="198">
        <v>41822</v>
      </c>
      <c r="AG423" s="176">
        <v>5.0999999999999996</v>
      </c>
      <c r="AH423" s="196">
        <v>41927</v>
      </c>
      <c r="AI423" s="176">
        <v>125</v>
      </c>
      <c r="AM423" s="176">
        <v>77</v>
      </c>
      <c r="BG423" s="201">
        <v>6.1</v>
      </c>
      <c r="BI423" s="201">
        <v>4.4000000000000004</v>
      </c>
      <c r="BK423" s="201">
        <v>1.5</v>
      </c>
      <c r="BM423" s="201">
        <v>63.5</v>
      </c>
      <c r="BO423" s="201">
        <v>17.8</v>
      </c>
      <c r="BQ423" s="201">
        <v>8.8000000000000007</v>
      </c>
      <c r="BS423" s="201">
        <v>50.9</v>
      </c>
      <c r="BU423" s="201">
        <v>16.899999999999999</v>
      </c>
      <c r="BW423" s="201">
        <v>17.8</v>
      </c>
      <c r="BY423" s="178">
        <v>6.7000000000000028</v>
      </c>
      <c r="CC423" s="201">
        <v>6.8</v>
      </c>
      <c r="CD423" s="198">
        <v>41822</v>
      </c>
      <c r="CI423" s="174" t="s">
        <v>9359</v>
      </c>
      <c r="CL423" s="174">
        <v>1</v>
      </c>
    </row>
    <row r="424" spans="1:90">
      <c r="A424" s="191" t="s">
        <v>7751</v>
      </c>
      <c r="B424" s="192" t="s">
        <v>269</v>
      </c>
      <c r="C424" s="192" t="s">
        <v>417</v>
      </c>
      <c r="D424" s="192" t="s">
        <v>8697</v>
      </c>
      <c r="E424" s="193">
        <v>249</v>
      </c>
      <c r="F424" s="193">
        <v>3</v>
      </c>
      <c r="K424" s="176">
        <v>8</v>
      </c>
      <c r="M424" s="197">
        <v>1.95</v>
      </c>
      <c r="N424" s="198">
        <v>41822</v>
      </c>
      <c r="S424" s="176">
        <f>(AE424*BS424)/100</f>
        <v>5.7386243386243381</v>
      </c>
      <c r="T424" s="198"/>
      <c r="U424" s="176">
        <v>16.2</v>
      </c>
      <c r="Y424" s="200">
        <f>(AE424*BU424)/100</f>
        <v>2.4117063492063493</v>
      </c>
      <c r="Z424" s="198"/>
      <c r="AA424" s="200"/>
      <c r="AB424" s="198"/>
      <c r="AC424" s="378">
        <f t="shared" si="6"/>
        <v>11.25462962962963</v>
      </c>
      <c r="AE424" s="176">
        <f>(M424/U424)*((100-CC424)/(100-9))*100</f>
        <v>12.367724867724867</v>
      </c>
      <c r="AF424" s="198">
        <v>41822</v>
      </c>
      <c r="AG424" s="176">
        <v>5</v>
      </c>
      <c r="AH424" s="196">
        <v>41927</v>
      </c>
      <c r="AI424" s="176">
        <v>100</v>
      </c>
      <c r="AM424" s="176">
        <v>80</v>
      </c>
      <c r="BG424" s="201">
        <v>40.1</v>
      </c>
      <c r="BI424" s="201">
        <v>4.5999999999999996</v>
      </c>
      <c r="BK424" s="201">
        <v>0.9</v>
      </c>
      <c r="BM424" s="201">
        <v>33.299999999999997</v>
      </c>
      <c r="BO424" s="201">
        <v>16.7</v>
      </c>
      <c r="BQ424" s="201">
        <v>10.3</v>
      </c>
      <c r="BS424" s="201">
        <v>46.4</v>
      </c>
      <c r="BU424" s="201">
        <v>19.5</v>
      </c>
      <c r="BW424" s="201">
        <v>78.099999999999994</v>
      </c>
      <c r="BY424" s="178">
        <v>6.5999999999999943</v>
      </c>
      <c r="CC424" s="201">
        <v>6.5</v>
      </c>
      <c r="CD424" s="198">
        <v>41822</v>
      </c>
      <c r="CI424" s="174" t="s">
        <v>9351</v>
      </c>
      <c r="CL424" s="174">
        <v>7</v>
      </c>
    </row>
    <row r="425" spans="1:90">
      <c r="A425" s="191" t="s">
        <v>7660</v>
      </c>
      <c r="B425" s="192" t="s">
        <v>269</v>
      </c>
      <c r="C425" s="192" t="s">
        <v>417</v>
      </c>
      <c r="D425" s="192" t="s">
        <v>8333</v>
      </c>
      <c r="E425" s="193">
        <v>249</v>
      </c>
      <c r="F425" s="193">
        <v>4</v>
      </c>
      <c r="K425" s="176">
        <v>8</v>
      </c>
      <c r="M425" s="197">
        <v>2</v>
      </c>
      <c r="N425" s="198">
        <v>41822</v>
      </c>
      <c r="S425" s="176">
        <f>(AE425*BS425)/100</f>
        <v>6.3199294532627857</v>
      </c>
      <c r="T425" s="198"/>
      <c r="U425" s="176">
        <v>16.2</v>
      </c>
      <c r="Y425" s="200">
        <f>(AE425*BU425)/100</f>
        <v>2.2644281644281641</v>
      </c>
      <c r="Z425" s="198"/>
      <c r="AA425" s="200"/>
      <c r="AB425" s="198"/>
      <c r="AC425" s="378">
        <f t="shared" si="6"/>
        <v>11.641975308641976</v>
      </c>
      <c r="AE425" s="176">
        <f>(M425/U425)*((100-CC425)/(100-9))*100</f>
        <v>12.793379460046125</v>
      </c>
      <c r="AF425" s="198">
        <v>41822</v>
      </c>
      <c r="AG425" s="176">
        <v>5</v>
      </c>
      <c r="AH425" s="196">
        <v>41927</v>
      </c>
      <c r="AI425" s="176">
        <v>120</v>
      </c>
      <c r="AM425" s="176">
        <v>84</v>
      </c>
      <c r="BG425" s="201">
        <v>5.5</v>
      </c>
      <c r="BI425" s="201">
        <v>4.5999999999999996</v>
      </c>
      <c r="BK425" s="201">
        <v>1.3</v>
      </c>
      <c r="BM425" s="201">
        <v>63</v>
      </c>
      <c r="BO425" s="201">
        <v>20.2</v>
      </c>
      <c r="BQ425" s="201">
        <v>9.3000000000000007</v>
      </c>
      <c r="BS425" s="201">
        <v>49.4</v>
      </c>
      <c r="BU425" s="201">
        <v>17.7</v>
      </c>
      <c r="BW425" s="201">
        <v>68.099999999999994</v>
      </c>
      <c r="BY425" s="178">
        <v>6.7000000000000028</v>
      </c>
      <c r="CC425" s="201">
        <v>5.7</v>
      </c>
      <c r="CD425" s="198">
        <v>41822</v>
      </c>
      <c r="CI425" s="174" t="s">
        <v>9349</v>
      </c>
      <c r="CL425" s="174">
        <v>5</v>
      </c>
    </row>
    <row r="426" spans="1:90">
      <c r="A426" s="191" t="s">
        <v>7632</v>
      </c>
      <c r="B426" s="192" t="s">
        <v>269</v>
      </c>
      <c r="C426" s="192" t="s">
        <v>417</v>
      </c>
      <c r="D426" s="192" t="s">
        <v>8221</v>
      </c>
      <c r="E426" s="193">
        <v>249</v>
      </c>
      <c r="F426" s="193">
        <v>5</v>
      </c>
      <c r="I426" s="184"/>
      <c r="K426" s="176">
        <v>8</v>
      </c>
      <c r="M426" s="197">
        <v>1.65</v>
      </c>
      <c r="N426" s="198">
        <v>41822</v>
      </c>
      <c r="O426" s="179"/>
      <c r="S426" s="176">
        <f>(AE426*BS426)/100</f>
        <v>5.1014570614570616</v>
      </c>
      <c r="T426" s="198"/>
      <c r="U426" s="176">
        <v>16.2</v>
      </c>
      <c r="Y426" s="200">
        <f>(AE426*BU426)/100</f>
        <v>2.0071306471306469</v>
      </c>
      <c r="Z426" s="198"/>
      <c r="AA426" s="200"/>
      <c r="AB426" s="198"/>
      <c r="AC426" s="378">
        <f t="shared" si="6"/>
        <v>9.5129629629629626</v>
      </c>
      <c r="AE426" s="176">
        <f>(M426/U426)*((100-CC426)/(100-9))*100</f>
        <v>10.453805453805455</v>
      </c>
      <c r="AF426" s="198">
        <v>41822</v>
      </c>
      <c r="AG426" s="176">
        <v>5.0999999999999996</v>
      </c>
      <c r="AH426" s="196">
        <v>41927</v>
      </c>
      <c r="AI426" s="176">
        <v>115</v>
      </c>
      <c r="AM426" s="176">
        <v>80</v>
      </c>
      <c r="BG426" s="201">
        <v>2.1</v>
      </c>
      <c r="BI426" s="201">
        <v>4.4000000000000004</v>
      </c>
      <c r="BK426" s="201">
        <v>1.5</v>
      </c>
      <c r="BM426" s="201">
        <v>64</v>
      </c>
      <c r="BO426" s="201">
        <v>18.8</v>
      </c>
      <c r="BQ426" s="201">
        <v>8.8000000000000007</v>
      </c>
      <c r="BS426" s="201">
        <v>48.8</v>
      </c>
      <c r="BU426" s="201">
        <v>19.2</v>
      </c>
      <c r="BW426" s="201">
        <v>29.8</v>
      </c>
      <c r="BY426" s="178">
        <v>6.7999999999999972</v>
      </c>
      <c r="CC426" s="201">
        <v>6.6</v>
      </c>
      <c r="CD426" s="198">
        <v>41822</v>
      </c>
      <c r="CI426" s="174" t="s">
        <v>9351</v>
      </c>
      <c r="CL426" s="174">
        <v>8</v>
      </c>
    </row>
    <row r="427" spans="1:90">
      <c r="A427" s="191" t="s">
        <v>7898</v>
      </c>
      <c r="B427" s="192" t="s">
        <v>269</v>
      </c>
      <c r="C427" s="192" t="s">
        <v>417</v>
      </c>
      <c r="D427" s="192" t="s">
        <v>8977</v>
      </c>
      <c r="E427" s="193">
        <v>249</v>
      </c>
      <c r="F427" s="193">
        <v>6</v>
      </c>
      <c r="K427" s="176">
        <v>7</v>
      </c>
      <c r="M427" s="197">
        <v>3.65</v>
      </c>
      <c r="N427" s="198">
        <v>41822</v>
      </c>
      <c r="S427" s="176">
        <f>(AE427*BS427)/100</f>
        <v>12.342060778727449</v>
      </c>
      <c r="T427" s="198"/>
      <c r="U427" s="176">
        <v>16.2</v>
      </c>
      <c r="Y427" s="200">
        <f>(AE427*BU427)/100</f>
        <v>3.526303079636413</v>
      </c>
      <c r="Z427" s="198"/>
      <c r="AA427" s="200"/>
      <c r="AB427" s="198"/>
      <c r="AC427" s="378">
        <f t="shared" si="6"/>
        <v>21.11141975308642</v>
      </c>
      <c r="AE427" s="176">
        <f>(M427/U427)*((100-CC427)/(100-9))*100</f>
        <v>23.199362366029035</v>
      </c>
      <c r="AF427" s="198">
        <v>41822</v>
      </c>
      <c r="AG427" s="176">
        <v>4.8</v>
      </c>
      <c r="AH427" s="196">
        <v>41927</v>
      </c>
      <c r="AI427" s="176">
        <v>140</v>
      </c>
      <c r="AM427" s="176">
        <v>85</v>
      </c>
      <c r="BG427" s="201">
        <v>0</v>
      </c>
      <c r="BI427" s="201">
        <v>4.9000000000000004</v>
      </c>
      <c r="BK427" s="201">
        <v>1.6</v>
      </c>
      <c r="BM427" s="201">
        <v>64.2</v>
      </c>
      <c r="BO427" s="201">
        <v>20.6</v>
      </c>
      <c r="BQ427" s="201">
        <v>8.6</v>
      </c>
      <c r="BS427" s="201">
        <v>53.2</v>
      </c>
      <c r="BU427" s="201">
        <v>15.2</v>
      </c>
      <c r="BW427" s="201">
        <v>12.9</v>
      </c>
      <c r="BY427" s="178">
        <v>6.5</v>
      </c>
      <c r="CC427" s="201">
        <v>6.3</v>
      </c>
      <c r="CD427" s="198">
        <v>41822</v>
      </c>
      <c r="CI427" s="174" t="s">
        <v>9391</v>
      </c>
      <c r="CL427" s="174">
        <v>2</v>
      </c>
    </row>
    <row r="428" spans="1:90">
      <c r="A428" s="191" t="s">
        <v>7682</v>
      </c>
      <c r="B428" s="192" t="s">
        <v>271</v>
      </c>
      <c r="C428" s="192" t="s">
        <v>8998</v>
      </c>
      <c r="D428" s="192" t="s">
        <v>8423</v>
      </c>
      <c r="E428" s="193">
        <v>249</v>
      </c>
      <c r="F428" s="193">
        <v>7</v>
      </c>
      <c r="K428" s="176">
        <v>8</v>
      </c>
      <c r="M428" s="197">
        <v>5.5</v>
      </c>
      <c r="N428" s="198">
        <v>41822</v>
      </c>
      <c r="S428" s="176">
        <f>(AE428*BS428)/100</f>
        <v>17.570004070004074</v>
      </c>
      <c r="T428" s="198"/>
      <c r="U428" s="176">
        <v>16.2</v>
      </c>
      <c r="Y428" s="200">
        <f>(AE428*BU428)/100</f>
        <v>5.9268077601410951</v>
      </c>
      <c r="Z428" s="198"/>
      <c r="AA428" s="200"/>
      <c r="AB428" s="198"/>
      <c r="AC428" s="378">
        <f t="shared" si="6"/>
        <v>31.913580246913583</v>
      </c>
      <c r="AE428" s="176">
        <f>(M428/U428)*((100-CC428)/(100-9))*100</f>
        <v>35.069868403201745</v>
      </c>
      <c r="AF428" s="198">
        <v>41822</v>
      </c>
      <c r="AG428" s="176">
        <v>4.3</v>
      </c>
      <c r="AH428" s="196">
        <v>41927</v>
      </c>
      <c r="AI428" s="176">
        <v>135</v>
      </c>
      <c r="AM428" s="176">
        <v>78</v>
      </c>
      <c r="BG428" s="201">
        <v>0</v>
      </c>
      <c r="BI428" s="201">
        <v>4.4000000000000004</v>
      </c>
      <c r="BK428" s="201">
        <v>1.7</v>
      </c>
      <c r="BM428" s="201">
        <v>65.7</v>
      </c>
      <c r="BO428" s="201">
        <v>20.399999999999999</v>
      </c>
      <c r="BQ428" s="201">
        <v>7.7</v>
      </c>
      <c r="BS428" s="201">
        <v>50.1</v>
      </c>
      <c r="BU428" s="201">
        <v>16.899999999999999</v>
      </c>
      <c r="BW428" s="201">
        <v>14.3</v>
      </c>
      <c r="BY428" s="178">
        <v>6.2999999999999972</v>
      </c>
      <c r="CC428" s="201">
        <v>6</v>
      </c>
      <c r="CD428" s="198">
        <v>41822</v>
      </c>
      <c r="CI428" s="174" t="s">
        <v>9381</v>
      </c>
      <c r="CL428" s="174">
        <v>1</v>
      </c>
    </row>
    <row r="429" spans="1:90">
      <c r="A429" s="191" t="s">
        <v>7769</v>
      </c>
      <c r="B429" s="192" t="s">
        <v>271</v>
      </c>
      <c r="C429" s="192" t="s">
        <v>8998</v>
      </c>
      <c r="D429" s="192" t="s">
        <v>8771</v>
      </c>
      <c r="E429" s="193">
        <v>249</v>
      </c>
      <c r="F429" s="193">
        <v>8</v>
      </c>
      <c r="K429" s="176">
        <v>9</v>
      </c>
      <c r="M429" s="197">
        <v>6.3</v>
      </c>
      <c r="N429" s="198">
        <v>41822</v>
      </c>
      <c r="S429" s="176">
        <f>(AE429*BS429)/100</f>
        <v>20.54192307692308</v>
      </c>
      <c r="T429" s="198"/>
      <c r="U429" s="176">
        <v>16.2</v>
      </c>
      <c r="Y429" s="200">
        <f>(AE429*BU429)/100</f>
        <v>6.767222222222224</v>
      </c>
      <c r="Z429" s="198"/>
      <c r="AA429" s="200"/>
      <c r="AB429" s="198"/>
      <c r="AC429" s="378">
        <f t="shared" si="6"/>
        <v>36.43888888888889</v>
      </c>
      <c r="AE429" s="176">
        <f>(M429/U429)*((100-CC429)/(100-9))*100</f>
        <v>40.042735042735053</v>
      </c>
      <c r="AF429" s="198">
        <v>41822</v>
      </c>
      <c r="AG429" s="176">
        <v>5.2</v>
      </c>
      <c r="AH429" s="196">
        <v>41927</v>
      </c>
      <c r="AI429" s="176">
        <v>135</v>
      </c>
      <c r="AM429" s="176">
        <v>82</v>
      </c>
      <c r="BG429" s="201">
        <v>3.7</v>
      </c>
      <c r="BI429" s="201">
        <v>4.2</v>
      </c>
      <c r="BK429" s="201">
        <v>1.7</v>
      </c>
      <c r="BM429" s="201">
        <v>66.3</v>
      </c>
      <c r="BO429" s="201">
        <v>19.399999999999999</v>
      </c>
      <c r="BQ429" s="201">
        <v>7.2</v>
      </c>
      <c r="BS429" s="201">
        <v>51.3</v>
      </c>
      <c r="BU429" s="201">
        <v>16.899999999999999</v>
      </c>
      <c r="BW429" s="201">
        <v>13.7</v>
      </c>
      <c r="BY429" s="178">
        <v>5.9000000000000057</v>
      </c>
      <c r="CC429" s="201">
        <v>6.3</v>
      </c>
      <c r="CD429" s="198">
        <v>41822</v>
      </c>
      <c r="CI429" s="174" t="s">
        <v>9358</v>
      </c>
      <c r="CL429" s="174">
        <v>1</v>
      </c>
    </row>
    <row r="430" spans="1:90">
      <c r="A430" s="191" t="s">
        <v>7898</v>
      </c>
      <c r="B430" s="192" t="s">
        <v>271</v>
      </c>
      <c r="C430" s="192" t="s">
        <v>8998</v>
      </c>
      <c r="D430" s="192" t="s">
        <v>8983</v>
      </c>
      <c r="E430" s="193">
        <v>249</v>
      </c>
      <c r="F430" s="193">
        <v>9</v>
      </c>
      <c r="K430" s="176">
        <v>6</v>
      </c>
      <c r="M430" s="197">
        <v>6.15</v>
      </c>
      <c r="N430" s="198">
        <v>41822</v>
      </c>
      <c r="S430" s="176">
        <f>(AE430*BS430)/100</f>
        <v>20.326455026455029</v>
      </c>
      <c r="T430" s="198"/>
      <c r="U430" s="176">
        <v>16.2</v>
      </c>
      <c r="Y430" s="200">
        <f>(AE430*BU430)/100</f>
        <v>6.5279192104192107</v>
      </c>
      <c r="Z430" s="198"/>
      <c r="AA430" s="200"/>
      <c r="AB430" s="198"/>
      <c r="AC430" s="378">
        <f t="shared" si="6"/>
        <v>35.571296296296296</v>
      </c>
      <c r="AE430" s="176">
        <f>(M430/U430)*((100-CC430)/(100-9))*100</f>
        <v>39.089336589336597</v>
      </c>
      <c r="AF430" s="198">
        <v>41822</v>
      </c>
      <c r="AG430" s="176">
        <v>4.5999999999999996</v>
      </c>
      <c r="AH430" s="196">
        <v>41927</v>
      </c>
      <c r="AI430" s="176">
        <v>170</v>
      </c>
      <c r="AM430" s="176">
        <v>87</v>
      </c>
      <c r="BG430" s="201">
        <v>0</v>
      </c>
      <c r="BI430" s="201">
        <v>4.5999999999999996</v>
      </c>
      <c r="BK430" s="201">
        <v>1.5</v>
      </c>
      <c r="BM430" s="201">
        <v>65.3</v>
      </c>
      <c r="BO430" s="201">
        <v>21.2</v>
      </c>
      <c r="BQ430" s="201">
        <v>8.5</v>
      </c>
      <c r="BS430" s="201">
        <v>52</v>
      </c>
      <c r="BU430" s="201">
        <v>16.7</v>
      </c>
      <c r="BW430" s="201">
        <v>13.9</v>
      </c>
      <c r="BY430" s="178">
        <v>6</v>
      </c>
      <c r="CC430" s="201">
        <v>6.3</v>
      </c>
      <c r="CD430" s="198">
        <v>41822</v>
      </c>
      <c r="CI430" s="174" t="s">
        <v>9347</v>
      </c>
      <c r="CL430" s="174">
        <v>1</v>
      </c>
    </row>
    <row r="431" spans="1:90">
      <c r="A431" s="191" t="s">
        <v>7625</v>
      </c>
      <c r="B431" s="192" t="s">
        <v>271</v>
      </c>
      <c r="C431" s="192" t="s">
        <v>8998</v>
      </c>
      <c r="D431" s="192" t="s">
        <v>8195</v>
      </c>
      <c r="E431" s="193">
        <v>249</v>
      </c>
      <c r="F431" s="193">
        <v>10</v>
      </c>
      <c r="I431" s="184"/>
      <c r="K431" s="176">
        <v>9</v>
      </c>
      <c r="M431" s="197">
        <v>3.4</v>
      </c>
      <c r="N431" s="198">
        <v>41822</v>
      </c>
      <c r="O431" s="179"/>
      <c r="S431" s="176">
        <f>(AE431*BS431)/100</f>
        <v>9.9615018315018293</v>
      </c>
      <c r="T431" s="198"/>
      <c r="U431" s="176">
        <v>16.2</v>
      </c>
      <c r="Y431" s="200">
        <f>(AE431*BU431)/100</f>
        <v>4.2537132003798668</v>
      </c>
      <c r="Z431" s="198"/>
      <c r="AA431" s="200"/>
      <c r="AB431" s="198"/>
      <c r="AC431" s="378">
        <f t="shared" si="6"/>
        <v>19.749382716049382</v>
      </c>
      <c r="AE431" s="176">
        <f>(M431/U431)*((100-CC431)/(100-9))*100</f>
        <v>21.702618369285034</v>
      </c>
      <c r="AF431" s="198">
        <v>41822</v>
      </c>
      <c r="AG431" s="176">
        <v>4.7</v>
      </c>
      <c r="AH431" s="196">
        <v>41927</v>
      </c>
      <c r="AI431" s="176">
        <v>120</v>
      </c>
      <c r="AM431" s="176">
        <v>86</v>
      </c>
      <c r="BG431" s="201">
        <v>52.5</v>
      </c>
      <c r="BI431" s="201">
        <v>4.5999999999999996</v>
      </c>
      <c r="BK431" s="201">
        <v>0.7</v>
      </c>
      <c r="BM431" s="201">
        <v>26.7</v>
      </c>
      <c r="BO431" s="201">
        <v>18.399999999999999</v>
      </c>
      <c r="BQ431" s="201">
        <v>10.9</v>
      </c>
      <c r="BS431" s="201">
        <v>45.9</v>
      </c>
      <c r="BU431" s="201">
        <v>19.600000000000001</v>
      </c>
      <c r="BW431" s="201">
        <v>73.599999999999994</v>
      </c>
      <c r="BY431" s="178">
        <v>6.7000000000000028</v>
      </c>
      <c r="CC431" s="201">
        <v>5.9</v>
      </c>
      <c r="CD431" s="198">
        <v>41822</v>
      </c>
      <c r="CI431" s="174" t="s">
        <v>9355</v>
      </c>
      <c r="CL431" s="174">
        <v>2</v>
      </c>
    </row>
    <row r="432" spans="1:90">
      <c r="A432" s="191" t="s">
        <v>7696</v>
      </c>
      <c r="B432" s="192" t="s">
        <v>271</v>
      </c>
      <c r="C432" s="192" t="s">
        <v>8998</v>
      </c>
      <c r="D432" s="192" t="s">
        <v>8479</v>
      </c>
      <c r="E432" s="193">
        <v>249</v>
      </c>
      <c r="F432" s="193">
        <v>11</v>
      </c>
      <c r="K432" s="176">
        <v>9</v>
      </c>
      <c r="M432" s="197">
        <v>5.05</v>
      </c>
      <c r="N432" s="198">
        <v>41822</v>
      </c>
      <c r="S432" s="176">
        <f>(AE432*BS432)/100</f>
        <v>15.844092389092394</v>
      </c>
      <c r="T432" s="198"/>
      <c r="U432" s="176">
        <v>16.2</v>
      </c>
      <c r="Y432" s="200">
        <f>(AE432*BU432)/100</f>
        <v>5.8406939356939374</v>
      </c>
      <c r="Z432" s="198"/>
      <c r="AA432" s="200"/>
      <c r="AB432" s="198"/>
      <c r="AC432" s="378">
        <f t="shared" si="6"/>
        <v>29.364814814814814</v>
      </c>
      <c r="AE432" s="176">
        <f>(M432/U432)*((100-CC432)/(100-9))*100</f>
        <v>32.269027269027276</v>
      </c>
      <c r="AF432" s="198">
        <v>41822</v>
      </c>
      <c r="AG432" s="176">
        <v>4.9000000000000004</v>
      </c>
      <c r="AH432" s="196">
        <v>41927</v>
      </c>
      <c r="AI432" s="176">
        <v>135</v>
      </c>
      <c r="AM432" s="176">
        <v>84</v>
      </c>
      <c r="BG432" s="201">
        <v>3.1</v>
      </c>
      <c r="BI432" s="201">
        <v>4.5999999999999996</v>
      </c>
      <c r="BK432" s="201">
        <v>1.6</v>
      </c>
      <c r="BM432" s="201">
        <v>64.099999999999994</v>
      </c>
      <c r="BO432" s="201">
        <v>22.6</v>
      </c>
      <c r="BQ432" s="201">
        <v>7.4</v>
      </c>
      <c r="BS432" s="201">
        <v>49.1</v>
      </c>
      <c r="BU432" s="201">
        <v>18.100000000000001</v>
      </c>
      <c r="BW432" s="201">
        <v>18</v>
      </c>
      <c r="BY432" s="178">
        <v>6.0999999999999943</v>
      </c>
      <c r="CC432" s="201">
        <v>5.8</v>
      </c>
      <c r="CD432" s="198">
        <v>41822</v>
      </c>
      <c r="CI432" s="174" t="s">
        <v>9351</v>
      </c>
      <c r="CL432" s="174">
        <v>1</v>
      </c>
    </row>
    <row r="433" spans="1:91">
      <c r="A433" s="202" t="s">
        <v>7653</v>
      </c>
      <c r="B433" s="203" t="s">
        <v>271</v>
      </c>
      <c r="C433" s="203" t="s">
        <v>8998</v>
      </c>
      <c r="D433" s="203" t="s">
        <v>8307</v>
      </c>
      <c r="E433" s="204">
        <v>249</v>
      </c>
      <c r="F433" s="204">
        <v>12</v>
      </c>
      <c r="G433" s="204"/>
      <c r="H433" s="204"/>
      <c r="I433" s="206"/>
      <c r="J433" s="206"/>
      <c r="K433" s="177">
        <v>8</v>
      </c>
      <c r="L433" s="207"/>
      <c r="M433" s="208">
        <v>1.4</v>
      </c>
      <c r="N433" s="209">
        <v>41822</v>
      </c>
      <c r="O433" s="183"/>
      <c r="P433" s="210"/>
      <c r="Q433" s="183"/>
      <c r="R433" s="210"/>
      <c r="S433" s="177">
        <f>(AE433*BS433)/100</f>
        <v>4.061994301994301</v>
      </c>
      <c r="T433" s="209"/>
      <c r="U433" s="177">
        <v>16.2</v>
      </c>
      <c r="V433" s="210"/>
      <c r="W433" s="183"/>
      <c r="X433" s="210"/>
      <c r="Y433" s="213">
        <f>(AE433*BU433)/100</f>
        <v>1.7993922127255457</v>
      </c>
      <c r="Z433" s="209"/>
      <c r="AA433" s="213"/>
      <c r="AB433" s="209"/>
      <c r="AC433" s="378">
        <f t="shared" si="6"/>
        <v>8.1061728395061721</v>
      </c>
      <c r="AD433" s="207"/>
      <c r="AE433" s="177">
        <f>(M433/U433)*((100-CC433)/(100-9))*100</f>
        <v>8.9078822412155727</v>
      </c>
      <c r="AF433" s="209">
        <v>41822</v>
      </c>
      <c r="AG433" s="177">
        <v>4.0999999999999996</v>
      </c>
      <c r="AH433" s="207">
        <v>41927</v>
      </c>
      <c r="AI433" s="177">
        <v>50</v>
      </c>
      <c r="AJ433" s="207"/>
      <c r="AK433" s="183"/>
      <c r="AL433" s="210"/>
      <c r="AM433" s="177">
        <v>88</v>
      </c>
      <c r="AN433" s="210"/>
      <c r="AO433" s="183"/>
      <c r="AP433" s="183"/>
      <c r="AQ433" s="183"/>
      <c r="AR433" s="183"/>
      <c r="AS433" s="183"/>
      <c r="AT433" s="183"/>
      <c r="AU433" s="183"/>
      <c r="AV433" s="183"/>
      <c r="AW433" s="183"/>
      <c r="AX433" s="183"/>
      <c r="AY433" s="183"/>
      <c r="AZ433" s="183"/>
      <c r="BA433" s="183"/>
      <c r="BB433" s="183"/>
      <c r="BC433" s="183"/>
      <c r="BD433" s="183"/>
      <c r="BE433" s="182"/>
      <c r="BF433" s="182"/>
      <c r="BG433" s="211">
        <v>1.5</v>
      </c>
      <c r="BH433" s="181"/>
      <c r="BI433" s="211">
        <v>4.5999999999999996</v>
      </c>
      <c r="BJ433" s="181"/>
      <c r="BK433" s="211">
        <v>1.5</v>
      </c>
      <c r="BL433" s="181"/>
      <c r="BM433" s="211">
        <v>63.2</v>
      </c>
      <c r="BN433" s="181"/>
      <c r="BO433" s="211">
        <v>20.6</v>
      </c>
      <c r="BP433" s="181"/>
      <c r="BQ433" s="211">
        <v>8.8000000000000007</v>
      </c>
      <c r="BR433" s="181"/>
      <c r="BS433" s="211">
        <v>45.6</v>
      </c>
      <c r="BT433" s="181"/>
      <c r="BU433" s="211">
        <v>20.2</v>
      </c>
      <c r="BV433" s="181"/>
      <c r="BW433" s="211">
        <v>45.5</v>
      </c>
      <c r="BX433" s="181"/>
      <c r="BY433" s="181">
        <v>6.7000000000000028</v>
      </c>
      <c r="BZ433" s="181"/>
      <c r="CA433" s="182"/>
      <c r="CB433" s="182"/>
      <c r="CC433" s="211">
        <v>6.2</v>
      </c>
      <c r="CD433" s="209">
        <v>41822</v>
      </c>
      <c r="CE433" s="181"/>
      <c r="CF433" s="181"/>
      <c r="CG433" s="182"/>
      <c r="CH433" s="182"/>
      <c r="CI433" s="175" t="s">
        <v>9349</v>
      </c>
      <c r="CJ433" s="181"/>
      <c r="CK433" s="181"/>
      <c r="CL433" s="175">
        <v>9</v>
      </c>
      <c r="CM433" s="175"/>
    </row>
    <row r="434" spans="1:91">
      <c r="A434" s="202" t="s">
        <v>7754</v>
      </c>
      <c r="B434" s="203" t="s">
        <v>269</v>
      </c>
      <c r="C434" s="203" t="s">
        <v>8997</v>
      </c>
      <c r="D434" s="203" t="s">
        <v>8710</v>
      </c>
      <c r="E434" s="204">
        <v>250</v>
      </c>
      <c r="F434" s="204">
        <v>1</v>
      </c>
      <c r="G434" s="204"/>
      <c r="H434" s="204"/>
      <c r="I434" s="206"/>
      <c r="J434" s="206"/>
      <c r="K434" s="177">
        <v>8</v>
      </c>
      <c r="L434" s="207"/>
      <c r="M434" s="208">
        <v>0</v>
      </c>
      <c r="N434" s="209">
        <v>41822</v>
      </c>
      <c r="O434" s="183"/>
      <c r="P434" s="210"/>
      <c r="Q434" s="183"/>
      <c r="R434" s="210"/>
      <c r="S434" s="177">
        <f>(AE434*BS434)/100</f>
        <v>0</v>
      </c>
      <c r="T434" s="209"/>
      <c r="U434" s="177">
        <v>16.2</v>
      </c>
      <c r="V434" s="210"/>
      <c r="W434" s="183"/>
      <c r="X434" s="210"/>
      <c r="Y434" s="213">
        <f>(AE434*BU434)/100</f>
        <v>0</v>
      </c>
      <c r="Z434" s="209"/>
      <c r="AA434" s="213"/>
      <c r="AB434" s="209"/>
      <c r="AC434" s="378">
        <f t="shared" si="6"/>
        <v>0</v>
      </c>
      <c r="AD434" s="207"/>
      <c r="AE434" s="177">
        <f>(M434/U434)*((100-CC434)/(100-9))*100</f>
        <v>0</v>
      </c>
      <c r="AF434" s="209">
        <v>41822</v>
      </c>
      <c r="AG434" s="177">
        <v>3.8</v>
      </c>
      <c r="AH434" s="207">
        <v>41927</v>
      </c>
      <c r="AI434" s="177">
        <v>110</v>
      </c>
      <c r="AJ434" s="207"/>
      <c r="AK434" s="183"/>
      <c r="AL434" s="210"/>
      <c r="AM434" s="177">
        <v>84</v>
      </c>
      <c r="AN434" s="210"/>
      <c r="AO434" s="183"/>
      <c r="AP434" s="183"/>
      <c r="AQ434" s="183"/>
      <c r="AR434" s="183"/>
      <c r="AS434" s="183"/>
      <c r="AT434" s="183"/>
      <c r="AU434" s="183"/>
      <c r="AV434" s="183"/>
      <c r="AW434" s="183"/>
      <c r="AX434" s="183"/>
      <c r="AY434" s="183"/>
      <c r="AZ434" s="183"/>
      <c r="BA434" s="183"/>
      <c r="BB434" s="183"/>
      <c r="BC434" s="183"/>
      <c r="BD434" s="183"/>
      <c r="BE434" s="182"/>
      <c r="BF434" s="182"/>
      <c r="BG434" s="211">
        <v>25.3</v>
      </c>
      <c r="BH434" s="181"/>
      <c r="BI434" s="211">
        <v>4.4000000000000004</v>
      </c>
      <c r="BJ434" s="181"/>
      <c r="BK434" s="211">
        <v>1.2</v>
      </c>
      <c r="BL434" s="181"/>
      <c r="BM434" s="211">
        <v>43.4</v>
      </c>
      <c r="BN434" s="181"/>
      <c r="BO434" s="211">
        <v>18.2</v>
      </c>
      <c r="BP434" s="181"/>
      <c r="BQ434" s="211">
        <v>10.199999999999999</v>
      </c>
      <c r="BR434" s="181"/>
      <c r="BS434" s="211">
        <v>47.1</v>
      </c>
      <c r="BT434" s="181"/>
      <c r="BU434" s="211">
        <v>20.5</v>
      </c>
      <c r="BV434" s="181"/>
      <c r="BW434" s="211">
        <v>48.4</v>
      </c>
      <c r="BX434" s="181"/>
      <c r="BY434" s="181">
        <v>7.0999999999999943</v>
      </c>
      <c r="BZ434" s="181"/>
      <c r="CA434" s="182"/>
      <c r="CB434" s="182"/>
      <c r="CC434" s="211">
        <v>8</v>
      </c>
      <c r="CD434" s="209">
        <v>41822</v>
      </c>
      <c r="CE434" s="181"/>
      <c r="CF434" s="181"/>
      <c r="CG434" s="182"/>
      <c r="CH434" s="182"/>
      <c r="CI434" s="175" t="s">
        <v>9337</v>
      </c>
      <c r="CJ434" s="181"/>
      <c r="CK434" s="181"/>
      <c r="CL434" s="175">
        <v>7</v>
      </c>
      <c r="CM434" s="175"/>
    </row>
    <row r="435" spans="1:91">
      <c r="A435" s="191" t="s">
        <v>7631</v>
      </c>
      <c r="B435" s="192" t="s">
        <v>269</v>
      </c>
      <c r="C435" s="192" t="s">
        <v>8997</v>
      </c>
      <c r="D435" s="192" t="s">
        <v>8218</v>
      </c>
      <c r="E435" s="193">
        <v>250</v>
      </c>
      <c r="F435" s="193">
        <v>2</v>
      </c>
      <c r="I435" s="184"/>
      <c r="K435" s="176">
        <v>7</v>
      </c>
      <c r="M435" s="197">
        <v>1.95</v>
      </c>
      <c r="N435" s="198">
        <v>41822</v>
      </c>
      <c r="O435" s="179"/>
      <c r="S435" s="176">
        <f>(AE435*BS435)/100</f>
        <v>5.9277380952380954</v>
      </c>
      <c r="T435" s="198"/>
      <c r="U435" s="176">
        <v>16.2</v>
      </c>
      <c r="Y435" s="200">
        <f>(AE435*BU435)/100</f>
        <v>2.2364285714285721</v>
      </c>
      <c r="Z435" s="198"/>
      <c r="AA435" s="200"/>
      <c r="AB435" s="198"/>
      <c r="AC435" s="378">
        <f t="shared" si="6"/>
        <v>10.941666666666668</v>
      </c>
      <c r="AE435" s="176">
        <f>(M435/U435)*((100-CC435)/(100-9))*100</f>
        <v>12.023809523809526</v>
      </c>
      <c r="AF435" s="198">
        <v>41822</v>
      </c>
      <c r="AG435" s="176">
        <v>4.7</v>
      </c>
      <c r="AH435" s="196">
        <v>41927</v>
      </c>
      <c r="AI435" s="176">
        <v>130</v>
      </c>
      <c r="AM435" s="176">
        <v>89</v>
      </c>
      <c r="BG435" s="201">
        <v>55.4</v>
      </c>
      <c r="BI435" s="201">
        <v>4.0999999999999996</v>
      </c>
      <c r="BK435" s="201">
        <v>0.8</v>
      </c>
      <c r="BM435" s="201">
        <v>28.4</v>
      </c>
      <c r="BO435" s="201">
        <v>13.4</v>
      </c>
      <c r="BQ435" s="201">
        <v>9.1</v>
      </c>
      <c r="BS435" s="201">
        <v>49.3</v>
      </c>
      <c r="BU435" s="201">
        <v>18.600000000000001</v>
      </c>
      <c r="BW435" s="201">
        <v>78.3</v>
      </c>
      <c r="BY435" s="178">
        <v>7.7999999999999972</v>
      </c>
      <c r="CC435" s="201">
        <v>9.1</v>
      </c>
      <c r="CD435" s="198">
        <v>41822</v>
      </c>
      <c r="CI435" s="174" t="s">
        <v>9351</v>
      </c>
      <c r="CL435" s="174">
        <v>4</v>
      </c>
    </row>
    <row r="436" spans="1:91">
      <c r="A436" s="191" t="s">
        <v>7785</v>
      </c>
      <c r="B436" s="192" t="s">
        <v>269</v>
      </c>
      <c r="C436" s="192" t="s">
        <v>8997</v>
      </c>
      <c r="D436" s="192" t="s">
        <v>8834</v>
      </c>
      <c r="E436" s="193">
        <v>250</v>
      </c>
      <c r="F436" s="193">
        <v>3</v>
      </c>
      <c r="K436" s="176">
        <v>8</v>
      </c>
      <c r="M436" s="197">
        <v>4.4000000000000004</v>
      </c>
      <c r="N436" s="198">
        <v>41822</v>
      </c>
      <c r="S436" s="176">
        <f>(AE436*BS436)/100</f>
        <v>14.242574955908292</v>
      </c>
      <c r="T436" s="198"/>
      <c r="U436" s="176">
        <v>16.2</v>
      </c>
      <c r="Y436" s="200">
        <f>(AE436*BU436)/100</f>
        <v>4.6281481481481492</v>
      </c>
      <c r="Z436" s="198"/>
      <c r="AA436" s="200"/>
      <c r="AB436" s="198"/>
      <c r="AC436" s="378">
        <f t="shared" si="6"/>
        <v>25.069135802469138</v>
      </c>
      <c r="AE436" s="176">
        <f>(M436/U436)*((100-CC436)/(100-9))*100</f>
        <v>27.548500881834219</v>
      </c>
      <c r="AF436" s="198">
        <v>41822</v>
      </c>
      <c r="AG436" s="176">
        <v>4.5999999999999996</v>
      </c>
      <c r="AH436" s="196">
        <v>41927</v>
      </c>
      <c r="AI436" s="176">
        <v>140</v>
      </c>
      <c r="AM436" s="176">
        <v>80</v>
      </c>
      <c r="BG436" s="201">
        <v>0.1</v>
      </c>
      <c r="BI436" s="201">
        <v>4.5999999999999996</v>
      </c>
      <c r="BK436" s="201">
        <v>1.6</v>
      </c>
      <c r="BM436" s="201">
        <v>61.7</v>
      </c>
      <c r="BO436" s="201">
        <v>19.600000000000001</v>
      </c>
      <c r="BQ436" s="201">
        <v>9.3000000000000007</v>
      </c>
      <c r="BS436" s="201">
        <v>51.7</v>
      </c>
      <c r="BU436" s="201">
        <v>16.8</v>
      </c>
      <c r="BW436" s="201">
        <v>6.7</v>
      </c>
      <c r="BY436" s="178">
        <v>7</v>
      </c>
      <c r="CC436" s="201">
        <v>7.7</v>
      </c>
      <c r="CD436" s="198">
        <v>41822</v>
      </c>
      <c r="CI436" s="174" t="s">
        <v>9350</v>
      </c>
      <c r="CL436" s="174">
        <v>4</v>
      </c>
    </row>
    <row r="437" spans="1:91">
      <c r="A437" s="191" t="s">
        <v>7750</v>
      </c>
      <c r="B437" s="192" t="s">
        <v>269</v>
      </c>
      <c r="C437" s="192" t="s">
        <v>8997</v>
      </c>
      <c r="D437" s="192" t="s">
        <v>8694</v>
      </c>
      <c r="E437" s="193">
        <v>250</v>
      </c>
      <c r="F437" s="193">
        <v>4</v>
      </c>
      <c r="K437" s="176">
        <v>8</v>
      </c>
      <c r="M437" s="197">
        <v>1.65</v>
      </c>
      <c r="N437" s="198">
        <v>41822</v>
      </c>
      <c r="S437" s="176">
        <f>(AE437*BS437)/100</f>
        <v>5.020714285714285</v>
      </c>
      <c r="T437" s="198"/>
      <c r="U437" s="176">
        <v>16.2</v>
      </c>
      <c r="Y437" s="200">
        <f>(AE437*BU437)/100</f>
        <v>1.9938227513227511</v>
      </c>
      <c r="Z437" s="198"/>
      <c r="AA437" s="200"/>
      <c r="AB437" s="198"/>
      <c r="AC437" s="378">
        <f t="shared" si="6"/>
        <v>9.4009259259259252</v>
      </c>
      <c r="AE437" s="176">
        <f>(M437/U437)*((100-CC437)/(100-9))*100</f>
        <v>10.330687830687829</v>
      </c>
      <c r="AF437" s="198">
        <v>41822</v>
      </c>
      <c r="AG437" s="176">
        <v>4.4000000000000004</v>
      </c>
      <c r="AH437" s="196">
        <v>41927</v>
      </c>
      <c r="AI437" s="176">
        <v>110</v>
      </c>
      <c r="AM437" s="176">
        <v>78</v>
      </c>
      <c r="BG437" s="201">
        <v>45.5</v>
      </c>
      <c r="BI437" s="201">
        <v>4.3</v>
      </c>
      <c r="BK437" s="201">
        <v>0.9</v>
      </c>
      <c r="BM437" s="201">
        <v>29.8</v>
      </c>
      <c r="BO437" s="201">
        <v>15.3</v>
      </c>
      <c r="BQ437" s="201">
        <v>10.4</v>
      </c>
      <c r="BS437" s="201">
        <v>48.6</v>
      </c>
      <c r="BU437" s="201">
        <v>19.3</v>
      </c>
      <c r="BW437" s="201">
        <v>74.599999999999994</v>
      </c>
      <c r="BY437" s="178">
        <v>7.2000000000000028</v>
      </c>
      <c r="CC437" s="201">
        <v>7.7</v>
      </c>
      <c r="CD437" s="198">
        <v>41822</v>
      </c>
      <c r="CI437" s="174" t="s">
        <v>9349</v>
      </c>
      <c r="CL437" s="174">
        <v>5</v>
      </c>
    </row>
    <row r="438" spans="1:91">
      <c r="A438" s="191" t="s">
        <v>7693</v>
      </c>
      <c r="B438" s="192" t="s">
        <v>269</v>
      </c>
      <c r="C438" s="192" t="s">
        <v>8997</v>
      </c>
      <c r="D438" s="192" t="s">
        <v>8466</v>
      </c>
      <c r="E438" s="193">
        <v>250</v>
      </c>
      <c r="F438" s="193">
        <v>5</v>
      </c>
      <c r="K438" s="176">
        <v>9</v>
      </c>
      <c r="M438" s="197">
        <v>4.5999999999999996</v>
      </c>
      <c r="N438" s="198">
        <v>41822</v>
      </c>
      <c r="S438" s="176">
        <f>(AE438*BS438)/100</f>
        <v>14.997491520824852</v>
      </c>
      <c r="T438" s="198"/>
      <c r="U438" s="176">
        <v>16.2</v>
      </c>
      <c r="Y438" s="200">
        <f>(AE438*BU438)/100</f>
        <v>4.6168186134852798</v>
      </c>
      <c r="Z438" s="198"/>
      <c r="AA438" s="200"/>
      <c r="AB438" s="198"/>
      <c r="AC438" s="378">
        <f t="shared" si="6"/>
        <v>26.095061728395063</v>
      </c>
      <c r="AE438" s="176">
        <f>(M438/U438)*((100-CC438)/(100-9))*100</f>
        <v>28.67589200922534</v>
      </c>
      <c r="AF438" s="198">
        <v>41822</v>
      </c>
      <c r="AG438" s="176">
        <v>4.8</v>
      </c>
      <c r="AH438" s="196">
        <v>41927</v>
      </c>
      <c r="AI438" s="176">
        <v>145</v>
      </c>
      <c r="AM438" s="176">
        <v>76</v>
      </c>
      <c r="BG438" s="201">
        <v>0</v>
      </c>
      <c r="BI438" s="201">
        <v>5</v>
      </c>
      <c r="BK438" s="201">
        <v>1.5</v>
      </c>
      <c r="BM438" s="201">
        <v>61.7</v>
      </c>
      <c r="BO438" s="201">
        <v>21.5</v>
      </c>
      <c r="BQ438" s="201">
        <v>8.3000000000000007</v>
      </c>
      <c r="BS438" s="201">
        <v>52.3</v>
      </c>
      <c r="BU438" s="201">
        <v>16.100000000000001</v>
      </c>
      <c r="BW438" s="201">
        <v>17.899999999999999</v>
      </c>
      <c r="BY438" s="178">
        <v>6.9000000000000057</v>
      </c>
      <c r="CC438" s="201">
        <v>8.1</v>
      </c>
      <c r="CD438" s="198">
        <v>41822</v>
      </c>
      <c r="CI438" s="174" t="s">
        <v>9347</v>
      </c>
      <c r="CL438" s="174">
        <v>1</v>
      </c>
    </row>
    <row r="439" spans="1:91">
      <c r="A439" s="191" t="s">
        <v>7789</v>
      </c>
      <c r="B439" s="192" t="s">
        <v>269</v>
      </c>
      <c r="C439" s="192" t="s">
        <v>8997</v>
      </c>
      <c r="D439" s="192" t="s">
        <v>8850</v>
      </c>
      <c r="E439" s="193">
        <v>250</v>
      </c>
      <c r="F439" s="193">
        <v>6</v>
      </c>
      <c r="K439" s="176">
        <v>9</v>
      </c>
      <c r="M439" s="197">
        <v>5.4</v>
      </c>
      <c r="N439" s="198">
        <v>41822</v>
      </c>
      <c r="S439" s="176">
        <f>(AE439*BS439)/100</f>
        <v>17.793406593406594</v>
      </c>
      <c r="T439" s="198"/>
      <c r="U439" s="176">
        <v>16.2</v>
      </c>
      <c r="Y439" s="200">
        <f>(AE439*BU439)/100</f>
        <v>5.1560439560439564</v>
      </c>
      <c r="Z439" s="198"/>
      <c r="AA439" s="200"/>
      <c r="AB439" s="198"/>
      <c r="AC439" s="378">
        <f t="shared" si="6"/>
        <v>30.666666666666671</v>
      </c>
      <c r="AE439" s="176">
        <f>(M439/U439)*((100-CC439)/(100-9))*100</f>
        <v>33.699633699633701</v>
      </c>
      <c r="AF439" s="198">
        <v>41822</v>
      </c>
      <c r="AG439" s="176">
        <v>4.8</v>
      </c>
      <c r="AH439" s="196">
        <v>41927</v>
      </c>
      <c r="AI439" s="176">
        <v>155</v>
      </c>
      <c r="AM439" s="176">
        <v>84</v>
      </c>
      <c r="BG439" s="201">
        <v>2.5</v>
      </c>
      <c r="BI439" s="201">
        <v>4.7</v>
      </c>
      <c r="BK439" s="201">
        <v>1.7</v>
      </c>
      <c r="BM439" s="201">
        <v>62.9</v>
      </c>
      <c r="BO439" s="201">
        <v>20.7</v>
      </c>
      <c r="BQ439" s="201">
        <v>8.4</v>
      </c>
      <c r="BS439" s="201">
        <v>52.8</v>
      </c>
      <c r="BU439" s="201">
        <v>15.3</v>
      </c>
      <c r="BW439" s="201">
        <v>12</v>
      </c>
      <c r="BY439" s="178">
        <v>6.9000000000000057</v>
      </c>
      <c r="CC439" s="201">
        <v>8</v>
      </c>
      <c r="CD439" s="198">
        <v>41822</v>
      </c>
      <c r="CI439" s="174" t="s">
        <v>9358</v>
      </c>
      <c r="CL439" s="174">
        <v>1</v>
      </c>
    </row>
    <row r="440" spans="1:91">
      <c r="A440" s="191" t="s">
        <v>7699</v>
      </c>
      <c r="B440" s="192" t="s">
        <v>271</v>
      </c>
      <c r="C440" s="192" t="s">
        <v>8999</v>
      </c>
      <c r="D440" s="192" t="s">
        <v>8492</v>
      </c>
      <c r="E440" s="193">
        <v>250</v>
      </c>
      <c r="F440" s="193">
        <v>7</v>
      </c>
      <c r="K440" s="176">
        <v>8</v>
      </c>
      <c r="M440" s="197">
        <v>5.6</v>
      </c>
      <c r="N440" s="198">
        <v>41822</v>
      </c>
      <c r="S440" s="176">
        <f>(AE440*BS440)/100</f>
        <v>17.374358974358973</v>
      </c>
      <c r="T440" s="198"/>
      <c r="U440" s="176">
        <v>16.2</v>
      </c>
      <c r="Y440" s="200">
        <f>(AE440*BU440)/100</f>
        <v>6.1775498575498577</v>
      </c>
      <c r="Z440" s="198"/>
      <c r="AA440" s="200"/>
      <c r="AB440" s="198"/>
      <c r="AC440" s="378">
        <f t="shared" si="6"/>
        <v>31.94074074074074</v>
      </c>
      <c r="AE440" s="176">
        <f>(M440/U440)*((100-CC440)/(100-9))*100</f>
        <v>35.099715099715098</v>
      </c>
      <c r="AF440" s="198">
        <v>41822</v>
      </c>
      <c r="AG440" s="176">
        <v>4.7</v>
      </c>
      <c r="AH440" s="196">
        <v>41927</v>
      </c>
      <c r="AI440" s="176">
        <v>125</v>
      </c>
      <c r="AM440" s="176">
        <v>84</v>
      </c>
      <c r="BG440" s="201">
        <v>0</v>
      </c>
      <c r="BI440" s="201">
        <v>4.8</v>
      </c>
      <c r="BK440" s="201">
        <v>1.6</v>
      </c>
      <c r="BM440" s="201">
        <v>61.1</v>
      </c>
      <c r="BO440" s="201">
        <v>20.2</v>
      </c>
      <c r="BQ440" s="201">
        <v>9.4</v>
      </c>
      <c r="BS440" s="201">
        <v>49.5</v>
      </c>
      <c r="BU440" s="201">
        <v>17.600000000000001</v>
      </c>
      <c r="BW440" s="201">
        <v>12.5</v>
      </c>
      <c r="BY440" s="178">
        <v>6.9000000000000057</v>
      </c>
      <c r="CC440" s="201">
        <v>7.6</v>
      </c>
      <c r="CD440" s="198">
        <v>41822</v>
      </c>
      <c r="CI440" s="174" t="s">
        <v>9358</v>
      </c>
      <c r="CL440" s="174">
        <v>1</v>
      </c>
    </row>
    <row r="441" spans="1:91">
      <c r="A441" s="191" t="s">
        <v>7785</v>
      </c>
      <c r="B441" s="192" t="s">
        <v>271</v>
      </c>
      <c r="C441" s="192" t="s">
        <v>8999</v>
      </c>
      <c r="D441" s="192" t="s">
        <v>8836</v>
      </c>
      <c r="E441" s="193">
        <v>250</v>
      </c>
      <c r="F441" s="193">
        <v>8</v>
      </c>
      <c r="K441" s="176">
        <v>7</v>
      </c>
      <c r="M441" s="197">
        <v>6.25</v>
      </c>
      <c r="N441" s="198">
        <v>41822</v>
      </c>
      <c r="S441" s="176">
        <f>(AE441*BS441)/100</f>
        <v>19.743589743589745</v>
      </c>
      <c r="T441" s="198"/>
      <c r="U441" s="176">
        <v>16.2</v>
      </c>
      <c r="Y441" s="200">
        <f>(AE441*BU441)/100</f>
        <v>6.8945868945868964</v>
      </c>
      <c r="Z441" s="198"/>
      <c r="AA441" s="200"/>
      <c r="AB441" s="198"/>
      <c r="AC441" s="378">
        <f t="shared" si="6"/>
        <v>35.648148148148152</v>
      </c>
      <c r="AE441" s="176">
        <f>(M441/U441)*((100-CC441)/(100-9))*100</f>
        <v>39.173789173789181</v>
      </c>
      <c r="AF441" s="198">
        <v>41822</v>
      </c>
      <c r="AG441" s="176">
        <v>4.5999999999999996</v>
      </c>
      <c r="AH441" s="196">
        <v>41927</v>
      </c>
      <c r="AI441" s="176">
        <v>145</v>
      </c>
      <c r="AM441" s="176">
        <v>82</v>
      </c>
      <c r="BG441" s="201">
        <v>1</v>
      </c>
      <c r="BI441" s="201">
        <v>4.4000000000000004</v>
      </c>
      <c r="BK441" s="201">
        <v>1.6</v>
      </c>
      <c r="BM441" s="201">
        <v>60.1</v>
      </c>
      <c r="BO441" s="201">
        <v>20.8</v>
      </c>
      <c r="BQ441" s="201">
        <v>9.9</v>
      </c>
      <c r="BS441" s="201">
        <v>50.4</v>
      </c>
      <c r="BU441" s="201">
        <v>17.600000000000001</v>
      </c>
      <c r="BW441" s="201">
        <v>7.3</v>
      </c>
      <c r="BY441" s="178">
        <v>6.9000000000000057</v>
      </c>
      <c r="CC441" s="201">
        <v>7.6</v>
      </c>
      <c r="CD441" s="198">
        <v>41822</v>
      </c>
      <c r="CI441" s="174" t="s">
        <v>9362</v>
      </c>
      <c r="CL441" s="174">
        <v>1</v>
      </c>
    </row>
    <row r="442" spans="1:91">
      <c r="A442" s="202" t="s">
        <v>7613</v>
      </c>
      <c r="B442" s="203" t="s">
        <v>271</v>
      </c>
      <c r="C442" s="203" t="s">
        <v>8999</v>
      </c>
      <c r="D442" s="203" t="s">
        <v>8148</v>
      </c>
      <c r="E442" s="204">
        <v>250</v>
      </c>
      <c r="F442" s="204">
        <v>9</v>
      </c>
      <c r="G442" s="204"/>
      <c r="H442" s="204"/>
      <c r="I442" s="185"/>
      <c r="J442" s="206"/>
      <c r="K442" s="177">
        <v>6</v>
      </c>
      <c r="L442" s="207"/>
      <c r="M442" s="208">
        <v>1.75</v>
      </c>
      <c r="N442" s="209">
        <v>41822</v>
      </c>
      <c r="O442" s="182"/>
      <c r="P442" s="210"/>
      <c r="Q442" s="183"/>
      <c r="R442" s="210"/>
      <c r="S442" s="177">
        <f>(AE442*BS442)/100</f>
        <v>5.029190408357076</v>
      </c>
      <c r="T442" s="209"/>
      <c r="U442" s="177">
        <v>16.2</v>
      </c>
      <c r="V442" s="210"/>
      <c r="W442" s="183"/>
      <c r="X442" s="210"/>
      <c r="Y442" s="213">
        <f>(AE442*BU442)/100</f>
        <v>2.2036799620132954</v>
      </c>
      <c r="Z442" s="209"/>
      <c r="AA442" s="213"/>
      <c r="AB442" s="209"/>
      <c r="AC442" s="378">
        <f t="shared" si="6"/>
        <v>9.92746913580247</v>
      </c>
      <c r="AD442" s="207"/>
      <c r="AE442" s="177">
        <f>(M442/U442)*((100-CC442)/(100-9))*100</f>
        <v>10.909306742640076</v>
      </c>
      <c r="AF442" s="209">
        <v>41822</v>
      </c>
      <c r="AG442" s="177">
        <v>4.0999999999999996</v>
      </c>
      <c r="AH442" s="207">
        <v>41927</v>
      </c>
      <c r="AI442" s="177">
        <v>90</v>
      </c>
      <c r="AJ442" s="207"/>
      <c r="AK442" s="183"/>
      <c r="AL442" s="210"/>
      <c r="AM442" s="177">
        <v>79</v>
      </c>
      <c r="AN442" s="210"/>
      <c r="AO442" s="183"/>
      <c r="AP442" s="183"/>
      <c r="AQ442" s="183"/>
      <c r="AR442" s="183"/>
      <c r="AS442" s="183"/>
      <c r="AT442" s="183"/>
      <c r="AU442" s="183"/>
      <c r="AV442" s="183"/>
      <c r="AW442" s="183"/>
      <c r="AX442" s="183"/>
      <c r="AY442" s="183"/>
      <c r="AZ442" s="183"/>
      <c r="BA442" s="183"/>
      <c r="BB442" s="183"/>
      <c r="BC442" s="183"/>
      <c r="BD442" s="183"/>
      <c r="BE442" s="182"/>
      <c r="BF442" s="182"/>
      <c r="BG442" s="211">
        <v>33.700000000000003</v>
      </c>
      <c r="BH442" s="181"/>
      <c r="BI442" s="211">
        <v>4.2</v>
      </c>
      <c r="BJ442" s="181"/>
      <c r="BK442" s="211">
        <v>1.2</v>
      </c>
      <c r="BL442" s="181"/>
      <c r="BM442" s="211">
        <v>41.6</v>
      </c>
      <c r="BN442" s="181"/>
      <c r="BO442" s="211">
        <v>16.600000000000001</v>
      </c>
      <c r="BP442" s="181"/>
      <c r="BQ442" s="211">
        <v>8.4</v>
      </c>
      <c r="BR442" s="181"/>
      <c r="BS442" s="211">
        <v>46.1</v>
      </c>
      <c r="BT442" s="181"/>
      <c r="BU442" s="211">
        <v>20.2</v>
      </c>
      <c r="BV442" s="181"/>
      <c r="BW442" s="211">
        <v>56.1</v>
      </c>
      <c r="BX442" s="181"/>
      <c r="BY442" s="181">
        <v>6.7999999999999972</v>
      </c>
      <c r="BZ442" s="181"/>
      <c r="CA442" s="182"/>
      <c r="CB442" s="182"/>
      <c r="CC442" s="211">
        <v>8.1</v>
      </c>
      <c r="CD442" s="209">
        <v>41822</v>
      </c>
      <c r="CE442" s="181"/>
      <c r="CF442" s="181"/>
      <c r="CG442" s="182"/>
      <c r="CH442" s="182"/>
      <c r="CI442" s="175" t="s">
        <v>9349</v>
      </c>
      <c r="CJ442" s="181"/>
      <c r="CK442" s="181"/>
      <c r="CL442" s="175">
        <v>9</v>
      </c>
      <c r="CM442" s="175"/>
    </row>
    <row r="443" spans="1:91">
      <c r="A443" s="191" t="s">
        <v>7713</v>
      </c>
      <c r="B443" s="192" t="s">
        <v>271</v>
      </c>
      <c r="C443" s="192" t="s">
        <v>8999</v>
      </c>
      <c r="D443" s="192" t="s">
        <v>8548</v>
      </c>
      <c r="E443" s="193">
        <v>250</v>
      </c>
      <c r="F443" s="193">
        <v>10</v>
      </c>
      <c r="K443" s="176">
        <v>7</v>
      </c>
      <c r="M443" s="197">
        <v>5.4</v>
      </c>
      <c r="N443" s="198">
        <v>41822</v>
      </c>
      <c r="S443" s="176">
        <f>(AE443*BS443)/100</f>
        <v>16.818901098901097</v>
      </c>
      <c r="T443" s="198"/>
      <c r="U443" s="176">
        <v>16.2</v>
      </c>
      <c r="Y443" s="200">
        <f>(AE443*BU443)/100</f>
        <v>6.1804395604395612</v>
      </c>
      <c r="Z443" s="198"/>
      <c r="AA443" s="200"/>
      <c r="AB443" s="198"/>
      <c r="AC443" s="378">
        <f t="shared" si="6"/>
        <v>30.733333333333338</v>
      </c>
      <c r="AE443" s="176">
        <f>(M443/U443)*((100-CC443)/(100-9))*100</f>
        <v>33.772893772893774</v>
      </c>
      <c r="AF443" s="198">
        <v>41822</v>
      </c>
      <c r="AG443" s="176">
        <v>4.4000000000000004</v>
      </c>
      <c r="AH443" s="196">
        <v>41927</v>
      </c>
      <c r="AI443" s="176">
        <v>125</v>
      </c>
      <c r="AM443" s="176">
        <v>78</v>
      </c>
      <c r="BG443" s="201">
        <v>0</v>
      </c>
      <c r="BI443" s="201">
        <v>4.3</v>
      </c>
      <c r="BK443" s="201">
        <v>1.6</v>
      </c>
      <c r="BM443" s="201">
        <v>62.3</v>
      </c>
      <c r="BO443" s="201">
        <v>19.600000000000001</v>
      </c>
      <c r="BQ443" s="201">
        <v>9.3000000000000007</v>
      </c>
      <c r="BS443" s="201">
        <v>49.8</v>
      </c>
      <c r="BU443" s="201">
        <v>18.3</v>
      </c>
      <c r="BW443" s="201">
        <v>8.1</v>
      </c>
      <c r="BY443" s="178">
        <v>6.5999999999999943</v>
      </c>
      <c r="CC443" s="201">
        <v>7.8</v>
      </c>
      <c r="CD443" s="198">
        <v>41822</v>
      </c>
      <c r="CI443" s="174" t="s">
        <v>9347</v>
      </c>
      <c r="CL443" s="174">
        <v>2</v>
      </c>
    </row>
    <row r="444" spans="1:91">
      <c r="A444" s="191" t="s">
        <v>7638</v>
      </c>
      <c r="B444" s="192" t="s">
        <v>271</v>
      </c>
      <c r="C444" s="192" t="s">
        <v>8999</v>
      </c>
      <c r="D444" s="192" t="s">
        <v>8248</v>
      </c>
      <c r="E444" s="193">
        <v>250</v>
      </c>
      <c r="F444" s="193">
        <v>11</v>
      </c>
      <c r="K444" s="176">
        <v>8</v>
      </c>
      <c r="M444" s="197">
        <v>3.55</v>
      </c>
      <c r="N444" s="198">
        <v>41822</v>
      </c>
      <c r="S444" s="176">
        <f>(AE444*BS444)/100</f>
        <v>10.826633089133088</v>
      </c>
      <c r="T444" s="198"/>
      <c r="U444" s="176">
        <v>16.2</v>
      </c>
      <c r="Y444" s="200">
        <f>(AE444*BU444)/100</f>
        <v>4.4645909645909638</v>
      </c>
      <c r="Z444" s="198"/>
      <c r="AA444" s="200"/>
      <c r="AB444" s="198"/>
      <c r="AC444" s="378">
        <f t="shared" si="6"/>
        <v>20.31388888888889</v>
      </c>
      <c r="AE444" s="176">
        <f>(M444/U444)*((100-CC444)/(100-9))*100</f>
        <v>22.32295482295482</v>
      </c>
      <c r="AF444" s="198">
        <v>41822</v>
      </c>
      <c r="AG444" s="176">
        <v>4.9000000000000004</v>
      </c>
      <c r="AH444" s="196">
        <v>41927</v>
      </c>
      <c r="AI444" s="176">
        <v>120</v>
      </c>
      <c r="AM444" s="176">
        <v>87</v>
      </c>
      <c r="BG444" s="201">
        <v>60.4</v>
      </c>
      <c r="BI444" s="201">
        <v>4.4000000000000004</v>
      </c>
      <c r="BK444" s="201">
        <v>0.7</v>
      </c>
      <c r="BM444" s="201">
        <v>25.7</v>
      </c>
      <c r="BO444" s="201">
        <v>14.5</v>
      </c>
      <c r="BQ444" s="201">
        <v>8.8000000000000007</v>
      </c>
      <c r="BS444" s="201">
        <v>48.5</v>
      </c>
      <c r="BU444" s="201">
        <v>20</v>
      </c>
      <c r="BW444" s="201">
        <v>82.5</v>
      </c>
      <c r="BY444" s="178">
        <v>6.0999999999999943</v>
      </c>
      <c r="CC444" s="201">
        <v>7.3</v>
      </c>
      <c r="CD444" s="198">
        <v>41822</v>
      </c>
      <c r="CI444" s="174" t="s">
        <v>9382</v>
      </c>
      <c r="CL444" s="174">
        <v>7</v>
      </c>
    </row>
    <row r="445" spans="1:91">
      <c r="A445" s="191" t="s">
        <v>7789</v>
      </c>
      <c r="B445" s="192" t="s">
        <v>271</v>
      </c>
      <c r="C445" s="192" t="s">
        <v>8999</v>
      </c>
      <c r="D445" s="192" t="s">
        <v>8852</v>
      </c>
      <c r="E445" s="193">
        <v>250</v>
      </c>
      <c r="F445" s="193">
        <v>12</v>
      </c>
      <c r="K445" s="176">
        <v>7</v>
      </c>
      <c r="M445" s="197">
        <v>6.85</v>
      </c>
      <c r="N445" s="198">
        <v>41822</v>
      </c>
      <c r="S445" s="176">
        <f>(AE445*BS445)/100</f>
        <v>21.479178198344862</v>
      </c>
      <c r="T445" s="198"/>
      <c r="U445" s="176">
        <v>16.2</v>
      </c>
      <c r="Y445" s="200">
        <f>(AE445*BU445)/100</f>
        <v>7.3020665445665438</v>
      </c>
      <c r="Z445" s="198"/>
      <c r="AA445" s="200"/>
      <c r="AB445" s="198"/>
      <c r="AC445" s="378">
        <f t="shared" si="6"/>
        <v>38.858950617283952</v>
      </c>
      <c r="AE445" s="176">
        <f>(M445/U445)*((100-CC445)/(100-9))*100</f>
        <v>42.702143535476864</v>
      </c>
      <c r="AF445" s="198">
        <v>41822</v>
      </c>
      <c r="AG445" s="176">
        <v>5.0999999999999996</v>
      </c>
      <c r="AH445" s="196">
        <v>41927</v>
      </c>
      <c r="AI445" s="176">
        <v>170</v>
      </c>
      <c r="AM445" s="176">
        <v>86</v>
      </c>
      <c r="BG445" s="201">
        <v>0</v>
      </c>
      <c r="BI445" s="201">
        <v>4.7</v>
      </c>
      <c r="BK445" s="201">
        <v>1.7</v>
      </c>
      <c r="BM445" s="201">
        <v>64.599999999999994</v>
      </c>
      <c r="BO445" s="201">
        <v>20.6</v>
      </c>
      <c r="BQ445" s="201">
        <v>7.9</v>
      </c>
      <c r="BS445" s="201">
        <v>50.3</v>
      </c>
      <c r="BU445" s="201">
        <v>17.100000000000001</v>
      </c>
      <c r="BW445" s="201">
        <v>11.5</v>
      </c>
      <c r="BY445" s="178">
        <v>6.9000000000000057</v>
      </c>
      <c r="CC445" s="201">
        <v>8.1</v>
      </c>
      <c r="CD445" s="198">
        <v>41822</v>
      </c>
      <c r="CI445" s="174" t="s">
        <v>9383</v>
      </c>
      <c r="CL445" s="174">
        <v>2</v>
      </c>
    </row>
    <row r="446" spans="1:91">
      <c r="A446" s="191" t="s">
        <v>7626</v>
      </c>
      <c r="B446" s="192" t="s">
        <v>269</v>
      </c>
      <c r="C446" s="192" t="s">
        <v>8997</v>
      </c>
      <c r="D446" s="192" t="s">
        <v>8198</v>
      </c>
      <c r="E446" s="193">
        <v>251</v>
      </c>
      <c r="F446" s="193">
        <v>1</v>
      </c>
      <c r="I446" s="184"/>
      <c r="K446" s="176">
        <v>8</v>
      </c>
      <c r="M446" s="197">
        <v>4.3</v>
      </c>
      <c r="N446" s="198">
        <v>41822</v>
      </c>
      <c r="O446" s="179"/>
      <c r="S446" s="176">
        <f>(AE446*BS446)/100</f>
        <v>13.00077669244336</v>
      </c>
      <c r="T446" s="198"/>
      <c r="U446" s="176">
        <v>16.2</v>
      </c>
      <c r="Y446" s="200">
        <f>(AE446*BU446)/100</f>
        <v>5.2003106769773435</v>
      </c>
      <c r="Z446" s="198"/>
      <c r="AA446" s="200"/>
      <c r="AB446" s="198"/>
      <c r="AC446" s="378">
        <f t="shared" si="6"/>
        <v>24.393209876543214</v>
      </c>
      <c r="AE446" s="176">
        <f>(M446/U446)*((100-CC446)/(100-9))*100</f>
        <v>26.805725139058474</v>
      </c>
      <c r="AF446" s="198">
        <v>41822</v>
      </c>
      <c r="AG446" s="176">
        <v>4.9000000000000004</v>
      </c>
      <c r="AH446" s="196">
        <v>41927</v>
      </c>
      <c r="AI446" s="176">
        <v>125</v>
      </c>
      <c r="AM446" s="176">
        <v>86</v>
      </c>
      <c r="BG446" s="201">
        <v>28.1</v>
      </c>
      <c r="BI446" s="201">
        <v>4.2</v>
      </c>
      <c r="BK446" s="201">
        <v>1.2</v>
      </c>
      <c r="BM446" s="201">
        <v>41</v>
      </c>
      <c r="BO446" s="201">
        <v>16.600000000000001</v>
      </c>
      <c r="BQ446" s="201">
        <v>9</v>
      </c>
      <c r="BS446" s="201">
        <v>48.5</v>
      </c>
      <c r="BU446" s="201">
        <v>19.399999999999999</v>
      </c>
      <c r="BW446" s="201">
        <v>52.4</v>
      </c>
      <c r="BY446" s="178">
        <v>7.2999999999999972</v>
      </c>
      <c r="CC446" s="201">
        <v>8.1</v>
      </c>
      <c r="CD446" s="198">
        <v>41822</v>
      </c>
      <c r="CI446" s="174" t="s">
        <v>9339</v>
      </c>
      <c r="CL446" s="174">
        <v>5</v>
      </c>
    </row>
    <row r="447" spans="1:91">
      <c r="A447" s="191" t="s">
        <v>7638</v>
      </c>
      <c r="B447" s="192" t="s">
        <v>269</v>
      </c>
      <c r="C447" s="192" t="s">
        <v>8997</v>
      </c>
      <c r="D447" s="192" t="s">
        <v>8246</v>
      </c>
      <c r="E447" s="193">
        <v>251</v>
      </c>
      <c r="F447" s="193">
        <v>2</v>
      </c>
      <c r="K447" s="176">
        <v>7</v>
      </c>
      <c r="M447" s="197">
        <v>1.5</v>
      </c>
      <c r="N447" s="198">
        <v>41822</v>
      </c>
      <c r="S447" s="176">
        <f>(AE447*BS447)/100</f>
        <v>4.6106227106227111</v>
      </c>
      <c r="T447" s="198"/>
      <c r="U447" s="176">
        <v>16.2</v>
      </c>
      <c r="Y447" s="200">
        <f>(AE447*BU447)/100</f>
        <v>1.818009768009768</v>
      </c>
      <c r="Z447" s="198"/>
      <c r="AA447" s="200"/>
      <c r="AB447" s="198"/>
      <c r="AC447" s="378">
        <f t="shared" si="6"/>
        <v>8.5277777777777786</v>
      </c>
      <c r="AE447" s="176">
        <f>(M447/U447)*((100-CC447)/(100-9))*100</f>
        <v>9.3711843711843716</v>
      </c>
      <c r="AF447" s="198">
        <v>41822</v>
      </c>
      <c r="AG447" s="176">
        <v>5.2</v>
      </c>
      <c r="AH447" s="196">
        <v>41927</v>
      </c>
      <c r="AI447" s="176">
        <v>100</v>
      </c>
      <c r="AM447" s="176">
        <v>85</v>
      </c>
      <c r="BG447" s="201">
        <v>50.2</v>
      </c>
      <c r="BI447" s="201">
        <v>4.7</v>
      </c>
      <c r="BK447" s="201">
        <v>0.7</v>
      </c>
      <c r="BM447" s="201">
        <v>28.3</v>
      </c>
      <c r="BO447" s="201">
        <v>16.5</v>
      </c>
      <c r="BQ447" s="201">
        <v>9.6999999999999993</v>
      </c>
      <c r="BS447" s="201">
        <v>49.2</v>
      </c>
      <c r="BU447" s="201">
        <v>19.399999999999999</v>
      </c>
      <c r="BW447" s="201">
        <v>83.9</v>
      </c>
      <c r="BY447" s="178">
        <v>6.7000000000000028</v>
      </c>
      <c r="CC447" s="201">
        <v>7.9</v>
      </c>
      <c r="CD447" s="198">
        <v>41822</v>
      </c>
      <c r="CI447" s="174" t="s">
        <v>9351</v>
      </c>
      <c r="CL447" s="174">
        <v>7</v>
      </c>
    </row>
    <row r="448" spans="1:91">
      <c r="A448" s="191" t="s">
        <v>7708</v>
      </c>
      <c r="B448" s="192" t="s">
        <v>269</v>
      </c>
      <c r="C448" s="192" t="s">
        <v>8997</v>
      </c>
      <c r="D448" s="192" t="s">
        <v>8526</v>
      </c>
      <c r="E448" s="193">
        <v>251</v>
      </c>
      <c r="F448" s="193">
        <v>3</v>
      </c>
      <c r="K448" s="176">
        <v>8</v>
      </c>
      <c r="M448" s="197">
        <v>2.2000000000000002</v>
      </c>
      <c r="N448" s="198">
        <v>41822</v>
      </c>
      <c r="S448" s="176">
        <f>(AE448*BS448)/100</f>
        <v>6.6153710487043824</v>
      </c>
      <c r="T448" s="198"/>
      <c r="U448" s="176">
        <v>16.2</v>
      </c>
      <c r="Y448" s="200">
        <f>(AE448*BU448)/100</f>
        <v>2.4006294939628279</v>
      </c>
      <c r="Z448" s="198"/>
      <c r="AA448" s="200"/>
      <c r="AB448" s="198"/>
      <c r="AC448" s="378">
        <f t="shared" si="6"/>
        <v>12.412345679012349</v>
      </c>
      <c r="AE448" s="176">
        <f>(M448/U448)*((100-CC448)/(100-9))*100</f>
        <v>13.639940306606976</v>
      </c>
      <c r="AF448" s="198">
        <v>41822</v>
      </c>
      <c r="AG448" s="176">
        <v>4.5999999999999996</v>
      </c>
      <c r="AH448" s="196">
        <v>41927</v>
      </c>
      <c r="AI448" s="176">
        <v>110</v>
      </c>
      <c r="AM448" s="176">
        <v>87</v>
      </c>
      <c r="BG448" s="201">
        <v>0</v>
      </c>
      <c r="BI448" s="201">
        <v>4.5</v>
      </c>
      <c r="BK448" s="201">
        <v>1.6</v>
      </c>
      <c r="BM448" s="201">
        <v>63.6</v>
      </c>
      <c r="BO448" s="201">
        <v>18.600000000000001</v>
      </c>
      <c r="BQ448" s="201">
        <v>8.9</v>
      </c>
      <c r="BS448" s="201">
        <v>48.5</v>
      </c>
      <c r="BU448" s="201">
        <v>17.600000000000001</v>
      </c>
      <c r="BW448" s="201">
        <v>21.9</v>
      </c>
      <c r="BY448" s="178">
        <v>7.5</v>
      </c>
      <c r="CC448" s="201">
        <v>8.6</v>
      </c>
      <c r="CD448" s="198">
        <v>41822</v>
      </c>
      <c r="CI448" s="174" t="s">
        <v>9368</v>
      </c>
      <c r="CL448" s="174">
        <v>3</v>
      </c>
    </row>
    <row r="449" spans="1:91">
      <c r="A449" s="191" t="s">
        <v>7680</v>
      </c>
      <c r="B449" s="192" t="s">
        <v>269</v>
      </c>
      <c r="C449" s="192" t="s">
        <v>8997</v>
      </c>
      <c r="D449" s="192" t="s">
        <v>8414</v>
      </c>
      <c r="E449" s="193">
        <v>251</v>
      </c>
      <c r="F449" s="193">
        <v>4</v>
      </c>
      <c r="K449" s="176">
        <v>7</v>
      </c>
      <c r="M449" s="197">
        <v>2.85</v>
      </c>
      <c r="N449" s="198">
        <v>41822</v>
      </c>
      <c r="S449" s="176">
        <f>(AE449*BS449)/100</f>
        <v>8.8492094017094018</v>
      </c>
      <c r="T449" s="198"/>
      <c r="U449" s="176">
        <v>16.2</v>
      </c>
      <c r="Y449" s="200">
        <f>(AE449*BU449)/100</f>
        <v>2.9556715506715507</v>
      </c>
      <c r="Z449" s="198"/>
      <c r="AA449" s="200"/>
      <c r="AB449" s="198"/>
      <c r="AC449" s="378">
        <f t="shared" si="6"/>
        <v>16.202777777777776</v>
      </c>
      <c r="AE449" s="176">
        <f>(M449/U449)*((100-CC449)/(100-9))*100</f>
        <v>17.805250305250304</v>
      </c>
      <c r="AF449" s="198">
        <v>41822</v>
      </c>
      <c r="AG449" s="176">
        <v>4.5999999999999996</v>
      </c>
      <c r="AH449" s="196">
        <v>41927</v>
      </c>
      <c r="AI449" s="176">
        <v>125</v>
      </c>
      <c r="AM449" s="176">
        <v>80</v>
      </c>
      <c r="BG449" s="201">
        <v>0.4</v>
      </c>
      <c r="BI449" s="201">
        <v>5.0999999999999996</v>
      </c>
      <c r="BK449" s="201">
        <v>1.5</v>
      </c>
      <c r="BM449" s="201">
        <v>60.6</v>
      </c>
      <c r="BO449" s="201">
        <v>21.3</v>
      </c>
      <c r="BQ449" s="201">
        <v>10.199999999999999</v>
      </c>
      <c r="BS449" s="201">
        <v>49.7</v>
      </c>
      <c r="BU449" s="201">
        <v>16.600000000000001</v>
      </c>
      <c r="BW449" s="201">
        <v>13.1</v>
      </c>
      <c r="BY449" s="178">
        <v>6.7000000000000028</v>
      </c>
      <c r="CC449" s="201">
        <v>7.9</v>
      </c>
      <c r="CD449" s="198">
        <v>41822</v>
      </c>
      <c r="CI449" s="174" t="s">
        <v>9353</v>
      </c>
      <c r="CL449" s="174">
        <v>3</v>
      </c>
    </row>
    <row r="450" spans="1:91">
      <c r="A450" s="191" t="s">
        <v>7716</v>
      </c>
      <c r="B450" s="192" t="s">
        <v>269</v>
      </c>
      <c r="C450" s="192" t="s">
        <v>8997</v>
      </c>
      <c r="D450" s="192" t="s">
        <v>8558</v>
      </c>
      <c r="E450" s="193">
        <v>251</v>
      </c>
      <c r="F450" s="193">
        <v>5</v>
      </c>
      <c r="K450" s="176">
        <v>9</v>
      </c>
      <c r="M450" s="197">
        <v>3.55</v>
      </c>
      <c r="N450" s="198">
        <v>41822</v>
      </c>
      <c r="S450" s="176">
        <f>(AE450*BS450)/100</f>
        <v>11.722946682946683</v>
      </c>
      <c r="T450" s="198"/>
      <c r="U450" s="176">
        <v>16.2</v>
      </c>
      <c r="Y450" s="200">
        <f>(AE450*BU450)/100</f>
        <v>3.5968131868131867</v>
      </c>
      <c r="Z450" s="198"/>
      <c r="AA450" s="200"/>
      <c r="AB450" s="198"/>
      <c r="AC450" s="378">
        <f t="shared" si="6"/>
        <v>20.20432098765432</v>
      </c>
      <c r="AE450" s="176">
        <f>(M450/U450)*((100-CC450)/(100-9))*100</f>
        <v>22.202550535883869</v>
      </c>
      <c r="AF450" s="198">
        <v>41822</v>
      </c>
      <c r="AG450" s="176">
        <v>4.7</v>
      </c>
      <c r="AH450" s="196">
        <v>41927</v>
      </c>
      <c r="AI450" s="176">
        <v>140</v>
      </c>
      <c r="AM450" s="176">
        <v>80</v>
      </c>
      <c r="BG450" s="201">
        <v>0.5</v>
      </c>
      <c r="BI450" s="201">
        <v>4.5</v>
      </c>
      <c r="BK450" s="201">
        <v>1.6</v>
      </c>
      <c r="BM450" s="201">
        <v>64.2</v>
      </c>
      <c r="BO450" s="201">
        <v>18.8</v>
      </c>
      <c r="BQ450" s="201">
        <v>8.6</v>
      </c>
      <c r="BS450" s="201">
        <v>52.8</v>
      </c>
      <c r="BU450" s="201">
        <v>16.2</v>
      </c>
      <c r="BW450" s="201">
        <v>13.4</v>
      </c>
      <c r="BY450" s="178">
        <v>7</v>
      </c>
      <c r="CC450" s="201">
        <v>7.8</v>
      </c>
      <c r="CD450" s="198">
        <v>41822</v>
      </c>
      <c r="CI450" s="174" t="s">
        <v>9362</v>
      </c>
      <c r="CL450" s="174">
        <v>1</v>
      </c>
    </row>
    <row r="451" spans="1:91">
      <c r="A451" s="191" t="s">
        <v>7664</v>
      </c>
      <c r="B451" s="192" t="s">
        <v>269</v>
      </c>
      <c r="C451" s="192" t="s">
        <v>8997</v>
      </c>
      <c r="D451" s="192" t="s">
        <v>8350</v>
      </c>
      <c r="E451" s="193">
        <v>251</v>
      </c>
      <c r="F451" s="193">
        <v>6</v>
      </c>
      <c r="K451" s="176">
        <v>7</v>
      </c>
      <c r="M451" s="197">
        <v>4.45</v>
      </c>
      <c r="N451" s="198">
        <v>41822</v>
      </c>
      <c r="S451" s="176">
        <f>(AE451*BS451)/100</f>
        <v>14.15849816849817</v>
      </c>
      <c r="T451" s="198"/>
      <c r="U451" s="176">
        <v>16.2</v>
      </c>
      <c r="Y451" s="200">
        <f>(AE451*BU451)/100</f>
        <v>4.3627930402930408</v>
      </c>
      <c r="Z451" s="198"/>
      <c r="AA451" s="200"/>
      <c r="AB451" s="198"/>
      <c r="AC451" s="378">
        <f t="shared" ref="AC451:AC514" si="7">(M451/16.2)*(100-CC451)</f>
        <v>24.969444444444445</v>
      </c>
      <c r="AE451" s="176">
        <f>(M451/U451)*((100-CC451)/(100-9))*100</f>
        <v>27.438949938949943</v>
      </c>
      <c r="AF451" s="198">
        <v>41822</v>
      </c>
      <c r="AG451" s="176">
        <v>4.4000000000000004</v>
      </c>
      <c r="AH451" s="196">
        <v>41927</v>
      </c>
      <c r="AI451" s="176">
        <v>145</v>
      </c>
      <c r="AM451" s="176">
        <v>87</v>
      </c>
      <c r="BG451" s="201">
        <v>3.2</v>
      </c>
      <c r="BI451" s="201">
        <v>5</v>
      </c>
      <c r="BK451" s="201">
        <v>1.7</v>
      </c>
      <c r="BM451" s="201">
        <v>68.3</v>
      </c>
      <c r="BO451" s="201">
        <v>19.399999999999999</v>
      </c>
      <c r="BQ451" s="201">
        <v>6</v>
      </c>
      <c r="BS451" s="201">
        <v>51.6</v>
      </c>
      <c r="BU451" s="201">
        <v>15.9</v>
      </c>
      <c r="BW451" s="201">
        <v>2</v>
      </c>
      <c r="BY451" s="178">
        <v>7.5</v>
      </c>
      <c r="CC451" s="201">
        <v>9.1</v>
      </c>
      <c r="CD451" s="198">
        <v>41822</v>
      </c>
      <c r="CI451" s="174" t="s">
        <v>9356</v>
      </c>
      <c r="CL451" s="174">
        <v>1</v>
      </c>
    </row>
    <row r="452" spans="1:91">
      <c r="A452" s="191" t="s">
        <v>7795</v>
      </c>
      <c r="B452" s="192" t="s">
        <v>271</v>
      </c>
      <c r="C452" s="192" t="s">
        <v>8999</v>
      </c>
      <c r="D452" s="192" t="s">
        <v>8876</v>
      </c>
      <c r="E452" s="193">
        <v>251</v>
      </c>
      <c r="F452" s="193">
        <v>7</v>
      </c>
      <c r="K452" s="176">
        <v>7</v>
      </c>
      <c r="M452" s="197">
        <v>6.05</v>
      </c>
      <c r="N452" s="198">
        <v>41822</v>
      </c>
      <c r="S452" s="176">
        <f>(AE452*BS452)/100</f>
        <v>19.40662053995387</v>
      </c>
      <c r="T452" s="198"/>
      <c r="U452" s="176">
        <v>16.2</v>
      </c>
      <c r="Y452" s="200">
        <f>(AE452*BU452)/100</f>
        <v>6.0409713743047071</v>
      </c>
      <c r="Z452" s="198"/>
      <c r="AA452" s="200"/>
      <c r="AB452" s="198"/>
      <c r="AC452" s="378">
        <f t="shared" si="7"/>
        <v>34.358024691358025</v>
      </c>
      <c r="AE452" s="176">
        <f>(M452/U452)*((100-CC452)/(100-9))*100</f>
        <v>37.756071089404422</v>
      </c>
      <c r="AF452" s="198">
        <v>41822</v>
      </c>
      <c r="AG452" s="176">
        <v>5</v>
      </c>
      <c r="AH452" s="196">
        <v>41927</v>
      </c>
      <c r="AI452" s="176">
        <v>165</v>
      </c>
      <c r="AM452" s="176">
        <v>85</v>
      </c>
      <c r="BG452" s="201">
        <v>2.1</v>
      </c>
      <c r="BI452" s="201">
        <v>5</v>
      </c>
      <c r="BK452" s="201">
        <v>1.6</v>
      </c>
      <c r="BM452" s="201">
        <v>63.4</v>
      </c>
      <c r="BO452" s="201">
        <v>21.2</v>
      </c>
      <c r="BQ452" s="201">
        <v>7.9</v>
      </c>
      <c r="BS452" s="201">
        <v>51.4</v>
      </c>
      <c r="BU452" s="201">
        <v>16</v>
      </c>
      <c r="BW452" s="201">
        <v>3.5</v>
      </c>
      <c r="BY452" s="178">
        <v>6.9000000000000057</v>
      </c>
      <c r="CC452" s="201">
        <v>8</v>
      </c>
      <c r="CD452" s="198">
        <v>41822</v>
      </c>
      <c r="CI452" s="174" t="s">
        <v>9353</v>
      </c>
      <c r="CL452" s="174">
        <v>1</v>
      </c>
    </row>
    <row r="453" spans="1:91">
      <c r="A453" s="191" t="s">
        <v>7706</v>
      </c>
      <c r="B453" s="192" t="s">
        <v>271</v>
      </c>
      <c r="C453" s="192" t="s">
        <v>8999</v>
      </c>
      <c r="D453" s="192" t="s">
        <v>8520</v>
      </c>
      <c r="E453" s="193">
        <v>251</v>
      </c>
      <c r="F453" s="193">
        <v>8</v>
      </c>
      <c r="K453" s="176">
        <v>6</v>
      </c>
      <c r="M453" s="197">
        <v>5.4</v>
      </c>
      <c r="N453" s="198">
        <v>41822</v>
      </c>
      <c r="S453" s="176">
        <f>(AE453*BS453)/100</f>
        <v>16.670329670329672</v>
      </c>
      <c r="T453" s="198"/>
      <c r="U453" s="176">
        <v>16.2</v>
      </c>
      <c r="Y453" s="200">
        <f>(AE453*BU453)/100</f>
        <v>6.1666666666666661</v>
      </c>
      <c r="Z453" s="198"/>
      <c r="AA453" s="200"/>
      <c r="AB453" s="198"/>
      <c r="AC453" s="378">
        <f t="shared" si="7"/>
        <v>30.833333333333336</v>
      </c>
      <c r="AE453" s="176">
        <f>(M453/U453)*((100-CC453)/(100-9))*100</f>
        <v>33.882783882783883</v>
      </c>
      <c r="AF453" s="198">
        <v>41822</v>
      </c>
      <c r="AG453" s="176">
        <v>4.5</v>
      </c>
      <c r="AH453" s="196">
        <v>41927</v>
      </c>
      <c r="AI453" s="176">
        <v>155</v>
      </c>
      <c r="AM453" s="176">
        <v>86</v>
      </c>
      <c r="BG453" s="201">
        <v>0</v>
      </c>
      <c r="BI453" s="201">
        <v>4.4000000000000004</v>
      </c>
      <c r="BK453" s="201">
        <v>1.6</v>
      </c>
      <c r="BM453" s="201">
        <v>63.1</v>
      </c>
      <c r="BO453" s="201">
        <v>18.399999999999999</v>
      </c>
      <c r="BQ453" s="201">
        <v>8.1</v>
      </c>
      <c r="BS453" s="201">
        <v>49.2</v>
      </c>
      <c r="BU453" s="201">
        <v>18.2</v>
      </c>
      <c r="BW453" s="201">
        <v>12.4</v>
      </c>
      <c r="BY453" s="178">
        <v>6.7000000000000028</v>
      </c>
      <c r="CC453" s="201">
        <v>7.5</v>
      </c>
      <c r="CD453" s="198">
        <v>41822</v>
      </c>
      <c r="CI453" s="174" t="s">
        <v>9364</v>
      </c>
      <c r="CL453" s="174">
        <v>3</v>
      </c>
    </row>
    <row r="454" spans="1:91">
      <c r="A454" s="202" t="s">
        <v>7746</v>
      </c>
      <c r="B454" s="203" t="s">
        <v>271</v>
      </c>
      <c r="C454" s="203" t="s">
        <v>8999</v>
      </c>
      <c r="D454" s="203" t="s">
        <v>8680</v>
      </c>
      <c r="E454" s="204">
        <v>251</v>
      </c>
      <c r="F454" s="204">
        <v>9</v>
      </c>
      <c r="G454" s="204"/>
      <c r="H454" s="204"/>
      <c r="I454" s="206"/>
      <c r="J454" s="206"/>
      <c r="K454" s="177">
        <v>7</v>
      </c>
      <c r="L454" s="207"/>
      <c r="M454" s="208">
        <v>3.1</v>
      </c>
      <c r="N454" s="209">
        <v>41822</v>
      </c>
      <c r="O454" s="183"/>
      <c r="P454" s="210"/>
      <c r="Q454" s="183"/>
      <c r="R454" s="210"/>
      <c r="S454" s="177">
        <f>(AE454*BS454)/100</f>
        <v>9.1127635327635357</v>
      </c>
      <c r="T454" s="209"/>
      <c r="U454" s="177">
        <v>16.2</v>
      </c>
      <c r="V454" s="210"/>
      <c r="W454" s="183"/>
      <c r="X454" s="210"/>
      <c r="Y454" s="213">
        <f>(AE454*BU454)/100</f>
        <v>4.1386324786324806</v>
      </c>
      <c r="Z454" s="209"/>
      <c r="AA454" s="213"/>
      <c r="AB454" s="209"/>
      <c r="AC454" s="378">
        <f t="shared" si="7"/>
        <v>17.681481481481484</v>
      </c>
      <c r="AD454" s="207"/>
      <c r="AE454" s="177">
        <f>(M454/U454)*((100-CC454)/(100-9))*100</f>
        <v>19.430199430199437</v>
      </c>
      <c r="AF454" s="209">
        <v>41822</v>
      </c>
      <c r="AG454" s="177">
        <v>5.9</v>
      </c>
      <c r="AH454" s="207">
        <v>41927</v>
      </c>
      <c r="AI454" s="177">
        <v>100</v>
      </c>
      <c r="AJ454" s="207"/>
      <c r="AK454" s="183"/>
      <c r="AL454" s="210"/>
      <c r="AM454" s="177">
        <v>84</v>
      </c>
      <c r="AN454" s="210"/>
      <c r="AO454" s="183"/>
      <c r="AP454" s="183"/>
      <c r="AQ454" s="183"/>
      <c r="AR454" s="183"/>
      <c r="AS454" s="183"/>
      <c r="AT454" s="183"/>
      <c r="AU454" s="183"/>
      <c r="AV454" s="183"/>
      <c r="AW454" s="183"/>
      <c r="AX454" s="183"/>
      <c r="AY454" s="183"/>
      <c r="AZ454" s="183"/>
      <c r="BA454" s="183"/>
      <c r="BB454" s="183"/>
      <c r="BC454" s="183"/>
      <c r="BD454" s="183"/>
      <c r="BE454" s="182"/>
      <c r="BF454" s="182"/>
      <c r="BG454" s="211">
        <v>54.5</v>
      </c>
      <c r="BH454" s="181"/>
      <c r="BI454" s="211">
        <v>4</v>
      </c>
      <c r="BJ454" s="181"/>
      <c r="BK454" s="211">
        <v>0.8</v>
      </c>
      <c r="BL454" s="181"/>
      <c r="BM454" s="211">
        <v>25.3</v>
      </c>
      <c r="BN454" s="181"/>
      <c r="BO454" s="211">
        <v>15.2</v>
      </c>
      <c r="BP454" s="181"/>
      <c r="BQ454" s="211">
        <v>10.9</v>
      </c>
      <c r="BR454" s="181"/>
      <c r="BS454" s="211">
        <v>46.9</v>
      </c>
      <c r="BT454" s="181"/>
      <c r="BU454" s="211">
        <v>21.3</v>
      </c>
      <c r="BV454" s="181"/>
      <c r="BW454" s="211">
        <v>97.1</v>
      </c>
      <c r="BX454" s="181"/>
      <c r="BY454" s="181">
        <v>6.7999999999999972</v>
      </c>
      <c r="BZ454" s="181"/>
      <c r="CA454" s="182"/>
      <c r="CB454" s="182"/>
      <c r="CC454" s="211">
        <v>7.6</v>
      </c>
      <c r="CD454" s="209">
        <v>41822</v>
      </c>
      <c r="CE454" s="181"/>
      <c r="CF454" s="181"/>
      <c r="CG454" s="182"/>
      <c r="CH454" s="182"/>
      <c r="CI454" s="175" t="s">
        <v>9349</v>
      </c>
      <c r="CJ454" s="181"/>
      <c r="CK454" s="181"/>
      <c r="CL454" s="175">
        <v>9</v>
      </c>
      <c r="CM454" s="175"/>
    </row>
    <row r="455" spans="1:91">
      <c r="A455" s="191" t="s">
        <v>7648</v>
      </c>
      <c r="B455" s="192" t="s">
        <v>271</v>
      </c>
      <c r="C455" s="192" t="s">
        <v>8999</v>
      </c>
      <c r="D455" s="192" t="s">
        <v>8288</v>
      </c>
      <c r="E455" s="193">
        <v>251</v>
      </c>
      <c r="F455" s="193">
        <v>10</v>
      </c>
      <c r="K455" s="176">
        <v>7</v>
      </c>
      <c r="M455" s="197">
        <v>4.75</v>
      </c>
      <c r="N455" s="198">
        <v>41822</v>
      </c>
      <c r="S455" s="176">
        <f>(AE455*BS455)/100</f>
        <v>13.843759327092663</v>
      </c>
      <c r="T455" s="198"/>
      <c r="U455" s="176">
        <v>16.2</v>
      </c>
      <c r="Y455" s="200">
        <f>(AE455*BU455)/100</f>
        <v>5.7929894179894177</v>
      </c>
      <c r="Z455" s="198"/>
      <c r="AA455" s="200"/>
      <c r="AB455" s="198"/>
      <c r="AC455" s="378">
        <f t="shared" si="7"/>
        <v>27.033950617283953</v>
      </c>
      <c r="AE455" s="176">
        <f>(M455/U455)*((100-CC455)/(100-9))*100</f>
        <v>29.707638040971375</v>
      </c>
      <c r="AF455" s="198">
        <v>41822</v>
      </c>
      <c r="AG455" s="176">
        <v>5.0999999999999996</v>
      </c>
      <c r="AH455" s="196">
        <v>41927</v>
      </c>
      <c r="AI455" s="176">
        <v>175</v>
      </c>
      <c r="AM455" s="176">
        <v>86</v>
      </c>
      <c r="BG455" s="201">
        <v>0</v>
      </c>
      <c r="BI455" s="201">
        <v>4.4000000000000004</v>
      </c>
      <c r="BK455" s="201">
        <v>1.5</v>
      </c>
      <c r="BM455" s="201">
        <v>64.7</v>
      </c>
      <c r="BO455" s="201">
        <v>18.8</v>
      </c>
      <c r="BQ455" s="201">
        <v>7.2</v>
      </c>
      <c r="BS455" s="201">
        <v>46.6</v>
      </c>
      <c r="BU455" s="201">
        <v>19.5</v>
      </c>
      <c r="BW455" s="201">
        <v>68.900000000000006</v>
      </c>
      <c r="BY455" s="178">
        <v>6.9000000000000057</v>
      </c>
      <c r="CC455" s="201">
        <v>7.8</v>
      </c>
      <c r="CD455" s="198">
        <v>41822</v>
      </c>
      <c r="CI455" s="174" t="s">
        <v>9362</v>
      </c>
      <c r="CL455" s="174">
        <v>4</v>
      </c>
    </row>
    <row r="456" spans="1:91">
      <c r="A456" s="191" t="s">
        <v>7634</v>
      </c>
      <c r="B456" s="192" t="s">
        <v>271</v>
      </c>
      <c r="C456" s="192" t="s">
        <v>8999</v>
      </c>
      <c r="D456" s="192" t="s">
        <v>8232</v>
      </c>
      <c r="E456" s="193">
        <v>251</v>
      </c>
      <c r="F456" s="193">
        <v>11</v>
      </c>
      <c r="K456" s="176">
        <v>7</v>
      </c>
      <c r="M456" s="197">
        <v>3.5</v>
      </c>
      <c r="N456" s="198">
        <v>41822</v>
      </c>
      <c r="S456" s="176">
        <f>(AE456*BS456)/100</f>
        <v>10.639601139601144</v>
      </c>
      <c r="T456" s="198"/>
      <c r="U456" s="176">
        <v>16.2</v>
      </c>
      <c r="Y456" s="200">
        <f>(AE456*BU456)/100</f>
        <v>4.255840455840457</v>
      </c>
      <c r="Z456" s="198"/>
      <c r="AA456" s="200"/>
      <c r="AB456" s="198"/>
      <c r="AC456" s="378">
        <f t="shared" si="7"/>
        <v>19.962962962962965</v>
      </c>
      <c r="AE456" s="176">
        <f>(M456/U456)*((100-CC456)/(100-9))*100</f>
        <v>21.937321937321943</v>
      </c>
      <c r="AF456" s="198">
        <v>41822</v>
      </c>
      <c r="AG456" s="176">
        <v>4.9000000000000004</v>
      </c>
      <c r="AH456" s="196">
        <v>41927</v>
      </c>
      <c r="AI456" s="176">
        <v>120</v>
      </c>
      <c r="AM456" s="176">
        <v>75</v>
      </c>
      <c r="BG456" s="201">
        <v>41.5</v>
      </c>
      <c r="BI456" s="201">
        <v>4.2</v>
      </c>
      <c r="BK456" s="201">
        <v>1</v>
      </c>
      <c r="BM456" s="201">
        <v>34.5</v>
      </c>
      <c r="BO456" s="201">
        <v>16</v>
      </c>
      <c r="BQ456" s="201">
        <v>9.9</v>
      </c>
      <c r="BS456" s="201">
        <v>48.5</v>
      </c>
      <c r="BU456" s="201">
        <v>19.399999999999999</v>
      </c>
      <c r="BW456" s="201">
        <v>59.8</v>
      </c>
      <c r="BY456" s="178">
        <v>6.9000000000000057</v>
      </c>
      <c r="CC456" s="201">
        <v>7.6</v>
      </c>
      <c r="CD456" s="198">
        <v>41822</v>
      </c>
      <c r="CI456" s="174" t="s">
        <v>9349</v>
      </c>
      <c r="CL456" s="174">
        <v>7</v>
      </c>
    </row>
    <row r="457" spans="1:91">
      <c r="A457" s="191" t="s">
        <v>7707</v>
      </c>
      <c r="B457" s="192" t="s">
        <v>271</v>
      </c>
      <c r="C457" s="192" t="s">
        <v>8999</v>
      </c>
      <c r="D457" s="192" t="s">
        <v>8524</v>
      </c>
      <c r="E457" s="193">
        <v>251</v>
      </c>
      <c r="F457" s="193">
        <v>12</v>
      </c>
      <c r="K457" s="176">
        <v>7</v>
      </c>
      <c r="M457" s="197">
        <v>4.3</v>
      </c>
      <c r="N457" s="198">
        <v>41822</v>
      </c>
      <c r="S457" s="176">
        <f>(AE457*BS457)/100</f>
        <v>13.003518518518517</v>
      </c>
      <c r="T457" s="198"/>
      <c r="U457" s="176">
        <v>16.2</v>
      </c>
      <c r="Y457" s="200">
        <f>(AE457*BU457)/100</f>
        <v>4.8998765432098761</v>
      </c>
      <c r="Z457" s="198"/>
      <c r="AA457" s="200"/>
      <c r="AB457" s="198"/>
      <c r="AC457" s="378">
        <f t="shared" si="7"/>
        <v>24.499382716049382</v>
      </c>
      <c r="AE457" s="176">
        <f>(M457/U457)*((100-CC457)/(100-9))*100</f>
        <v>26.922398589065256</v>
      </c>
      <c r="AF457" s="198">
        <v>41822</v>
      </c>
      <c r="AG457" s="176">
        <v>4.4000000000000004</v>
      </c>
      <c r="AH457" s="196">
        <v>41927</v>
      </c>
      <c r="AI457" s="176">
        <v>155</v>
      </c>
      <c r="AM457" s="176">
        <v>87</v>
      </c>
      <c r="BG457" s="201">
        <v>0</v>
      </c>
      <c r="BI457" s="201">
        <v>4.4000000000000004</v>
      </c>
      <c r="BK457" s="201">
        <v>1.6</v>
      </c>
      <c r="BM457" s="201">
        <v>63.1</v>
      </c>
      <c r="BO457" s="201">
        <v>20.2</v>
      </c>
      <c r="BQ457" s="201">
        <v>8.6</v>
      </c>
      <c r="BS457" s="201">
        <v>48.3</v>
      </c>
      <c r="BU457" s="201">
        <v>18.2</v>
      </c>
      <c r="BW457" s="201">
        <v>11.7</v>
      </c>
      <c r="BY457" s="178">
        <v>6.7000000000000028</v>
      </c>
      <c r="CC457" s="201">
        <v>7.7</v>
      </c>
      <c r="CD457" s="198">
        <v>41822</v>
      </c>
      <c r="CI457" s="174" t="s">
        <v>9382</v>
      </c>
      <c r="CL457" s="174">
        <v>2</v>
      </c>
    </row>
    <row r="458" spans="1:91">
      <c r="A458" s="191" t="s">
        <v>7677</v>
      </c>
      <c r="B458" s="192" t="s">
        <v>269</v>
      </c>
      <c r="C458" s="192" t="s">
        <v>8997</v>
      </c>
      <c r="D458" s="192" t="s">
        <v>8402</v>
      </c>
      <c r="E458" s="193">
        <v>252</v>
      </c>
      <c r="F458" s="193">
        <v>1</v>
      </c>
      <c r="K458" s="176">
        <v>8</v>
      </c>
      <c r="M458" s="197">
        <v>4.2</v>
      </c>
      <c r="N458" s="198">
        <v>41822</v>
      </c>
      <c r="S458" s="176">
        <f>(AE458*BS458)/100</f>
        <v>13.294017094017097</v>
      </c>
      <c r="T458" s="198"/>
      <c r="U458" s="176">
        <v>16.2</v>
      </c>
      <c r="Y458" s="200">
        <f>(AE458*BU458)/100</f>
        <v>4.527863247863249</v>
      </c>
      <c r="Z458" s="198"/>
      <c r="AA458" s="200"/>
      <c r="AB458" s="198"/>
      <c r="AC458" s="378">
        <f t="shared" si="7"/>
        <v>23.955555555555559</v>
      </c>
      <c r="AE458" s="176">
        <f>(M458/U458)*((100-CC458)/(100-9))*100</f>
        <v>26.324786324786331</v>
      </c>
      <c r="AF458" s="198">
        <v>41822</v>
      </c>
      <c r="AG458" s="176">
        <v>5.2</v>
      </c>
      <c r="AH458" s="196">
        <v>41927</v>
      </c>
      <c r="AI458" s="176">
        <v>155</v>
      </c>
      <c r="AM458" s="176">
        <v>79</v>
      </c>
      <c r="BG458" s="201">
        <v>1.9</v>
      </c>
      <c r="BI458" s="201">
        <v>4.8</v>
      </c>
      <c r="BK458" s="201">
        <v>1.5</v>
      </c>
      <c r="BM458" s="201">
        <v>62.6</v>
      </c>
      <c r="BO458" s="201">
        <v>21</v>
      </c>
      <c r="BQ458" s="201">
        <v>8.9</v>
      </c>
      <c r="BS458" s="201">
        <v>50.5</v>
      </c>
      <c r="BU458" s="201">
        <v>17.2</v>
      </c>
      <c r="BW458" s="201">
        <v>14.6</v>
      </c>
      <c r="BY458" s="178">
        <v>7.2000000000000028</v>
      </c>
      <c r="CC458" s="201">
        <v>7.6</v>
      </c>
      <c r="CD458" s="198">
        <v>41822</v>
      </c>
      <c r="CI458" s="174" t="s">
        <v>9345</v>
      </c>
      <c r="CL458" s="174">
        <v>3</v>
      </c>
    </row>
    <row r="459" spans="1:91">
      <c r="A459" s="191" t="s">
        <v>7723</v>
      </c>
      <c r="B459" s="192" t="s">
        <v>269</v>
      </c>
      <c r="C459" s="192" t="s">
        <v>8997</v>
      </c>
      <c r="D459" s="192" t="s">
        <v>8586</v>
      </c>
      <c r="E459" s="193">
        <v>252</v>
      </c>
      <c r="F459" s="193">
        <v>2</v>
      </c>
      <c r="K459" s="176">
        <v>7</v>
      </c>
      <c r="M459" s="197">
        <v>3.55</v>
      </c>
      <c r="N459" s="198">
        <v>41822</v>
      </c>
      <c r="S459" s="176">
        <f>(AE459*BS459)/100</f>
        <v>11.202222222222222</v>
      </c>
      <c r="T459" s="198"/>
      <c r="U459" s="176">
        <v>16.2</v>
      </c>
      <c r="Y459" s="200">
        <f>(AE459*BU459)/100</f>
        <v>3.9341137566137565</v>
      </c>
      <c r="Z459" s="198"/>
      <c r="AA459" s="200"/>
      <c r="AB459" s="198"/>
      <c r="AC459" s="378">
        <f t="shared" si="7"/>
        <v>20.226234567901233</v>
      </c>
      <c r="AE459" s="176">
        <f>(M459/U459)*((100-CC459)/(100-9))*100</f>
        <v>22.22663139329806</v>
      </c>
      <c r="AF459" s="198">
        <v>41822</v>
      </c>
      <c r="AG459" s="176">
        <v>5.2</v>
      </c>
      <c r="AH459" s="196">
        <v>41927</v>
      </c>
      <c r="AI459" s="176">
        <v>125</v>
      </c>
      <c r="AM459" s="176">
        <v>78</v>
      </c>
      <c r="BG459" s="201">
        <v>4.8</v>
      </c>
      <c r="BI459" s="201">
        <v>4.2</v>
      </c>
      <c r="BK459" s="201">
        <v>1.5</v>
      </c>
      <c r="BM459" s="201">
        <v>63.4</v>
      </c>
      <c r="BO459" s="201">
        <v>18.899999999999999</v>
      </c>
      <c r="BQ459" s="201">
        <v>9.1</v>
      </c>
      <c r="BS459" s="201">
        <v>50.4</v>
      </c>
      <c r="BU459" s="201">
        <v>17.7</v>
      </c>
      <c r="BW459" s="201">
        <v>13.7</v>
      </c>
      <c r="BY459" s="178">
        <v>7.0999999999999943</v>
      </c>
      <c r="CC459" s="201">
        <v>7.7</v>
      </c>
      <c r="CD459" s="198">
        <v>41822</v>
      </c>
      <c r="CI459" s="174" t="s">
        <v>9347</v>
      </c>
      <c r="CL459" s="174">
        <v>3</v>
      </c>
    </row>
    <row r="460" spans="1:91">
      <c r="A460" s="191" t="s">
        <v>7623</v>
      </c>
      <c r="B460" s="192" t="s">
        <v>269</v>
      </c>
      <c r="C460" s="192" t="s">
        <v>8997</v>
      </c>
      <c r="D460" s="192" t="s">
        <v>8186</v>
      </c>
      <c r="E460" s="193">
        <v>252</v>
      </c>
      <c r="F460" s="193">
        <v>3</v>
      </c>
      <c r="I460" s="184"/>
      <c r="K460" s="176">
        <v>8</v>
      </c>
      <c r="M460" s="197">
        <v>1.1000000000000001</v>
      </c>
      <c r="N460" s="198">
        <v>41822</v>
      </c>
      <c r="O460" s="179"/>
      <c r="S460" s="176">
        <f>(AE460*BS460)/100</f>
        <v>3.3417853751187092</v>
      </c>
      <c r="T460" s="198"/>
      <c r="U460" s="176">
        <v>16.2</v>
      </c>
      <c r="Y460" s="200">
        <f>(AE460*BU460)/100</f>
        <v>1.2889743589743592</v>
      </c>
      <c r="Z460" s="198"/>
      <c r="AA460" s="200"/>
      <c r="AB460" s="198"/>
      <c r="AC460" s="378">
        <f t="shared" si="7"/>
        <v>6.2061728395061744</v>
      </c>
      <c r="AE460" s="176">
        <f>(M460/U460)*((100-CC460)/(100-9))*100</f>
        <v>6.8199701533034878</v>
      </c>
      <c r="AF460" s="198">
        <v>41822</v>
      </c>
      <c r="AG460" s="176">
        <v>5.0999999999999996</v>
      </c>
      <c r="AH460" s="196">
        <v>41927</v>
      </c>
      <c r="AI460" s="176">
        <v>90</v>
      </c>
      <c r="AM460" s="176">
        <v>77</v>
      </c>
      <c r="BG460" s="201">
        <v>12.8</v>
      </c>
      <c r="BI460" s="201">
        <v>4.4000000000000004</v>
      </c>
      <c r="BK460" s="201">
        <v>1.4</v>
      </c>
      <c r="BM460" s="201">
        <v>52.7</v>
      </c>
      <c r="BO460" s="201">
        <v>18.899999999999999</v>
      </c>
      <c r="BQ460" s="201">
        <v>9.6999999999999993</v>
      </c>
      <c r="BS460" s="201">
        <v>49</v>
      </c>
      <c r="BU460" s="201">
        <v>18.899999999999999</v>
      </c>
      <c r="BW460" s="201">
        <v>22.9</v>
      </c>
      <c r="BY460" s="178">
        <v>7.2999999999999972</v>
      </c>
      <c r="CC460" s="201">
        <v>8.6</v>
      </c>
      <c r="CD460" s="198">
        <v>41822</v>
      </c>
      <c r="CI460" s="174" t="s">
        <v>9351</v>
      </c>
      <c r="CL460" s="174">
        <v>7</v>
      </c>
    </row>
    <row r="461" spans="1:91">
      <c r="A461" s="191" t="s">
        <v>7730</v>
      </c>
      <c r="B461" s="192" t="s">
        <v>269</v>
      </c>
      <c r="C461" s="192" t="s">
        <v>8997</v>
      </c>
      <c r="D461" s="192" t="s">
        <v>8614</v>
      </c>
      <c r="E461" s="193">
        <v>252</v>
      </c>
      <c r="F461" s="193">
        <v>4</v>
      </c>
      <c r="K461" s="176">
        <v>7</v>
      </c>
      <c r="M461" s="197">
        <v>4.6500000000000004</v>
      </c>
      <c r="N461" s="198">
        <v>41822</v>
      </c>
      <c r="S461" s="176">
        <f>(AE461*BS461)/100</f>
        <v>14.786791819291821</v>
      </c>
      <c r="T461" s="198"/>
      <c r="U461" s="176">
        <v>16.2</v>
      </c>
      <c r="Y461" s="200">
        <f>(AE461*BU461)/100</f>
        <v>4.9967155067155069</v>
      </c>
      <c r="Z461" s="198"/>
      <c r="AA461" s="200"/>
      <c r="AB461" s="198"/>
      <c r="AC461" s="378">
        <f t="shared" si="7"/>
        <v>26.436111111111114</v>
      </c>
      <c r="AE461" s="176">
        <f>(M461/U461)*((100-CC461)/(100-9))*100</f>
        <v>29.050671550671552</v>
      </c>
      <c r="AF461" s="198">
        <v>41822</v>
      </c>
      <c r="AG461" s="176">
        <v>4.5999999999999996</v>
      </c>
      <c r="AH461" s="196">
        <v>41927</v>
      </c>
      <c r="AI461" s="176">
        <v>130</v>
      </c>
      <c r="AM461" s="176">
        <v>78</v>
      </c>
      <c r="BG461" s="201">
        <v>0</v>
      </c>
      <c r="BI461" s="201">
        <v>4.7</v>
      </c>
      <c r="BK461" s="201">
        <v>1.6</v>
      </c>
      <c r="BM461" s="201">
        <v>61.6</v>
      </c>
      <c r="BO461" s="201">
        <v>19.7</v>
      </c>
      <c r="BQ461" s="201">
        <v>9.4</v>
      </c>
      <c r="BS461" s="201">
        <v>50.9</v>
      </c>
      <c r="BU461" s="201">
        <v>17.2</v>
      </c>
      <c r="BW461" s="201">
        <v>16.3</v>
      </c>
      <c r="BY461" s="178">
        <v>7</v>
      </c>
      <c r="CC461" s="201">
        <v>7.9</v>
      </c>
      <c r="CD461" s="198">
        <v>41822</v>
      </c>
      <c r="CI461" s="174" t="s">
        <v>9358</v>
      </c>
      <c r="CL461" s="174">
        <v>1</v>
      </c>
    </row>
    <row r="462" spans="1:91">
      <c r="A462" s="191" t="s">
        <v>7738</v>
      </c>
      <c r="B462" s="192" t="s">
        <v>269</v>
      </c>
      <c r="C462" s="192" t="s">
        <v>8997</v>
      </c>
      <c r="D462" s="192" t="s">
        <v>8646</v>
      </c>
      <c r="E462" s="193">
        <v>252</v>
      </c>
      <c r="F462" s="193">
        <v>5</v>
      </c>
      <c r="K462" s="176">
        <v>9</v>
      </c>
      <c r="M462" s="197">
        <v>3.95</v>
      </c>
      <c r="N462" s="198">
        <v>41822</v>
      </c>
      <c r="S462" s="176">
        <f>(AE462*BS462)/100</f>
        <v>12.888007054673722</v>
      </c>
      <c r="T462" s="198"/>
      <c r="U462" s="176">
        <v>16.2</v>
      </c>
      <c r="Y462" s="200">
        <f>(AE462*BU462)/100</f>
        <v>3.9903252611585951</v>
      </c>
      <c r="Z462" s="198"/>
      <c r="AA462" s="200"/>
      <c r="AB462" s="198"/>
      <c r="AC462" s="378">
        <f t="shared" si="7"/>
        <v>22.554012345679016</v>
      </c>
      <c r="AE462" s="176">
        <f>(M462/U462)*((100-CC462)/(100-9))*100</f>
        <v>24.78462895129562</v>
      </c>
      <c r="AF462" s="198">
        <v>41822</v>
      </c>
      <c r="AG462" s="176">
        <v>4.7</v>
      </c>
      <c r="AH462" s="196">
        <v>41927</v>
      </c>
      <c r="AI462" s="176">
        <v>140</v>
      </c>
      <c r="AM462" s="176">
        <v>84</v>
      </c>
      <c r="BG462" s="201">
        <v>0</v>
      </c>
      <c r="BI462" s="201">
        <v>5.2</v>
      </c>
      <c r="BK462" s="201">
        <v>1.5</v>
      </c>
      <c r="BM462" s="201">
        <v>60</v>
      </c>
      <c r="BO462" s="201">
        <v>23.3</v>
      </c>
      <c r="BQ462" s="201">
        <v>9.4</v>
      </c>
      <c r="BS462" s="201">
        <v>52</v>
      </c>
      <c r="BU462" s="201">
        <v>16.100000000000001</v>
      </c>
      <c r="BW462" s="201">
        <v>10.199999999999999</v>
      </c>
      <c r="BY462" s="178">
        <v>6.5</v>
      </c>
      <c r="CC462" s="201">
        <v>7.5</v>
      </c>
      <c r="CD462" s="198">
        <v>41822</v>
      </c>
      <c r="CI462" s="174" t="s">
        <v>9353</v>
      </c>
      <c r="CL462" s="174">
        <v>1</v>
      </c>
    </row>
    <row r="463" spans="1:91">
      <c r="A463" s="191" t="s">
        <v>7614</v>
      </c>
      <c r="B463" s="192" t="s">
        <v>269</v>
      </c>
      <c r="C463" s="192" t="s">
        <v>8997</v>
      </c>
      <c r="D463" s="192" t="s">
        <v>8150</v>
      </c>
      <c r="E463" s="193">
        <v>252</v>
      </c>
      <c r="F463" s="193">
        <v>6</v>
      </c>
      <c r="I463" s="184"/>
      <c r="K463" s="176">
        <v>7</v>
      </c>
      <c r="M463" s="197">
        <v>3.25</v>
      </c>
      <c r="N463" s="198">
        <v>41822</v>
      </c>
      <c r="O463" s="179"/>
      <c r="S463" s="176">
        <f>(AE463*BS463)/100</f>
        <v>10.431790123456789</v>
      </c>
      <c r="T463" s="198"/>
      <c r="U463" s="176">
        <v>16.2</v>
      </c>
      <c r="Y463" s="200">
        <f>(AE463*BU463)/100</f>
        <v>3.4704585537918873</v>
      </c>
      <c r="Z463" s="198"/>
      <c r="AA463" s="200"/>
      <c r="AB463" s="198"/>
      <c r="AC463" s="378">
        <f t="shared" si="7"/>
        <v>18.577160493827158</v>
      </c>
      <c r="AE463" s="176">
        <f>(M463/U463)*((100-CC463)/(100-9))*100</f>
        <v>20.414462081128747</v>
      </c>
      <c r="AF463" s="198">
        <v>41822</v>
      </c>
      <c r="AG463" s="176">
        <v>5.2</v>
      </c>
      <c r="AH463" s="196">
        <v>41927</v>
      </c>
      <c r="AI463" s="176">
        <v>125</v>
      </c>
      <c r="AM463" s="176">
        <v>87</v>
      </c>
      <c r="BG463" s="201">
        <v>51.9</v>
      </c>
      <c r="BI463" s="201">
        <v>4.4000000000000004</v>
      </c>
      <c r="BK463" s="201">
        <v>0.9</v>
      </c>
      <c r="BM463" s="201">
        <v>27.8</v>
      </c>
      <c r="BO463" s="201">
        <v>16.3</v>
      </c>
      <c r="BQ463" s="201">
        <v>9.4</v>
      </c>
      <c r="BS463" s="201">
        <v>51.1</v>
      </c>
      <c r="BU463" s="201">
        <v>17</v>
      </c>
      <c r="BW463" s="201">
        <v>74.2</v>
      </c>
      <c r="BY463" s="178">
        <v>6.4000000000000057</v>
      </c>
      <c r="CC463" s="201">
        <v>7.4</v>
      </c>
      <c r="CD463" s="198">
        <v>41822</v>
      </c>
      <c r="CI463" s="174" t="s">
        <v>9359</v>
      </c>
      <c r="CL463" s="174">
        <v>1</v>
      </c>
    </row>
    <row r="464" spans="1:91">
      <c r="A464" s="191" t="s">
        <v>7695</v>
      </c>
      <c r="B464" s="192" t="s">
        <v>271</v>
      </c>
      <c r="C464" s="192" t="s">
        <v>8999</v>
      </c>
      <c r="D464" s="192" t="s">
        <v>8476</v>
      </c>
      <c r="E464" s="193">
        <v>252</v>
      </c>
      <c r="F464" s="193">
        <v>7</v>
      </c>
      <c r="K464" s="176">
        <v>7</v>
      </c>
      <c r="M464" s="197">
        <v>4.9000000000000004</v>
      </c>
      <c r="N464" s="198">
        <v>41822</v>
      </c>
      <c r="S464" s="176">
        <f>(AE464*BS464)/100</f>
        <v>15.38417853751187</v>
      </c>
      <c r="T464" s="198"/>
      <c r="U464" s="176">
        <v>16.2</v>
      </c>
      <c r="Y464" s="200">
        <f>(AE464*BU464)/100</f>
        <v>5.0871984805318142</v>
      </c>
      <c r="Z464" s="198"/>
      <c r="AA464" s="200"/>
      <c r="AB464" s="198"/>
      <c r="AC464" s="378">
        <f t="shared" si="7"/>
        <v>27.887654320987657</v>
      </c>
      <c r="AE464" s="176">
        <f>(M464/U464)*((100-CC464)/(100-9))*100</f>
        <v>30.645773979107311</v>
      </c>
      <c r="AF464" s="198">
        <v>41822</v>
      </c>
      <c r="AG464" s="176">
        <v>4.7</v>
      </c>
      <c r="AH464" s="196">
        <v>41927</v>
      </c>
      <c r="AI464" s="176">
        <v>135</v>
      </c>
      <c r="AM464" s="176">
        <v>88</v>
      </c>
      <c r="BG464" s="201">
        <v>0</v>
      </c>
      <c r="BI464" s="201">
        <v>4.8</v>
      </c>
      <c r="BK464" s="201">
        <v>1.7</v>
      </c>
      <c r="BM464" s="201">
        <v>63.3</v>
      </c>
      <c r="BO464" s="201">
        <v>19.899999999999999</v>
      </c>
      <c r="BQ464" s="201">
        <v>8.1999999999999993</v>
      </c>
      <c r="BS464" s="201">
        <v>50.2</v>
      </c>
      <c r="BU464" s="201">
        <v>16.600000000000001</v>
      </c>
      <c r="BW464" s="201">
        <v>15.2</v>
      </c>
      <c r="BY464" s="178">
        <v>6.5</v>
      </c>
      <c r="CC464" s="201">
        <v>7.8</v>
      </c>
      <c r="CD464" s="198">
        <v>41822</v>
      </c>
      <c r="CI464" s="174" t="s">
        <v>9346</v>
      </c>
      <c r="CL464" s="174" t="s">
        <v>9001</v>
      </c>
    </row>
    <row r="465" spans="1:91">
      <c r="A465" s="191" t="s">
        <v>7767</v>
      </c>
      <c r="B465" s="192" t="s">
        <v>271</v>
      </c>
      <c r="C465" s="192" t="s">
        <v>8999</v>
      </c>
      <c r="D465" s="192" t="s">
        <v>8764</v>
      </c>
      <c r="E465" s="193">
        <v>252</v>
      </c>
      <c r="F465" s="193">
        <v>8</v>
      </c>
      <c r="K465" s="176">
        <v>8</v>
      </c>
      <c r="M465" s="197">
        <v>6.6</v>
      </c>
      <c r="N465" s="198">
        <v>41822</v>
      </c>
      <c r="S465" s="176">
        <f>(AE465*BS465)/100</f>
        <v>21.124432234432231</v>
      </c>
      <c r="T465" s="198"/>
      <c r="U465" s="176">
        <v>16.2</v>
      </c>
      <c r="Y465" s="200">
        <f>(AE465*BU465)/100</f>
        <v>7.0968131868131863</v>
      </c>
      <c r="Z465" s="198"/>
      <c r="AA465" s="200"/>
      <c r="AB465" s="198"/>
      <c r="AC465" s="378">
        <f t="shared" si="7"/>
        <v>37.766666666666666</v>
      </c>
      <c r="AE465" s="176">
        <f>(M465/U465)*((100-CC465)/(100-9))*100</f>
        <v>41.501831501831496</v>
      </c>
      <c r="AF465" s="198">
        <v>41822</v>
      </c>
      <c r="AG465" s="176">
        <v>4.5</v>
      </c>
      <c r="AH465" s="196">
        <v>41927</v>
      </c>
      <c r="AI465" s="176">
        <v>155</v>
      </c>
      <c r="AM465" s="176">
        <v>78</v>
      </c>
      <c r="BG465" s="201">
        <v>0</v>
      </c>
      <c r="BI465" s="201">
        <v>4.5999999999999996</v>
      </c>
      <c r="BK465" s="201">
        <v>1.6</v>
      </c>
      <c r="BM465" s="201">
        <v>64.099999999999994</v>
      </c>
      <c r="BO465" s="201">
        <v>20.6</v>
      </c>
      <c r="BQ465" s="201">
        <v>7.8</v>
      </c>
      <c r="BS465" s="201">
        <v>50.9</v>
      </c>
      <c r="BU465" s="201">
        <v>17.100000000000001</v>
      </c>
      <c r="BW465" s="201">
        <v>10.4</v>
      </c>
      <c r="BY465" s="178">
        <v>6.5</v>
      </c>
      <c r="CC465" s="201">
        <v>7.3</v>
      </c>
      <c r="CD465" s="198">
        <v>41822</v>
      </c>
      <c r="CI465" s="174" t="s">
        <v>9362</v>
      </c>
      <c r="CL465" s="174">
        <v>1</v>
      </c>
    </row>
    <row r="466" spans="1:91">
      <c r="A466" s="191" t="s">
        <v>7646</v>
      </c>
      <c r="B466" s="192" t="s">
        <v>271</v>
      </c>
      <c r="C466" s="192" t="s">
        <v>8999</v>
      </c>
      <c r="D466" s="192" t="s">
        <v>8280</v>
      </c>
      <c r="E466" s="193">
        <v>252</v>
      </c>
      <c r="F466" s="193">
        <v>9</v>
      </c>
      <c r="K466" s="176">
        <v>7</v>
      </c>
      <c r="M466" s="197">
        <v>2.7</v>
      </c>
      <c r="N466" s="198">
        <v>41822</v>
      </c>
      <c r="S466" s="176">
        <f>(AE466*BS466)/100</f>
        <v>8.0439560439560438</v>
      </c>
      <c r="T466" s="198"/>
      <c r="U466" s="176">
        <v>16.2</v>
      </c>
      <c r="Y466" s="200">
        <f>(AE466*BU466)/100</f>
        <v>3.1505494505494509</v>
      </c>
      <c r="Z466" s="198"/>
      <c r="AA466" s="200"/>
      <c r="AB466" s="198"/>
      <c r="AC466" s="378">
        <f t="shared" si="7"/>
        <v>15.250000000000002</v>
      </c>
      <c r="AE466" s="176">
        <f>(M466/U466)*((100-CC466)/(100-9))*100</f>
        <v>16.758241758241759</v>
      </c>
      <c r="AF466" s="198">
        <v>41822</v>
      </c>
      <c r="AG466" s="176">
        <v>4.4000000000000004</v>
      </c>
      <c r="AH466" s="196">
        <v>41927</v>
      </c>
      <c r="AI466" s="176">
        <v>100</v>
      </c>
      <c r="AM466" s="176">
        <v>82</v>
      </c>
      <c r="BG466" s="201">
        <v>8.1999999999999993</v>
      </c>
      <c r="BI466" s="201">
        <v>4.5</v>
      </c>
      <c r="BK466" s="201">
        <v>1.4</v>
      </c>
      <c r="BM466" s="201">
        <v>63.9</v>
      </c>
      <c r="BO466" s="201">
        <v>17.899999999999999</v>
      </c>
      <c r="BQ466" s="201">
        <v>9.5</v>
      </c>
      <c r="BS466" s="201">
        <v>48</v>
      </c>
      <c r="BU466" s="201">
        <v>18.8</v>
      </c>
      <c r="BW466" s="201">
        <v>57.5</v>
      </c>
      <c r="BY466" s="178">
        <v>7.0999999999999943</v>
      </c>
      <c r="CC466" s="201">
        <v>8.5</v>
      </c>
      <c r="CD466" s="198">
        <v>41822</v>
      </c>
      <c r="CI466" s="174" t="s">
        <v>9351</v>
      </c>
      <c r="CL466" s="174">
        <v>8</v>
      </c>
    </row>
    <row r="467" spans="1:91">
      <c r="A467" s="191" t="s">
        <v>7769</v>
      </c>
      <c r="B467" s="192" t="s">
        <v>271</v>
      </c>
      <c r="C467" s="192" t="s">
        <v>8999</v>
      </c>
      <c r="D467" s="192" t="s">
        <v>8772</v>
      </c>
      <c r="E467" s="193">
        <v>252</v>
      </c>
      <c r="F467" s="193">
        <v>10</v>
      </c>
      <c r="K467" s="176">
        <v>8</v>
      </c>
      <c r="M467" s="197">
        <v>6.35</v>
      </c>
      <c r="N467" s="198">
        <v>41822</v>
      </c>
      <c r="S467" s="176">
        <f>(AE467*BS467)/100</f>
        <v>20.081196581196579</v>
      </c>
      <c r="T467" s="198"/>
      <c r="U467" s="176">
        <v>16.2</v>
      </c>
      <c r="Y467" s="200">
        <f>(AE467*BU467)/100</f>
        <v>7.0523249898249887</v>
      </c>
      <c r="Z467" s="198"/>
      <c r="AA467" s="200"/>
      <c r="AB467" s="198"/>
      <c r="AC467" s="378">
        <f t="shared" si="7"/>
        <v>36.257716049382715</v>
      </c>
      <c r="AE467" s="176">
        <f>(M467/U467)*((100-CC467)/(100-9))*100</f>
        <v>39.843644010310676</v>
      </c>
      <c r="AF467" s="198">
        <v>41822</v>
      </c>
      <c r="AG467" s="176">
        <v>4.9000000000000004</v>
      </c>
      <c r="AH467" s="196">
        <v>41927</v>
      </c>
      <c r="AI467" s="176">
        <v>145</v>
      </c>
      <c r="AM467" s="176">
        <v>84</v>
      </c>
      <c r="BG467" s="201">
        <v>0</v>
      </c>
      <c r="BI467" s="201">
        <v>4.4000000000000004</v>
      </c>
      <c r="BK467" s="201">
        <v>1.6</v>
      </c>
      <c r="BM467" s="201">
        <v>67.099999999999994</v>
      </c>
      <c r="BO467" s="201">
        <v>18.8</v>
      </c>
      <c r="BQ467" s="201">
        <v>7.8</v>
      </c>
      <c r="BS467" s="201">
        <v>50.4</v>
      </c>
      <c r="BU467" s="201">
        <v>17.7</v>
      </c>
      <c r="BW467" s="201">
        <v>18.2</v>
      </c>
      <c r="BY467" s="178">
        <v>6.4000000000000057</v>
      </c>
      <c r="CC467" s="201">
        <v>7.5</v>
      </c>
      <c r="CD467" s="198">
        <v>41822</v>
      </c>
      <c r="CI467" s="174" t="s">
        <v>9347</v>
      </c>
      <c r="CL467" s="174">
        <v>1</v>
      </c>
    </row>
    <row r="468" spans="1:91">
      <c r="A468" s="191" t="s">
        <v>7656</v>
      </c>
      <c r="B468" s="192" t="s">
        <v>271</v>
      </c>
      <c r="C468" s="192" t="s">
        <v>8999</v>
      </c>
      <c r="D468" s="192" t="s">
        <v>8320</v>
      </c>
      <c r="E468" s="193">
        <v>252</v>
      </c>
      <c r="F468" s="193">
        <v>11</v>
      </c>
      <c r="K468" s="176">
        <v>9</v>
      </c>
      <c r="M468" s="197">
        <v>4.75</v>
      </c>
      <c r="N468" s="198">
        <v>41822</v>
      </c>
      <c r="S468" s="176">
        <f>(AE468*BS468)/100</f>
        <v>15.31232193732194</v>
      </c>
      <c r="T468" s="198"/>
      <c r="U468" s="176">
        <v>16.2</v>
      </c>
      <c r="Y468" s="200">
        <f>(AE468*BU468)/100</f>
        <v>5.4237382987383</v>
      </c>
      <c r="Z468" s="198"/>
      <c r="AA468" s="200"/>
      <c r="AB468" s="198"/>
      <c r="AC468" s="378">
        <f t="shared" si="7"/>
        <v>27.268518518518523</v>
      </c>
      <c r="AE468" s="176">
        <f>(M468/U468)*((100-CC468)/(100-9))*100</f>
        <v>29.965404965404968</v>
      </c>
      <c r="AF468" s="198">
        <v>41822</v>
      </c>
      <c r="AG468" s="176">
        <v>4.0999999999999996</v>
      </c>
      <c r="AH468" s="196">
        <v>41927</v>
      </c>
      <c r="AI468" s="176">
        <v>135</v>
      </c>
      <c r="AM468" s="176">
        <v>78</v>
      </c>
      <c r="BG468" s="201">
        <v>1.7</v>
      </c>
      <c r="BI468" s="201">
        <v>4.7</v>
      </c>
      <c r="BK468" s="201">
        <v>1.4</v>
      </c>
      <c r="BM468" s="201">
        <v>62.7</v>
      </c>
      <c r="BO468" s="201">
        <v>19.5</v>
      </c>
      <c r="BQ468" s="201">
        <v>10.9</v>
      </c>
      <c r="BS468" s="201">
        <v>51.1</v>
      </c>
      <c r="BU468" s="201">
        <v>18.100000000000001</v>
      </c>
      <c r="BW468" s="201">
        <v>57</v>
      </c>
      <c r="BY468" s="178">
        <v>6.2000000000000028</v>
      </c>
      <c r="CC468" s="201">
        <v>7</v>
      </c>
      <c r="CD468" s="198">
        <v>41822</v>
      </c>
      <c r="CI468" s="174" t="s">
        <v>9358</v>
      </c>
      <c r="CL468" s="174">
        <v>5</v>
      </c>
    </row>
    <row r="469" spans="1:91">
      <c r="A469" s="191" t="s">
        <v>7722</v>
      </c>
      <c r="B469" s="192" t="s">
        <v>271</v>
      </c>
      <c r="C469" s="192" t="s">
        <v>8999</v>
      </c>
      <c r="D469" s="192" t="s">
        <v>8584</v>
      </c>
      <c r="E469" s="193">
        <v>252</v>
      </c>
      <c r="F469" s="193">
        <v>12</v>
      </c>
      <c r="K469" s="176">
        <v>7</v>
      </c>
      <c r="M469" s="197">
        <v>5.3</v>
      </c>
      <c r="N469" s="198">
        <v>41822</v>
      </c>
      <c r="S469" s="176">
        <f>(AE469*BS469)/100</f>
        <v>17.20763532763533</v>
      </c>
      <c r="T469" s="198"/>
      <c r="U469" s="176">
        <v>16.2</v>
      </c>
      <c r="Y469" s="200">
        <f>(AE469*BU469)/100</f>
        <v>5.2486609686609702</v>
      </c>
      <c r="Z469" s="198"/>
      <c r="AA469" s="200"/>
      <c r="AB469" s="198"/>
      <c r="AC469" s="378">
        <f t="shared" si="7"/>
        <v>30.229629629629631</v>
      </c>
      <c r="AE469" s="176">
        <f>(M469/U469)*((100-CC469)/(100-9))*100</f>
        <v>33.219373219373225</v>
      </c>
      <c r="AF469" s="198">
        <v>41822</v>
      </c>
      <c r="AG469" s="176">
        <v>4</v>
      </c>
      <c r="AH469" s="196">
        <v>41927</v>
      </c>
      <c r="AI469" s="176">
        <v>145</v>
      </c>
      <c r="AM469" s="176">
        <v>78</v>
      </c>
      <c r="BG469" s="201">
        <v>0</v>
      </c>
      <c r="BI469" s="201">
        <v>4.4000000000000004</v>
      </c>
      <c r="BK469" s="201">
        <v>1.6</v>
      </c>
      <c r="BM469" s="201">
        <v>63.7</v>
      </c>
      <c r="BO469" s="201">
        <v>20.6</v>
      </c>
      <c r="BQ469" s="201">
        <v>8.4</v>
      </c>
      <c r="BS469" s="201">
        <v>51.8</v>
      </c>
      <c r="BU469" s="201">
        <v>15.8</v>
      </c>
      <c r="BW469" s="201">
        <v>11</v>
      </c>
      <c r="BY469" s="178">
        <v>6.2999999999999972</v>
      </c>
      <c r="CC469" s="201">
        <v>7.6</v>
      </c>
      <c r="CD469" s="198">
        <v>41822</v>
      </c>
      <c r="CI469" s="174" t="s">
        <v>9353</v>
      </c>
      <c r="CL469" s="174">
        <v>1</v>
      </c>
    </row>
    <row r="470" spans="1:91">
      <c r="A470" s="191" t="s">
        <v>7791</v>
      </c>
      <c r="B470" s="192" t="s">
        <v>269</v>
      </c>
      <c r="C470" s="192" t="s">
        <v>8997</v>
      </c>
      <c r="D470" s="192" t="s">
        <v>8858</v>
      </c>
      <c r="E470" s="193">
        <v>253</v>
      </c>
      <c r="F470" s="193">
        <v>1</v>
      </c>
      <c r="K470" s="176">
        <v>8</v>
      </c>
      <c r="M470" s="197">
        <v>5.8</v>
      </c>
      <c r="N470" s="198">
        <v>41822</v>
      </c>
      <c r="S470" s="176">
        <f>(AE470*BS470)/100</f>
        <v>18.005966625966622</v>
      </c>
      <c r="T470" s="198"/>
      <c r="U470" s="176">
        <v>16.2</v>
      </c>
      <c r="Y470" s="200">
        <f>(AE470*BU470)/100</f>
        <v>6.7974331840998499</v>
      </c>
      <c r="Z470" s="198"/>
      <c r="AA470" s="200"/>
      <c r="AB470" s="198"/>
      <c r="AC470" s="378">
        <f t="shared" si="7"/>
        <v>32.90246913580247</v>
      </c>
      <c r="AE470" s="176">
        <f>(M470/U470)*((100-CC470)/(100-9))*100</f>
        <v>36.156559489892821</v>
      </c>
      <c r="AF470" s="198">
        <v>41822</v>
      </c>
      <c r="AG470" s="176">
        <v>5.4</v>
      </c>
      <c r="AH470" s="196">
        <v>41927</v>
      </c>
      <c r="AI470" s="176">
        <v>145</v>
      </c>
      <c r="AM470" s="176">
        <v>79</v>
      </c>
      <c r="BG470" s="201">
        <v>0</v>
      </c>
      <c r="BI470" s="201">
        <v>4.2</v>
      </c>
      <c r="BK470" s="201">
        <v>1.6</v>
      </c>
      <c r="BM470" s="201">
        <v>62.9</v>
      </c>
      <c r="BO470" s="201">
        <v>18.2</v>
      </c>
      <c r="BQ470" s="201">
        <v>10.3</v>
      </c>
      <c r="BS470" s="201">
        <v>49.8</v>
      </c>
      <c r="BU470" s="201">
        <v>18.8</v>
      </c>
      <c r="BW470" s="201">
        <v>12.6</v>
      </c>
      <c r="BY470" s="178">
        <v>7.0999999999999943</v>
      </c>
      <c r="CC470" s="201">
        <v>8.1</v>
      </c>
      <c r="CD470" s="198">
        <v>41822</v>
      </c>
      <c r="CI470" s="174" t="s">
        <v>9335</v>
      </c>
      <c r="CL470" s="174">
        <v>1</v>
      </c>
    </row>
    <row r="471" spans="1:91">
      <c r="A471" s="202" t="s">
        <v>7620</v>
      </c>
      <c r="B471" s="203" t="s">
        <v>269</v>
      </c>
      <c r="C471" s="203" t="s">
        <v>8997</v>
      </c>
      <c r="D471" s="203" t="s">
        <v>8174</v>
      </c>
      <c r="E471" s="204">
        <v>253</v>
      </c>
      <c r="F471" s="204">
        <v>2</v>
      </c>
      <c r="G471" s="204"/>
      <c r="H471" s="204"/>
      <c r="I471" s="185"/>
      <c r="J471" s="206"/>
      <c r="K471" s="177">
        <v>9</v>
      </c>
      <c r="L471" s="207"/>
      <c r="M471" s="208">
        <v>0.2</v>
      </c>
      <c r="N471" s="209">
        <v>41822</v>
      </c>
      <c r="O471" s="182"/>
      <c r="P471" s="210"/>
      <c r="Q471" s="183"/>
      <c r="R471" s="210"/>
      <c r="S471" s="177">
        <f>(AE471*BS471)/100</f>
        <v>0.63327092660425999</v>
      </c>
      <c r="T471" s="209"/>
      <c r="U471" s="177">
        <v>16.2</v>
      </c>
      <c r="V471" s="210"/>
      <c r="W471" s="183"/>
      <c r="X471" s="210"/>
      <c r="Y471" s="213">
        <f>(AE471*BU471)/100</f>
        <v>0.23165377832044498</v>
      </c>
      <c r="Z471" s="209"/>
      <c r="AA471" s="213"/>
      <c r="AB471" s="209"/>
      <c r="AC471" s="378">
        <f t="shared" si="7"/>
        <v>1.145679012345679</v>
      </c>
      <c r="AD471" s="207"/>
      <c r="AE471" s="177">
        <f>(M471/U471)*((100-CC471)/(100-9))*100</f>
        <v>1.2589879256545924</v>
      </c>
      <c r="AF471" s="209">
        <v>41822</v>
      </c>
      <c r="AG471" s="177">
        <v>5.2</v>
      </c>
      <c r="AH471" s="207">
        <v>41927</v>
      </c>
      <c r="AI471" s="177">
        <v>40</v>
      </c>
      <c r="AJ471" s="207"/>
      <c r="AK471" s="183"/>
      <c r="AL471" s="210"/>
      <c r="AM471" s="177">
        <v>84</v>
      </c>
      <c r="AN471" s="210"/>
      <c r="AO471" s="183"/>
      <c r="AP471" s="183"/>
      <c r="AQ471" s="183"/>
      <c r="AR471" s="183"/>
      <c r="AS471" s="183"/>
      <c r="AT471" s="183"/>
      <c r="AU471" s="183"/>
      <c r="AV471" s="183"/>
      <c r="AW471" s="183"/>
      <c r="AX471" s="183"/>
      <c r="AY471" s="183"/>
      <c r="AZ471" s="183"/>
      <c r="BA471" s="183"/>
      <c r="BB471" s="183"/>
      <c r="BC471" s="183"/>
      <c r="BD471" s="183"/>
      <c r="BE471" s="182"/>
      <c r="BF471" s="182"/>
      <c r="BG471" s="211">
        <v>18.899999999999999</v>
      </c>
      <c r="BH471" s="181"/>
      <c r="BI471" s="211">
        <v>4.5</v>
      </c>
      <c r="BJ471" s="181"/>
      <c r="BK471" s="211">
        <v>1.4</v>
      </c>
      <c r="BL471" s="181"/>
      <c r="BM471" s="211">
        <v>52.3</v>
      </c>
      <c r="BN471" s="181"/>
      <c r="BO471" s="211">
        <v>18.3</v>
      </c>
      <c r="BP471" s="181"/>
      <c r="BQ471" s="211">
        <v>9.8000000000000007</v>
      </c>
      <c r="BR471" s="181"/>
      <c r="BS471" s="211">
        <v>50.3</v>
      </c>
      <c r="BT471" s="181"/>
      <c r="BU471" s="211">
        <v>18.399999999999999</v>
      </c>
      <c r="BV471" s="181"/>
      <c r="BW471" s="211">
        <v>39.299999999999997</v>
      </c>
      <c r="BX471" s="181"/>
      <c r="BY471" s="181">
        <v>6.9000000000000057</v>
      </c>
      <c r="BZ471" s="181"/>
      <c r="CA471" s="182"/>
      <c r="CB471" s="182"/>
      <c r="CC471" s="211">
        <v>7.2</v>
      </c>
      <c r="CD471" s="209">
        <v>41822</v>
      </c>
      <c r="CE471" s="181"/>
      <c r="CF471" s="181"/>
      <c r="CG471" s="182"/>
      <c r="CH471" s="182"/>
      <c r="CI471" s="175" t="s">
        <v>9349</v>
      </c>
      <c r="CJ471" s="181"/>
      <c r="CK471" s="181"/>
      <c r="CL471" s="175">
        <v>9</v>
      </c>
      <c r="CM471" s="175"/>
    </row>
    <row r="472" spans="1:91">
      <c r="A472" s="191" t="s">
        <v>7898</v>
      </c>
      <c r="B472" s="192" t="s">
        <v>269</v>
      </c>
      <c r="C472" s="192" t="s">
        <v>8997</v>
      </c>
      <c r="D472" s="192" t="s">
        <v>8982</v>
      </c>
      <c r="E472" s="193">
        <v>253</v>
      </c>
      <c r="F472" s="193">
        <v>3</v>
      </c>
      <c r="K472" s="176">
        <v>9</v>
      </c>
      <c r="M472" s="197">
        <v>4.6500000000000004</v>
      </c>
      <c r="N472" s="198">
        <v>41822</v>
      </c>
      <c r="S472" s="176">
        <f>(AE472*BS472)/100</f>
        <v>15.580433455433456</v>
      </c>
      <c r="T472" s="198"/>
      <c r="U472" s="176">
        <v>16.2</v>
      </c>
      <c r="Y472" s="200">
        <f>(AE472*BU472)/100</f>
        <v>4.5807641432641439</v>
      </c>
      <c r="Z472" s="198"/>
      <c r="AA472" s="200"/>
      <c r="AB472" s="198"/>
      <c r="AC472" s="378">
        <f t="shared" si="7"/>
        <v>26.550925925925931</v>
      </c>
      <c r="AE472" s="176">
        <f>(M472/U472)*((100-CC472)/(100-9))*100</f>
        <v>29.176841676841679</v>
      </c>
      <c r="AF472" s="198">
        <v>41822</v>
      </c>
      <c r="AG472" s="176">
        <v>4.9000000000000004</v>
      </c>
      <c r="AH472" s="196">
        <v>41927</v>
      </c>
      <c r="AI472" s="176">
        <v>150</v>
      </c>
      <c r="AM472" s="176">
        <v>84</v>
      </c>
      <c r="BG472" s="201">
        <v>0.8</v>
      </c>
      <c r="BI472" s="201">
        <v>4.7</v>
      </c>
      <c r="BK472" s="201">
        <v>1.5</v>
      </c>
      <c r="BM472" s="201">
        <v>61.5</v>
      </c>
      <c r="BO472" s="201">
        <v>19.8</v>
      </c>
      <c r="BQ472" s="201">
        <v>9.9</v>
      </c>
      <c r="BS472" s="201">
        <v>53.4</v>
      </c>
      <c r="BU472" s="201">
        <v>15.7</v>
      </c>
      <c r="BW472" s="201">
        <v>14.7</v>
      </c>
      <c r="BY472" s="178">
        <v>6.4000000000000057</v>
      </c>
      <c r="CC472" s="201">
        <v>7.5</v>
      </c>
      <c r="CD472" s="198">
        <v>41822</v>
      </c>
      <c r="CI472" s="174" t="s">
        <v>9376</v>
      </c>
      <c r="CL472" s="174">
        <v>3</v>
      </c>
    </row>
    <row r="473" spans="1:91">
      <c r="A473" s="191" t="s">
        <v>7768</v>
      </c>
      <c r="B473" s="192" t="s">
        <v>269</v>
      </c>
      <c r="C473" s="192" t="s">
        <v>8997</v>
      </c>
      <c r="D473" s="192" t="s">
        <v>8766</v>
      </c>
      <c r="E473" s="193">
        <v>253</v>
      </c>
      <c r="F473" s="193">
        <v>4</v>
      </c>
      <c r="K473" s="176">
        <v>8</v>
      </c>
      <c r="M473" s="197">
        <v>5.0999999999999996</v>
      </c>
      <c r="N473" s="198">
        <v>41822</v>
      </c>
      <c r="S473" s="176">
        <f>(AE473*BS473)/100</f>
        <v>16.430427350427355</v>
      </c>
      <c r="T473" s="198"/>
      <c r="U473" s="176">
        <v>16.2</v>
      </c>
      <c r="Y473" s="200">
        <f>(AE473*BU473)/100</f>
        <v>5.2423931623931628</v>
      </c>
      <c r="Z473" s="198"/>
      <c r="AA473" s="200"/>
      <c r="AB473" s="198"/>
      <c r="AC473" s="378">
        <f t="shared" si="7"/>
        <v>29.088888888888892</v>
      </c>
      <c r="AE473" s="176">
        <f>(M473/U473)*((100-CC473)/(100-9))*100</f>
        <v>31.965811965811973</v>
      </c>
      <c r="AF473" s="198">
        <v>41822</v>
      </c>
      <c r="AG473" s="176">
        <v>5.2</v>
      </c>
      <c r="AH473" s="196">
        <v>41927</v>
      </c>
      <c r="AI473" s="176">
        <v>135</v>
      </c>
      <c r="AM473" s="176">
        <v>76</v>
      </c>
      <c r="BG473" s="201">
        <v>0</v>
      </c>
      <c r="BI473" s="201">
        <v>4.5999999999999996</v>
      </c>
      <c r="BK473" s="201">
        <v>1.6</v>
      </c>
      <c r="BM473" s="201">
        <v>64.8</v>
      </c>
      <c r="BO473" s="201">
        <v>19</v>
      </c>
      <c r="BQ473" s="201">
        <v>9.1</v>
      </c>
      <c r="BS473" s="201">
        <v>51.4</v>
      </c>
      <c r="BU473" s="201">
        <v>16.399999999999999</v>
      </c>
      <c r="BW473" s="201">
        <v>7.5</v>
      </c>
      <c r="BY473" s="178">
        <v>6.5</v>
      </c>
      <c r="CC473" s="201">
        <v>7.6</v>
      </c>
      <c r="CD473" s="198">
        <v>41822</v>
      </c>
      <c r="CI473" s="174" t="s">
        <v>9362</v>
      </c>
      <c r="CL473" s="174">
        <v>1</v>
      </c>
    </row>
    <row r="474" spans="1:91">
      <c r="A474" s="191" t="s">
        <v>7668</v>
      </c>
      <c r="B474" s="192" t="s">
        <v>269</v>
      </c>
      <c r="C474" s="192" t="s">
        <v>8997</v>
      </c>
      <c r="D474" s="192" t="s">
        <v>8366</v>
      </c>
      <c r="E474" s="193">
        <v>253</v>
      </c>
      <c r="F474" s="193">
        <v>5</v>
      </c>
      <c r="K474" s="176">
        <v>9</v>
      </c>
      <c r="M474" s="197">
        <v>4.3</v>
      </c>
      <c r="N474" s="198">
        <v>41822</v>
      </c>
      <c r="S474" s="176">
        <f>(AE474*BS474)/100</f>
        <v>14.17652421652422</v>
      </c>
      <c r="T474" s="198"/>
      <c r="U474" s="176">
        <v>16.2</v>
      </c>
      <c r="Y474" s="200">
        <f>(AE474*BU474)/100</f>
        <v>4.4739601139601151</v>
      </c>
      <c r="Z474" s="198"/>
      <c r="AA474" s="200"/>
      <c r="AB474" s="198"/>
      <c r="AC474" s="378">
        <f t="shared" si="7"/>
        <v>24.525925925925929</v>
      </c>
      <c r="AE474" s="176">
        <f>(M474/U474)*((100-CC474)/(100-9))*100</f>
        <v>26.951566951566956</v>
      </c>
      <c r="AF474" s="198">
        <v>41822</v>
      </c>
      <c r="AG474" s="176">
        <v>4.5</v>
      </c>
      <c r="AH474" s="196">
        <v>41927</v>
      </c>
      <c r="AI474" s="176">
        <v>155</v>
      </c>
      <c r="AM474" s="176">
        <v>78</v>
      </c>
      <c r="BG474" s="201">
        <v>0</v>
      </c>
      <c r="BI474" s="201">
        <v>4.5999999999999996</v>
      </c>
      <c r="BK474" s="201">
        <v>1.7</v>
      </c>
      <c r="BM474" s="201">
        <v>67.400000000000006</v>
      </c>
      <c r="BO474" s="201">
        <v>18.5</v>
      </c>
      <c r="BQ474" s="201">
        <v>7.2</v>
      </c>
      <c r="BS474" s="201">
        <v>52.6</v>
      </c>
      <c r="BU474" s="201">
        <v>16.600000000000001</v>
      </c>
      <c r="BW474" s="201">
        <v>18.7</v>
      </c>
      <c r="BY474" s="178">
        <v>6.4000000000000057</v>
      </c>
      <c r="CC474" s="201">
        <v>7.6</v>
      </c>
      <c r="CD474" s="198">
        <v>41822</v>
      </c>
      <c r="CI474" s="174" t="s">
        <v>9347</v>
      </c>
      <c r="CL474" s="174">
        <v>1</v>
      </c>
    </row>
    <row r="475" spans="1:91">
      <c r="A475" s="191" t="s">
        <v>7637</v>
      </c>
      <c r="B475" s="192" t="s">
        <v>269</v>
      </c>
      <c r="C475" s="192" t="s">
        <v>8997</v>
      </c>
      <c r="D475" s="192" t="s">
        <v>8242</v>
      </c>
      <c r="E475" s="193">
        <v>253</v>
      </c>
      <c r="F475" s="193">
        <v>6</v>
      </c>
      <c r="K475" s="176">
        <v>8</v>
      </c>
      <c r="M475" s="197">
        <v>2.9</v>
      </c>
      <c r="N475" s="198">
        <v>41822</v>
      </c>
      <c r="S475" s="176">
        <f>(AE475*BS475)/100</f>
        <v>8.9041921041921039</v>
      </c>
      <c r="T475" s="198"/>
      <c r="U475" s="176">
        <v>16.2</v>
      </c>
      <c r="Y475" s="200">
        <f>(AE475*BU475)/100</f>
        <v>3.3119251119251119</v>
      </c>
      <c r="Z475" s="198"/>
      <c r="AA475" s="200"/>
      <c r="AB475" s="198"/>
      <c r="AC475" s="378">
        <f t="shared" si="7"/>
        <v>16.469135802469136</v>
      </c>
      <c r="AE475" s="176">
        <f>(M475/U475)*((100-CC475)/(100-9))*100</f>
        <v>18.097951431284763</v>
      </c>
      <c r="AF475" s="198">
        <v>41822</v>
      </c>
      <c r="AG475" s="176">
        <v>5</v>
      </c>
      <c r="AH475" s="196">
        <v>41927</v>
      </c>
      <c r="AI475" s="176">
        <v>130</v>
      </c>
      <c r="AM475" s="176">
        <v>87</v>
      </c>
      <c r="BG475" s="201">
        <v>44.2</v>
      </c>
      <c r="BI475" s="201">
        <v>4.3</v>
      </c>
      <c r="BK475" s="201">
        <v>1.1000000000000001</v>
      </c>
      <c r="BM475" s="201">
        <v>30.9</v>
      </c>
      <c r="BO475" s="201">
        <v>13.5</v>
      </c>
      <c r="BQ475" s="201">
        <v>10.199999999999999</v>
      </c>
      <c r="BS475" s="201">
        <v>49.2</v>
      </c>
      <c r="BU475" s="201">
        <v>18.3</v>
      </c>
      <c r="BW475" s="201">
        <v>71.400000000000006</v>
      </c>
      <c r="BY475" s="178">
        <v>6.9000000000000057</v>
      </c>
      <c r="CC475" s="201">
        <v>8</v>
      </c>
      <c r="CD475" s="198">
        <v>41822</v>
      </c>
      <c r="CI475" s="174" t="s">
        <v>9375</v>
      </c>
      <c r="CL475" s="174">
        <v>6</v>
      </c>
    </row>
    <row r="476" spans="1:91">
      <c r="A476" s="191" t="s">
        <v>7779</v>
      </c>
      <c r="B476" s="192" t="s">
        <v>271</v>
      </c>
      <c r="C476" s="192" t="s">
        <v>8999</v>
      </c>
      <c r="D476" s="192" t="s">
        <v>8812</v>
      </c>
      <c r="E476" s="193">
        <v>253</v>
      </c>
      <c r="F476" s="193">
        <v>7</v>
      </c>
      <c r="K476" s="176">
        <v>7</v>
      </c>
      <c r="M476" s="197">
        <v>5.75</v>
      </c>
      <c r="N476" s="198">
        <v>41822</v>
      </c>
      <c r="S476" s="176">
        <f>(AE476*BS476)/100</f>
        <v>18.157237823904492</v>
      </c>
      <c r="T476" s="198"/>
      <c r="U476" s="176">
        <v>16.2</v>
      </c>
      <c r="Y476" s="200">
        <f>(AE476*BU476)/100</f>
        <v>6.1720255053588389</v>
      </c>
      <c r="Z476" s="198"/>
      <c r="AA476" s="200"/>
      <c r="AB476" s="198"/>
      <c r="AC476" s="378">
        <f t="shared" si="7"/>
        <v>32.654320987654323</v>
      </c>
      <c r="AE476" s="176">
        <f>(M476/U476)*((100-CC476)/(100-9))*100</f>
        <v>35.883869217202552</v>
      </c>
      <c r="AF476" s="198">
        <v>41822</v>
      </c>
      <c r="AG476" s="176">
        <v>4.7</v>
      </c>
      <c r="AH476" s="196">
        <v>41927</v>
      </c>
      <c r="AI476" s="176">
        <v>145</v>
      </c>
      <c r="AM476" s="176">
        <v>85</v>
      </c>
      <c r="BG476" s="201">
        <v>0.9</v>
      </c>
      <c r="BI476" s="201">
        <v>4.9000000000000004</v>
      </c>
      <c r="BK476" s="201">
        <v>1.6</v>
      </c>
      <c r="BM476" s="201">
        <v>62.4</v>
      </c>
      <c r="BO476" s="201">
        <v>20.9</v>
      </c>
      <c r="BQ476" s="201">
        <v>8.5</v>
      </c>
      <c r="BS476" s="201">
        <v>50.6</v>
      </c>
      <c r="BU476" s="201">
        <v>17.2</v>
      </c>
      <c r="BW476" s="201">
        <v>11.1</v>
      </c>
      <c r="BY476" s="178">
        <v>6.7000000000000028</v>
      </c>
      <c r="CC476" s="201">
        <v>8</v>
      </c>
      <c r="CD476" s="198">
        <v>41822</v>
      </c>
      <c r="CI476" s="174" t="s">
        <v>9352</v>
      </c>
      <c r="CL476" s="174">
        <v>1</v>
      </c>
    </row>
    <row r="477" spans="1:91">
      <c r="A477" s="191" t="s">
        <v>7812</v>
      </c>
      <c r="B477" s="192" t="s">
        <v>271</v>
      </c>
      <c r="C477" s="192" t="s">
        <v>8999</v>
      </c>
      <c r="D477" s="192" t="s">
        <v>8944</v>
      </c>
      <c r="E477" s="193">
        <v>253</v>
      </c>
      <c r="F477" s="193">
        <v>8</v>
      </c>
      <c r="K477" s="176">
        <v>8</v>
      </c>
      <c r="M477" s="197">
        <v>6.65</v>
      </c>
      <c r="N477" s="198">
        <v>41822</v>
      </c>
      <c r="S477" s="176">
        <f>(AE477*BS477)/100</f>
        <v>21.595674264007599</v>
      </c>
      <c r="T477" s="198"/>
      <c r="U477" s="176">
        <v>16.2</v>
      </c>
      <c r="Y477" s="200">
        <f>(AE477*BU477)/100</f>
        <v>6.8922364672364678</v>
      </c>
      <c r="Z477" s="198"/>
      <c r="AA477" s="200"/>
      <c r="AB477" s="198"/>
      <c r="AC477" s="378">
        <f t="shared" si="7"/>
        <v>38.011728395061731</v>
      </c>
      <c r="AE477" s="176">
        <f>(M477/U477)*((100-CC477)/(100-9))*100</f>
        <v>41.771130104463438</v>
      </c>
      <c r="AF477" s="198">
        <v>41822</v>
      </c>
      <c r="AG477" s="176">
        <v>5.0999999999999996</v>
      </c>
      <c r="AH477" s="196">
        <v>41927</v>
      </c>
      <c r="AI477" s="176">
        <v>155</v>
      </c>
      <c r="AM477" s="176">
        <v>82</v>
      </c>
      <c r="BG477" s="201">
        <v>0</v>
      </c>
      <c r="BI477" s="201">
        <v>4.4000000000000004</v>
      </c>
      <c r="BK477" s="201">
        <v>1.6</v>
      </c>
      <c r="BM477" s="201">
        <v>66.8</v>
      </c>
      <c r="BO477" s="201">
        <v>19.899999999999999</v>
      </c>
      <c r="BQ477" s="201">
        <v>7.2</v>
      </c>
      <c r="BS477" s="201">
        <v>51.7</v>
      </c>
      <c r="BU477" s="201">
        <v>16.5</v>
      </c>
      <c r="BW477" s="201">
        <v>17.3</v>
      </c>
      <c r="BY477" s="178">
        <v>6.0999999999999943</v>
      </c>
      <c r="CC477" s="201">
        <v>7.4</v>
      </c>
      <c r="CD477" s="198">
        <v>41822</v>
      </c>
      <c r="CI477" s="174" t="s">
        <v>9383</v>
      </c>
      <c r="CL477" s="174">
        <v>1</v>
      </c>
    </row>
    <row r="478" spans="1:91">
      <c r="A478" s="191" t="s">
        <v>7814</v>
      </c>
      <c r="B478" s="192" t="s">
        <v>271</v>
      </c>
      <c r="C478" s="192" t="s">
        <v>8999</v>
      </c>
      <c r="D478" s="192" t="s">
        <v>8952</v>
      </c>
      <c r="E478" s="193">
        <v>253</v>
      </c>
      <c r="F478" s="193">
        <v>9</v>
      </c>
      <c r="K478" s="176">
        <v>7</v>
      </c>
      <c r="M478" s="197">
        <v>6</v>
      </c>
      <c r="N478" s="198">
        <v>41822</v>
      </c>
      <c r="S478" s="176">
        <f>(AE478*BS478)/100</f>
        <v>18.603337403337402</v>
      </c>
      <c r="T478" s="198"/>
      <c r="U478" s="176">
        <v>16.2</v>
      </c>
      <c r="Y478" s="200">
        <f>(AE478*BU478)/100</f>
        <v>6.4496540496540504</v>
      </c>
      <c r="Z478" s="198"/>
      <c r="AA478" s="200"/>
      <c r="AB478" s="198"/>
      <c r="AC478" s="378">
        <f t="shared" si="7"/>
        <v>33.925925925925924</v>
      </c>
      <c r="AE478" s="176">
        <f>(M478/U478)*((100-CC478)/(100-9))*100</f>
        <v>37.281237281237281</v>
      </c>
      <c r="AF478" s="198">
        <v>41822</v>
      </c>
      <c r="AG478" s="176">
        <v>4</v>
      </c>
      <c r="AH478" s="196">
        <v>41927</v>
      </c>
      <c r="AI478" s="176">
        <v>140</v>
      </c>
      <c r="AM478" s="176">
        <v>87</v>
      </c>
      <c r="BG478" s="201">
        <v>0</v>
      </c>
      <c r="BI478" s="201">
        <v>4.8</v>
      </c>
      <c r="BK478" s="201">
        <v>1.6</v>
      </c>
      <c r="BM478" s="201">
        <v>62.4</v>
      </c>
      <c r="BO478" s="201">
        <v>19.2</v>
      </c>
      <c r="BQ478" s="201">
        <v>9.1999999999999993</v>
      </c>
      <c r="BS478" s="201">
        <v>49.9</v>
      </c>
      <c r="BU478" s="201">
        <v>17.3</v>
      </c>
      <c r="BW478" s="201">
        <v>13.8</v>
      </c>
      <c r="BY478" s="178">
        <v>6.5</v>
      </c>
      <c r="CC478" s="201">
        <v>8.4</v>
      </c>
      <c r="CD478" s="198">
        <v>41822</v>
      </c>
      <c r="CI478" s="174" t="s">
        <v>9399</v>
      </c>
      <c r="CL478" s="174">
        <v>2</v>
      </c>
    </row>
    <row r="479" spans="1:91">
      <c r="A479" s="191" t="s">
        <v>7759</v>
      </c>
      <c r="B479" s="192" t="s">
        <v>271</v>
      </c>
      <c r="C479" s="192" t="s">
        <v>8999</v>
      </c>
      <c r="D479" s="192" t="s">
        <v>8732</v>
      </c>
      <c r="E479" s="193">
        <v>253</v>
      </c>
      <c r="F479" s="193">
        <v>10</v>
      </c>
      <c r="K479" s="176">
        <v>7</v>
      </c>
      <c r="M479" s="197">
        <v>4.05</v>
      </c>
      <c r="N479" s="198">
        <v>41822</v>
      </c>
      <c r="S479" s="176">
        <f>(AE479*BS479)/100</f>
        <v>12.131868131868131</v>
      </c>
      <c r="T479" s="198"/>
      <c r="U479" s="176">
        <v>16.2</v>
      </c>
      <c r="Y479" s="200">
        <f>(AE479*BU479)/100</f>
        <v>4.7769230769230759</v>
      </c>
      <c r="Z479" s="198"/>
      <c r="AA479" s="200"/>
      <c r="AB479" s="198"/>
      <c r="AC479" s="378">
        <f t="shared" si="7"/>
        <v>23</v>
      </c>
      <c r="AE479" s="176">
        <f>(M479/U479)*((100-CC479)/(100-9))*100</f>
        <v>25.274725274725274</v>
      </c>
      <c r="AF479" s="198">
        <v>41822</v>
      </c>
      <c r="AG479" s="176">
        <v>4.0999999999999996</v>
      </c>
      <c r="AH479" s="196">
        <v>41927</v>
      </c>
      <c r="AI479" s="176">
        <v>135</v>
      </c>
      <c r="AM479" s="176">
        <v>86</v>
      </c>
      <c r="BG479" s="201">
        <v>0</v>
      </c>
      <c r="BI479" s="201">
        <v>4.7</v>
      </c>
      <c r="BK479" s="201">
        <v>1.6</v>
      </c>
      <c r="BM479" s="201">
        <v>59.9</v>
      </c>
      <c r="BO479" s="201">
        <v>21.1</v>
      </c>
      <c r="BQ479" s="201">
        <v>8.9</v>
      </c>
      <c r="BS479" s="201">
        <v>48</v>
      </c>
      <c r="BU479" s="201">
        <v>18.899999999999999</v>
      </c>
      <c r="BW479" s="201">
        <v>10.1</v>
      </c>
      <c r="BY479" s="178">
        <v>6.7000000000000028</v>
      </c>
      <c r="CC479" s="201">
        <v>8</v>
      </c>
      <c r="CD479" s="198">
        <v>41822</v>
      </c>
      <c r="CI479" s="174" t="s">
        <v>9368</v>
      </c>
      <c r="CL479" s="174">
        <v>1</v>
      </c>
    </row>
    <row r="480" spans="1:91">
      <c r="A480" s="191" t="s">
        <v>7752</v>
      </c>
      <c r="B480" s="192" t="s">
        <v>271</v>
      </c>
      <c r="C480" s="192" t="s">
        <v>8999</v>
      </c>
      <c r="D480" s="192" t="s">
        <v>8704</v>
      </c>
      <c r="E480" s="193">
        <v>253</v>
      </c>
      <c r="F480" s="193">
        <v>11</v>
      </c>
      <c r="K480" s="176">
        <v>8</v>
      </c>
      <c r="M480" s="197">
        <v>3.4</v>
      </c>
      <c r="N480" s="198">
        <v>41822</v>
      </c>
      <c r="S480" s="176">
        <f>(AE480*BS480)/100</f>
        <v>10.658591778591779</v>
      </c>
      <c r="T480" s="198"/>
      <c r="U480" s="176">
        <v>16.2</v>
      </c>
      <c r="Y480" s="200">
        <f>(AE480*BU480)/100</f>
        <v>4.1307393840727169</v>
      </c>
      <c r="Z480" s="198"/>
      <c r="AA480" s="200"/>
      <c r="AB480" s="198"/>
      <c r="AC480" s="378">
        <f t="shared" si="7"/>
        <v>19.476543209876546</v>
      </c>
      <c r="AE480" s="176">
        <f>(M480/U480)*((100-CC480)/(100-9))*100</f>
        <v>21.402794736128069</v>
      </c>
      <c r="AF480" s="198">
        <v>41822</v>
      </c>
      <c r="AG480" s="176">
        <v>4.8</v>
      </c>
      <c r="AH480" s="196">
        <v>41927</v>
      </c>
      <c r="AI480" s="176">
        <v>80</v>
      </c>
      <c r="AM480" s="176">
        <v>78</v>
      </c>
      <c r="BG480" s="201">
        <v>56</v>
      </c>
      <c r="BI480" s="201">
        <v>4.0999999999999996</v>
      </c>
      <c r="BK480" s="201">
        <v>0.9</v>
      </c>
      <c r="BM480" s="201">
        <v>26</v>
      </c>
      <c r="BO480" s="201">
        <v>14.7</v>
      </c>
      <c r="BQ480" s="201">
        <v>8.6999999999999993</v>
      </c>
      <c r="BS480" s="201">
        <v>49.8</v>
      </c>
      <c r="BU480" s="201">
        <v>19.3</v>
      </c>
      <c r="BW480" s="201">
        <v>75.3</v>
      </c>
      <c r="BY480" s="178">
        <v>6.2000000000000028</v>
      </c>
      <c r="CC480" s="201">
        <v>7.2</v>
      </c>
      <c r="CD480" s="198">
        <v>41822</v>
      </c>
      <c r="CI480" s="174" t="s">
        <v>9349</v>
      </c>
      <c r="CL480" s="174">
        <v>8</v>
      </c>
    </row>
    <row r="481" spans="1:90">
      <c r="A481" s="191" t="s">
        <v>7745</v>
      </c>
      <c r="B481" s="192" t="s">
        <v>271</v>
      </c>
      <c r="C481" s="192" t="s">
        <v>8999</v>
      </c>
      <c r="D481" s="192" t="s">
        <v>8676</v>
      </c>
      <c r="E481" s="193">
        <v>253</v>
      </c>
      <c r="F481" s="193">
        <v>12</v>
      </c>
      <c r="K481" s="176">
        <v>8</v>
      </c>
      <c r="M481" s="197">
        <v>3.75</v>
      </c>
      <c r="N481" s="198">
        <v>41822</v>
      </c>
      <c r="S481" s="176">
        <f>(AE481*BS481)/100</f>
        <v>11.493589743589746</v>
      </c>
      <c r="T481" s="198"/>
      <c r="U481" s="176">
        <v>16.2</v>
      </c>
      <c r="Y481" s="200">
        <f>(AE481*BU481)/100</f>
        <v>4.6538461538461551</v>
      </c>
      <c r="Z481" s="198"/>
      <c r="AA481" s="200"/>
      <c r="AB481" s="198"/>
      <c r="AC481" s="378">
        <f t="shared" si="7"/>
        <v>21.388888888888889</v>
      </c>
      <c r="AE481" s="176">
        <f>(M481/U481)*((100-CC481)/(100-9))*100</f>
        <v>23.50427350427351</v>
      </c>
      <c r="AF481" s="198">
        <v>41822</v>
      </c>
      <c r="AG481" s="176">
        <v>4.4000000000000004</v>
      </c>
      <c r="AH481" s="196">
        <v>41927</v>
      </c>
      <c r="AI481" s="176">
        <v>165</v>
      </c>
      <c r="AM481" s="176">
        <v>88</v>
      </c>
      <c r="BG481" s="201">
        <v>46.2</v>
      </c>
      <c r="BI481" s="201">
        <v>4.3</v>
      </c>
      <c r="BK481" s="201">
        <v>1</v>
      </c>
      <c r="BM481" s="201">
        <v>26.8</v>
      </c>
      <c r="BO481" s="201">
        <v>15.5</v>
      </c>
      <c r="BQ481" s="201">
        <v>8.3000000000000007</v>
      </c>
      <c r="BS481" s="201">
        <v>48.9</v>
      </c>
      <c r="BU481" s="201">
        <v>19.8</v>
      </c>
      <c r="BW481" s="201">
        <v>57.6</v>
      </c>
      <c r="BY481" s="178">
        <v>6.5</v>
      </c>
      <c r="CC481" s="201">
        <v>7.6</v>
      </c>
      <c r="CD481" s="198">
        <v>41822</v>
      </c>
      <c r="CI481" s="174" t="s">
        <v>9347</v>
      </c>
      <c r="CL481" s="174">
        <v>5</v>
      </c>
    </row>
    <row r="482" spans="1:90">
      <c r="A482" s="191" t="s">
        <v>7660</v>
      </c>
      <c r="B482" s="192" t="s">
        <v>269</v>
      </c>
      <c r="C482" s="192" t="s">
        <v>8997</v>
      </c>
      <c r="D482" s="192" t="s">
        <v>8334</v>
      </c>
      <c r="E482" s="193">
        <v>254</v>
      </c>
      <c r="F482" s="193">
        <v>1</v>
      </c>
      <c r="K482" s="176">
        <v>8</v>
      </c>
      <c r="M482" s="197">
        <v>2.65</v>
      </c>
      <c r="N482" s="198">
        <v>41822</v>
      </c>
      <c r="S482" s="176">
        <f>(AE482*BS482)/100</f>
        <v>7.9798758648758641</v>
      </c>
      <c r="T482" s="198"/>
      <c r="U482" s="176">
        <v>16.2</v>
      </c>
      <c r="Y482" s="200">
        <f>(AE482*BU482)/100</f>
        <v>2.9634808709808702</v>
      </c>
      <c r="Z482" s="198"/>
      <c r="AA482" s="200"/>
      <c r="AB482" s="198"/>
      <c r="AC482" s="378">
        <f t="shared" si="7"/>
        <v>15.06574074074074</v>
      </c>
      <c r="AE482" s="176">
        <f>(M482/U482)*((100-CC482)/(100-9))*100</f>
        <v>16.555759055759054</v>
      </c>
      <c r="AF482" s="198">
        <v>41822</v>
      </c>
      <c r="AG482" s="176">
        <v>4.9000000000000004</v>
      </c>
      <c r="AH482" s="196">
        <v>41927</v>
      </c>
      <c r="AI482" s="176">
        <v>115</v>
      </c>
      <c r="AM482" s="176">
        <v>87</v>
      </c>
      <c r="BG482" s="201">
        <v>0</v>
      </c>
      <c r="BI482" s="201">
        <v>4.8</v>
      </c>
      <c r="BK482" s="201">
        <v>1.4</v>
      </c>
      <c r="BM482" s="201">
        <v>63.9</v>
      </c>
      <c r="BO482" s="201">
        <v>19.8</v>
      </c>
      <c r="BQ482" s="201">
        <v>8.8000000000000007</v>
      </c>
      <c r="BS482" s="201">
        <v>48.2</v>
      </c>
      <c r="BU482" s="201">
        <v>17.899999999999999</v>
      </c>
      <c r="BW482" s="201">
        <v>67.8</v>
      </c>
      <c r="BY482" s="178">
        <v>7.0999999999999943</v>
      </c>
      <c r="CC482" s="201">
        <v>7.9</v>
      </c>
      <c r="CD482" s="198">
        <v>41822</v>
      </c>
      <c r="CI482" s="174" t="s">
        <v>9337</v>
      </c>
      <c r="CL482" s="174">
        <v>6</v>
      </c>
    </row>
    <row r="483" spans="1:90">
      <c r="A483" s="191" t="s">
        <v>7732</v>
      </c>
      <c r="B483" s="192" t="s">
        <v>269</v>
      </c>
      <c r="C483" s="192" t="s">
        <v>8997</v>
      </c>
      <c r="D483" s="192" t="s">
        <v>8622</v>
      </c>
      <c r="E483" s="193">
        <v>254</v>
      </c>
      <c r="F483" s="193">
        <v>2</v>
      </c>
      <c r="K483" s="176">
        <v>7</v>
      </c>
      <c r="M483" s="197">
        <v>4.2</v>
      </c>
      <c r="N483" s="198">
        <v>41822</v>
      </c>
      <c r="S483" s="176">
        <f>(AE483*BS483)/100</f>
        <v>14.027008547008549</v>
      </c>
      <c r="T483" s="198"/>
      <c r="U483" s="176">
        <v>16.2</v>
      </c>
      <c r="Y483" s="200">
        <f>(AE483*BU483)/100</f>
        <v>4.3079202279202278</v>
      </c>
      <c r="Z483" s="198"/>
      <c r="AA483" s="200"/>
      <c r="AB483" s="198"/>
      <c r="AC483" s="378">
        <f t="shared" si="7"/>
        <v>23.903703703703709</v>
      </c>
      <c r="AE483" s="176">
        <f>(M483/U483)*((100-CC483)/(100-9))*100</f>
        <v>26.267806267806272</v>
      </c>
      <c r="AF483" s="198">
        <v>41822</v>
      </c>
      <c r="AG483" s="176">
        <v>4.8</v>
      </c>
      <c r="AH483" s="196">
        <v>41927</v>
      </c>
      <c r="AI483" s="176">
        <v>145</v>
      </c>
      <c r="AM483" s="176">
        <v>78</v>
      </c>
      <c r="BG483" s="201">
        <v>0.5</v>
      </c>
      <c r="BI483" s="201">
        <v>4.5</v>
      </c>
      <c r="BK483" s="201">
        <v>1.5</v>
      </c>
      <c r="BM483" s="201">
        <v>63.3</v>
      </c>
      <c r="BO483" s="201">
        <v>19.7</v>
      </c>
      <c r="BQ483" s="201">
        <v>9.6</v>
      </c>
      <c r="BS483" s="201">
        <v>53.4</v>
      </c>
      <c r="BU483" s="201">
        <v>16.399999999999999</v>
      </c>
      <c r="BW483" s="201">
        <v>20.2</v>
      </c>
      <c r="BY483" s="178">
        <v>6.5999999999999943</v>
      </c>
      <c r="CC483" s="201">
        <v>7.8</v>
      </c>
      <c r="CD483" s="198">
        <v>41822</v>
      </c>
      <c r="CI483" s="174" t="s">
        <v>9360</v>
      </c>
      <c r="CL483" s="174">
        <v>1</v>
      </c>
    </row>
    <row r="484" spans="1:90">
      <c r="A484" s="191" t="s">
        <v>7615</v>
      </c>
      <c r="B484" s="192" t="s">
        <v>269</v>
      </c>
      <c r="C484" s="192" t="s">
        <v>8997</v>
      </c>
      <c r="D484" s="192" t="s">
        <v>8154</v>
      </c>
      <c r="E484" s="193">
        <v>254</v>
      </c>
      <c r="F484" s="193">
        <v>3</v>
      </c>
      <c r="I484" s="184"/>
      <c r="K484" s="176">
        <v>8</v>
      </c>
      <c r="M484" s="197">
        <v>1.55</v>
      </c>
      <c r="N484" s="198">
        <v>41822</v>
      </c>
      <c r="O484" s="179"/>
      <c r="S484" s="176">
        <f>(AE484*BS484)/100</f>
        <v>4.7856013431013436</v>
      </c>
      <c r="T484" s="198"/>
      <c r="U484" s="176">
        <v>16.2</v>
      </c>
      <c r="Y484" s="200">
        <f>(AE484*BU484)/100</f>
        <v>1.9103418803418808</v>
      </c>
      <c r="Z484" s="198"/>
      <c r="AA484" s="200"/>
      <c r="AB484" s="198"/>
      <c r="AC484" s="378">
        <f t="shared" si="7"/>
        <v>8.8694444444444454</v>
      </c>
      <c r="AE484" s="176">
        <f>(M484/U484)*((100-CC484)/(100-9))*100</f>
        <v>9.7466422466422475</v>
      </c>
      <c r="AF484" s="198">
        <v>41822</v>
      </c>
      <c r="AG484" s="176">
        <v>5.0999999999999996</v>
      </c>
      <c r="AH484" s="196">
        <v>41927</v>
      </c>
      <c r="AI484" s="176">
        <v>130</v>
      </c>
      <c r="AM484" s="176">
        <v>80</v>
      </c>
      <c r="BG484" s="201">
        <v>42.3</v>
      </c>
      <c r="BI484" s="201">
        <v>4.5</v>
      </c>
      <c r="BK484" s="201">
        <v>0.9</v>
      </c>
      <c r="BM484" s="201">
        <v>32.4</v>
      </c>
      <c r="BO484" s="201">
        <v>16.600000000000001</v>
      </c>
      <c r="BQ484" s="201">
        <v>9.9</v>
      </c>
      <c r="BS484" s="201">
        <v>49.1</v>
      </c>
      <c r="BU484" s="201">
        <v>19.600000000000001</v>
      </c>
      <c r="BW484" s="201">
        <v>76.8</v>
      </c>
      <c r="BY484" s="178">
        <v>6.4000000000000057</v>
      </c>
      <c r="CC484" s="201">
        <v>7.3</v>
      </c>
      <c r="CD484" s="198">
        <v>41822</v>
      </c>
      <c r="CI484" s="174" t="s">
        <v>9373</v>
      </c>
      <c r="CL484" s="174">
        <v>8</v>
      </c>
    </row>
    <row r="485" spans="1:90">
      <c r="A485" s="191" t="s">
        <v>7643</v>
      </c>
      <c r="B485" s="192" t="s">
        <v>269</v>
      </c>
      <c r="C485" s="192" t="s">
        <v>8997</v>
      </c>
      <c r="D485" s="192" t="s">
        <v>8266</v>
      </c>
      <c r="E485" s="193">
        <v>254</v>
      </c>
      <c r="F485" s="193">
        <v>4</v>
      </c>
      <c r="K485" s="176">
        <v>8</v>
      </c>
      <c r="M485" s="197">
        <v>3.5</v>
      </c>
      <c r="N485" s="198">
        <v>41822</v>
      </c>
      <c r="S485" s="176">
        <f>(AE485*BS485)/100</f>
        <v>10.436467236467237</v>
      </c>
      <c r="T485" s="198"/>
      <c r="U485" s="176">
        <v>16.2</v>
      </c>
      <c r="Y485" s="200">
        <f>(AE485*BU485)/100</f>
        <v>4.1356125356125366</v>
      </c>
      <c r="Z485" s="198"/>
      <c r="AA485" s="200"/>
      <c r="AB485" s="198"/>
      <c r="AC485" s="378">
        <f t="shared" si="7"/>
        <v>19.703703703703706</v>
      </c>
      <c r="AE485" s="176">
        <f>(M485/U485)*((100-CC485)/(100-9))*100</f>
        <v>21.652421652421655</v>
      </c>
      <c r="AF485" s="198">
        <v>41822</v>
      </c>
      <c r="AG485" s="176">
        <v>5.3</v>
      </c>
      <c r="AH485" s="196">
        <v>41927</v>
      </c>
      <c r="AI485" s="176">
        <v>125</v>
      </c>
      <c r="AM485" s="176">
        <v>86</v>
      </c>
      <c r="BG485" s="201">
        <v>6.5</v>
      </c>
      <c r="BI485" s="201">
        <v>4.9000000000000004</v>
      </c>
      <c r="BK485" s="201">
        <v>1.3</v>
      </c>
      <c r="BM485" s="201">
        <v>63.4</v>
      </c>
      <c r="BO485" s="201">
        <v>19.8</v>
      </c>
      <c r="BQ485" s="201">
        <v>10.4</v>
      </c>
      <c r="BS485" s="201">
        <v>48.2</v>
      </c>
      <c r="BU485" s="201">
        <v>19.100000000000001</v>
      </c>
      <c r="BW485" s="201">
        <v>86.1</v>
      </c>
      <c r="BY485" s="178">
        <v>7</v>
      </c>
      <c r="CC485" s="201">
        <v>8.8000000000000007</v>
      </c>
      <c r="CD485" s="198">
        <v>41822</v>
      </c>
      <c r="CI485" s="174" t="s">
        <v>9352</v>
      </c>
      <c r="CL485" s="174">
        <v>1</v>
      </c>
    </row>
    <row r="486" spans="1:90">
      <c r="A486" s="191" t="s">
        <v>7685</v>
      </c>
      <c r="B486" s="192" t="s">
        <v>269</v>
      </c>
      <c r="C486" s="192" t="s">
        <v>8997</v>
      </c>
      <c r="D486" s="192" t="s">
        <v>8434</v>
      </c>
      <c r="E486" s="193">
        <v>254</v>
      </c>
      <c r="F486" s="193">
        <v>5</v>
      </c>
      <c r="K486" s="176">
        <v>9</v>
      </c>
      <c r="M486" s="197">
        <v>4</v>
      </c>
      <c r="N486" s="198">
        <v>41822</v>
      </c>
      <c r="S486" s="176">
        <f>(AE486*BS486)/100</f>
        <v>12.925654592321258</v>
      </c>
      <c r="T486" s="198"/>
      <c r="U486" s="176">
        <v>16.2</v>
      </c>
      <c r="Y486" s="200">
        <f>(AE486*BU486)/100</f>
        <v>4.0910324243657579</v>
      </c>
      <c r="Z486" s="198"/>
      <c r="AA486" s="200"/>
      <c r="AB486" s="198"/>
      <c r="AC486" s="378">
        <f t="shared" si="7"/>
        <v>22.839506172839506</v>
      </c>
      <c r="AE486" s="176">
        <f>(M486/U486)*((100-CC486)/(100-9))*100</f>
        <v>25.098358431691764</v>
      </c>
      <c r="AF486" s="198">
        <v>41822</v>
      </c>
      <c r="AG486" s="176">
        <v>4.4000000000000004</v>
      </c>
      <c r="AH486" s="196">
        <v>41927</v>
      </c>
      <c r="AI486" s="176">
        <v>140</v>
      </c>
      <c r="AM486" s="176">
        <v>80</v>
      </c>
      <c r="BG486" s="201">
        <v>0</v>
      </c>
      <c r="BI486" s="201">
        <v>4.7</v>
      </c>
      <c r="BK486" s="201">
        <v>1.6</v>
      </c>
      <c r="BM486" s="201">
        <v>64.099999999999994</v>
      </c>
      <c r="BO486" s="201">
        <v>20.2</v>
      </c>
      <c r="BQ486" s="201">
        <v>8.5</v>
      </c>
      <c r="BS486" s="201">
        <v>51.5</v>
      </c>
      <c r="BU486" s="201">
        <v>16.3</v>
      </c>
      <c r="BW486" s="201">
        <v>11.6</v>
      </c>
      <c r="BY486" s="178">
        <v>6.7999999999999972</v>
      </c>
      <c r="CC486" s="201">
        <v>7.5</v>
      </c>
      <c r="CD486" s="198">
        <v>41822</v>
      </c>
      <c r="CI486" s="174" t="s">
        <v>9355</v>
      </c>
      <c r="CL486" s="174">
        <v>2</v>
      </c>
    </row>
    <row r="487" spans="1:90">
      <c r="A487" s="191" t="s">
        <v>7806</v>
      </c>
      <c r="B487" s="192" t="s">
        <v>269</v>
      </c>
      <c r="C487" s="192" t="s">
        <v>8997</v>
      </c>
      <c r="D487" s="192" t="s">
        <v>8918</v>
      </c>
      <c r="E487" s="193">
        <v>254</v>
      </c>
      <c r="F487" s="193">
        <v>6</v>
      </c>
      <c r="K487" s="176">
        <v>8</v>
      </c>
      <c r="M487" s="197">
        <v>3.95</v>
      </c>
      <c r="N487" s="198">
        <v>41822</v>
      </c>
      <c r="S487" s="176">
        <f>(AE487*BS487)/100</f>
        <v>12.91694478361145</v>
      </c>
      <c r="T487" s="198"/>
      <c r="U487" s="176">
        <v>16.2</v>
      </c>
      <c r="Y487" s="200">
        <f>(AE487*BU487)/100</f>
        <v>4.1906118572785243</v>
      </c>
      <c r="Z487" s="198"/>
      <c r="AA487" s="200"/>
      <c r="AB487" s="198"/>
      <c r="AC487" s="378">
        <f t="shared" si="7"/>
        <v>22.432098765432102</v>
      </c>
      <c r="AE487" s="176">
        <f>(M487/U487)*((100-CC487)/(100-9))*100</f>
        <v>24.650657983991319</v>
      </c>
      <c r="AF487" s="198">
        <v>41822</v>
      </c>
      <c r="AG487" s="176">
        <v>5</v>
      </c>
      <c r="AH487" s="196">
        <v>41927</v>
      </c>
      <c r="AI487" s="176">
        <v>135</v>
      </c>
      <c r="AM487" s="176">
        <v>80</v>
      </c>
      <c r="BG487" s="201">
        <v>0</v>
      </c>
      <c r="BI487" s="201">
        <v>4.3</v>
      </c>
      <c r="BK487" s="201">
        <v>1.6</v>
      </c>
      <c r="BM487" s="201">
        <v>64.900000000000006</v>
      </c>
      <c r="BO487" s="201">
        <v>17.5</v>
      </c>
      <c r="BQ487" s="201">
        <v>9.8000000000000007</v>
      </c>
      <c r="BS487" s="201">
        <v>52.4</v>
      </c>
      <c r="BU487" s="201">
        <v>17</v>
      </c>
      <c r="BW487" s="201">
        <v>15.1</v>
      </c>
      <c r="BY487" s="178">
        <v>7.2000000000000028</v>
      </c>
      <c r="CC487" s="201">
        <v>8</v>
      </c>
      <c r="CD487" s="198">
        <v>41822</v>
      </c>
      <c r="CI487" s="174" t="s">
        <v>9388</v>
      </c>
      <c r="CL487" s="174">
        <v>1</v>
      </c>
    </row>
    <row r="488" spans="1:90">
      <c r="A488" s="191" t="s">
        <v>7897</v>
      </c>
      <c r="B488" s="192" t="s">
        <v>271</v>
      </c>
      <c r="C488" s="192" t="s">
        <v>8999</v>
      </c>
      <c r="D488" s="192" t="s">
        <v>8960</v>
      </c>
      <c r="E488" s="193">
        <v>254</v>
      </c>
      <c r="F488" s="193">
        <v>7</v>
      </c>
      <c r="K488" s="176">
        <v>6</v>
      </c>
      <c r="M488" s="197">
        <v>4.5</v>
      </c>
      <c r="N488" s="198">
        <v>41822</v>
      </c>
      <c r="S488" s="176">
        <f>(AE488*BS488)/100</f>
        <v>14.425396825396826</v>
      </c>
      <c r="T488" s="198"/>
      <c r="U488" s="176">
        <v>16.2</v>
      </c>
      <c r="Y488" s="200">
        <f>(AE488*BU488)/100</f>
        <v>4.6488095238095237</v>
      </c>
      <c r="Z488" s="198"/>
      <c r="AA488" s="200"/>
      <c r="AB488" s="198"/>
      <c r="AC488" s="378">
        <f t="shared" si="7"/>
        <v>25.638888888888889</v>
      </c>
      <c r="AE488" s="176">
        <f>(M488/U488)*((100-CC488)/(100-9))*100</f>
        <v>28.174603174603174</v>
      </c>
      <c r="AF488" s="198">
        <v>41822</v>
      </c>
      <c r="AG488" s="176">
        <v>4.5</v>
      </c>
      <c r="AH488" s="196">
        <v>41927</v>
      </c>
      <c r="AI488" s="176">
        <v>130</v>
      </c>
      <c r="AM488" s="176">
        <v>78</v>
      </c>
      <c r="BG488" s="201">
        <v>2.1</v>
      </c>
      <c r="BI488" s="201">
        <v>4.5</v>
      </c>
      <c r="BK488" s="201">
        <v>1.6</v>
      </c>
      <c r="BM488" s="201">
        <v>63.4</v>
      </c>
      <c r="BO488" s="201">
        <v>19.399999999999999</v>
      </c>
      <c r="BQ488" s="201">
        <v>8.9</v>
      </c>
      <c r="BS488" s="201">
        <v>51.2</v>
      </c>
      <c r="BU488" s="201">
        <v>16.5</v>
      </c>
      <c r="BW488" s="201">
        <v>16.399999999999999</v>
      </c>
      <c r="BY488" s="178">
        <v>6.5999999999999943</v>
      </c>
      <c r="CC488" s="201">
        <v>7.7</v>
      </c>
      <c r="CD488" s="198">
        <v>41822</v>
      </c>
      <c r="CI488" s="174" t="s">
        <v>9363</v>
      </c>
      <c r="CL488" s="174" t="s">
        <v>9001</v>
      </c>
    </row>
    <row r="489" spans="1:90">
      <c r="A489" s="191" t="s">
        <v>7630</v>
      </c>
      <c r="B489" s="192" t="s">
        <v>271</v>
      </c>
      <c r="C489" s="192" t="s">
        <v>8999</v>
      </c>
      <c r="D489" s="192" t="s">
        <v>8216</v>
      </c>
      <c r="E489" s="193">
        <v>254</v>
      </c>
      <c r="F489" s="193">
        <v>8</v>
      </c>
      <c r="I489" s="184"/>
      <c r="K489" s="176">
        <v>7</v>
      </c>
      <c r="M489" s="197">
        <v>4.8499999999999996</v>
      </c>
      <c r="N489" s="198">
        <v>41822</v>
      </c>
      <c r="O489" s="179"/>
      <c r="S489" s="176">
        <f>(AE489*BS489)/100</f>
        <v>14.150537918871253</v>
      </c>
      <c r="T489" s="198"/>
      <c r="U489" s="176">
        <v>16.2</v>
      </c>
      <c r="Y489" s="200">
        <f>(AE489*BU489)/100</f>
        <v>5.7088007054673717</v>
      </c>
      <c r="Z489" s="198"/>
      <c r="AA489" s="200"/>
      <c r="AB489" s="198"/>
      <c r="AC489" s="378">
        <f t="shared" si="7"/>
        <v>27.633024691358024</v>
      </c>
      <c r="AE489" s="176">
        <f>(M489/U489)*((100-CC489)/(100-9))*100</f>
        <v>30.365961199294532</v>
      </c>
      <c r="AF489" s="198">
        <v>41822</v>
      </c>
      <c r="AG489" s="176">
        <v>5.3</v>
      </c>
      <c r="AH489" s="196">
        <v>41927</v>
      </c>
      <c r="AI489" s="176">
        <v>145</v>
      </c>
      <c r="AM489" s="176">
        <v>80</v>
      </c>
      <c r="BG489" s="201">
        <v>39.4</v>
      </c>
      <c r="BI489" s="201">
        <v>4.5999999999999996</v>
      </c>
      <c r="BK489" s="201">
        <v>1.1000000000000001</v>
      </c>
      <c r="BM489" s="201">
        <v>42.8</v>
      </c>
      <c r="BO489" s="201">
        <v>16.100000000000001</v>
      </c>
      <c r="BQ489" s="201">
        <v>7.5</v>
      </c>
      <c r="BS489" s="201">
        <v>46.6</v>
      </c>
      <c r="BU489" s="201">
        <v>18.8</v>
      </c>
      <c r="BW489" s="201">
        <v>70.7</v>
      </c>
      <c r="BY489" s="178">
        <v>6.7999999999999972</v>
      </c>
      <c r="CC489" s="201">
        <v>7.7</v>
      </c>
      <c r="CD489" s="198">
        <v>41822</v>
      </c>
      <c r="CI489" s="174" t="s">
        <v>9355</v>
      </c>
      <c r="CL489" s="174">
        <v>4</v>
      </c>
    </row>
    <row r="490" spans="1:90">
      <c r="A490" s="191" t="s">
        <v>7632</v>
      </c>
      <c r="B490" s="192" t="s">
        <v>271</v>
      </c>
      <c r="C490" s="192" t="s">
        <v>8999</v>
      </c>
      <c r="D490" s="192" t="s">
        <v>8224</v>
      </c>
      <c r="E490" s="193">
        <v>254</v>
      </c>
      <c r="F490" s="193">
        <v>9</v>
      </c>
      <c r="K490" s="176">
        <v>7</v>
      </c>
      <c r="M490" s="197">
        <v>2.5</v>
      </c>
      <c r="N490" s="198">
        <v>41822</v>
      </c>
      <c r="S490" s="176">
        <f>(AE490*BS490)/100</f>
        <v>7.4116809116809135</v>
      </c>
      <c r="T490" s="198"/>
      <c r="U490" s="176">
        <v>16.2</v>
      </c>
      <c r="Y490" s="200">
        <f>(AE490*BU490)/100</f>
        <v>3.118233618233619</v>
      </c>
      <c r="Z490" s="198"/>
      <c r="AA490" s="200"/>
      <c r="AB490" s="198"/>
      <c r="AC490" s="378">
        <f t="shared" si="7"/>
        <v>14.259259259259261</v>
      </c>
      <c r="AE490" s="176">
        <f>(M490/U490)*((100-CC490)/(100-9))*100</f>
        <v>15.669515669515674</v>
      </c>
      <c r="AF490" s="198">
        <v>41822</v>
      </c>
      <c r="AG490" s="176">
        <v>4.9000000000000004</v>
      </c>
      <c r="AH490" s="196">
        <v>41927</v>
      </c>
      <c r="AI490" s="176">
        <v>130</v>
      </c>
      <c r="AM490" s="176">
        <v>86</v>
      </c>
      <c r="BG490" s="201">
        <v>0.4</v>
      </c>
      <c r="BI490" s="201">
        <v>4.5</v>
      </c>
      <c r="BK490" s="201">
        <v>1.5</v>
      </c>
      <c r="BM490" s="201">
        <v>65.400000000000006</v>
      </c>
      <c r="BO490" s="201">
        <v>18.899999999999999</v>
      </c>
      <c r="BQ490" s="201">
        <v>8.5</v>
      </c>
      <c r="BS490" s="201">
        <v>47.3</v>
      </c>
      <c r="BU490" s="201">
        <v>19.899999999999999</v>
      </c>
      <c r="BW490" s="201">
        <v>56.7</v>
      </c>
      <c r="BY490" s="178">
        <v>6.7999999999999972</v>
      </c>
      <c r="CC490" s="201">
        <v>7.6</v>
      </c>
      <c r="CD490" s="198">
        <v>41822</v>
      </c>
      <c r="CI490" s="174" t="s">
        <v>9370</v>
      </c>
      <c r="CL490" s="174">
        <v>1</v>
      </c>
    </row>
    <row r="491" spans="1:90">
      <c r="A491" s="191" t="s">
        <v>7778</v>
      </c>
      <c r="B491" s="192" t="s">
        <v>271</v>
      </c>
      <c r="C491" s="192" t="s">
        <v>8999</v>
      </c>
      <c r="D491" s="192" t="s">
        <v>8808</v>
      </c>
      <c r="E491" s="193">
        <v>254</v>
      </c>
      <c r="F491" s="193">
        <v>10</v>
      </c>
      <c r="K491" s="176">
        <v>8</v>
      </c>
      <c r="M491" s="197">
        <v>6.85</v>
      </c>
      <c r="N491" s="198">
        <v>41822</v>
      </c>
      <c r="S491" s="176">
        <f>(AE491*BS491)/100</f>
        <v>22.063393705060367</v>
      </c>
      <c r="T491" s="198"/>
      <c r="U491" s="176">
        <v>16.2</v>
      </c>
      <c r="Y491" s="200">
        <f>(AE491*BU491)/100</f>
        <v>7.3687450820784139</v>
      </c>
      <c r="Z491" s="198"/>
      <c r="AA491" s="200"/>
      <c r="AB491" s="198"/>
      <c r="AC491" s="378">
        <f t="shared" si="7"/>
        <v>38.985802469135805</v>
      </c>
      <c r="AE491" s="176">
        <f>(M491/U491)*((100-CC491)/(100-9))*100</f>
        <v>42.8415411748745</v>
      </c>
      <c r="AF491" s="198">
        <v>41822</v>
      </c>
      <c r="AG491" s="176">
        <v>4.3</v>
      </c>
      <c r="AH491" s="196">
        <v>41927</v>
      </c>
      <c r="AI491" s="176">
        <v>165</v>
      </c>
      <c r="AM491" s="176">
        <v>87</v>
      </c>
      <c r="BG491" s="201">
        <v>0</v>
      </c>
      <c r="BI491" s="201">
        <v>4.7</v>
      </c>
      <c r="BK491" s="201">
        <v>1.6</v>
      </c>
      <c r="BM491" s="201">
        <v>65.400000000000006</v>
      </c>
      <c r="BO491" s="201">
        <v>18.899999999999999</v>
      </c>
      <c r="BQ491" s="201">
        <v>8.1</v>
      </c>
      <c r="BS491" s="201">
        <v>51.5</v>
      </c>
      <c r="BU491" s="201">
        <v>17.2</v>
      </c>
      <c r="BW491" s="201">
        <v>17.100000000000001</v>
      </c>
      <c r="BY491" s="178">
        <v>6.5999999999999943</v>
      </c>
      <c r="CC491" s="201">
        <v>7.8</v>
      </c>
      <c r="CD491" s="198">
        <v>41822</v>
      </c>
      <c r="CI491" s="174" t="s">
        <v>9347</v>
      </c>
      <c r="CL491" s="174">
        <v>1</v>
      </c>
    </row>
    <row r="492" spans="1:90">
      <c r="A492" s="191" t="s">
        <v>7647</v>
      </c>
      <c r="B492" s="192" t="s">
        <v>271</v>
      </c>
      <c r="C492" s="192" t="s">
        <v>8999</v>
      </c>
      <c r="D492" s="192" t="s">
        <v>8284</v>
      </c>
      <c r="E492" s="193">
        <v>254</v>
      </c>
      <c r="F492" s="193">
        <v>11</v>
      </c>
      <c r="K492" s="176">
        <v>8</v>
      </c>
      <c r="M492" s="197">
        <v>2.5</v>
      </c>
      <c r="N492" s="198">
        <v>41822</v>
      </c>
      <c r="S492" s="176">
        <f>(AE492*BS492)/100</f>
        <v>6.9907407407407414</v>
      </c>
      <c r="T492" s="198"/>
      <c r="U492" s="176">
        <v>16.2</v>
      </c>
      <c r="Y492" s="200">
        <f>(AE492*BU492)/100</f>
        <v>3.3333333333333344</v>
      </c>
      <c r="Z492" s="198"/>
      <c r="AA492" s="200"/>
      <c r="AB492" s="198"/>
      <c r="AC492" s="378">
        <f t="shared" si="7"/>
        <v>14.043209876543212</v>
      </c>
      <c r="AE492" s="176">
        <f>(M492/U492)*((100-CC492)/(100-9))*100</f>
        <v>15.432098765432102</v>
      </c>
      <c r="AF492" s="198">
        <v>41822</v>
      </c>
      <c r="AG492" s="176">
        <v>5</v>
      </c>
      <c r="AH492" s="196">
        <v>41927</v>
      </c>
      <c r="AI492" s="176">
        <v>140</v>
      </c>
      <c r="AM492" s="176">
        <v>78</v>
      </c>
      <c r="BG492" s="201">
        <v>8.5</v>
      </c>
      <c r="BI492" s="201">
        <v>4.7</v>
      </c>
      <c r="BK492" s="201">
        <v>1.3</v>
      </c>
      <c r="BM492" s="201">
        <v>54.2</v>
      </c>
      <c r="BO492" s="201">
        <v>18.7</v>
      </c>
      <c r="BQ492" s="201">
        <v>11.1</v>
      </c>
      <c r="BS492" s="201">
        <v>45.3</v>
      </c>
      <c r="BU492" s="201">
        <v>21.6</v>
      </c>
      <c r="BW492" s="201">
        <v>79.400000000000006</v>
      </c>
      <c r="BY492" s="178">
        <v>7.4000000000000057</v>
      </c>
      <c r="CC492" s="201">
        <v>9</v>
      </c>
      <c r="CD492" s="198">
        <v>41822</v>
      </c>
      <c r="CI492" s="174" t="s">
        <v>9349</v>
      </c>
      <c r="CL492" s="174">
        <v>9</v>
      </c>
    </row>
    <row r="493" spans="1:90">
      <c r="A493" s="191" t="s">
        <v>7739</v>
      </c>
      <c r="B493" s="192" t="s">
        <v>271</v>
      </c>
      <c r="C493" s="192" t="s">
        <v>8999</v>
      </c>
      <c r="D493" s="192" t="s">
        <v>8652</v>
      </c>
      <c r="E493" s="193">
        <v>254</v>
      </c>
      <c r="F493" s="193">
        <v>12</v>
      </c>
      <c r="K493" s="176">
        <v>7</v>
      </c>
      <c r="M493" s="197">
        <v>4.05</v>
      </c>
      <c r="N493" s="198">
        <v>41822</v>
      </c>
      <c r="S493" s="176">
        <f>(AE493*BS493)/100</f>
        <v>12.031593406593407</v>
      </c>
      <c r="T493" s="198"/>
      <c r="U493" s="176">
        <v>16.2</v>
      </c>
      <c r="Y493" s="200">
        <f>(AE493*BU493)/100</f>
        <v>4.5846703296703302</v>
      </c>
      <c r="Z493" s="198"/>
      <c r="AA493" s="200"/>
      <c r="AB493" s="198"/>
      <c r="AC493" s="378">
        <f t="shared" si="7"/>
        <v>23.05</v>
      </c>
      <c r="AE493" s="176">
        <f>(M493/U493)*((100-CC493)/(100-9))*100</f>
        <v>25.329670329670328</v>
      </c>
      <c r="AF493" s="198">
        <v>41822</v>
      </c>
      <c r="AG493" s="176">
        <v>4.2</v>
      </c>
      <c r="AH493" s="196">
        <v>41927</v>
      </c>
      <c r="AI493" s="176">
        <v>140</v>
      </c>
      <c r="AM493" s="176">
        <v>83</v>
      </c>
      <c r="BG493" s="201">
        <v>0</v>
      </c>
      <c r="BI493" s="201">
        <v>4.5</v>
      </c>
      <c r="BK493" s="201">
        <v>1.5</v>
      </c>
      <c r="BM493" s="201">
        <v>57.3</v>
      </c>
      <c r="BO493" s="201">
        <v>21.1</v>
      </c>
      <c r="BQ493" s="201">
        <v>12</v>
      </c>
      <c r="BS493" s="201">
        <v>47.5</v>
      </c>
      <c r="BU493" s="201">
        <v>18.100000000000001</v>
      </c>
      <c r="BW493" s="201">
        <v>14.1</v>
      </c>
      <c r="BY493" s="178">
        <v>6.7000000000000028</v>
      </c>
      <c r="CC493" s="201">
        <v>7.8</v>
      </c>
      <c r="CD493" s="198">
        <v>41822</v>
      </c>
      <c r="CI493" s="174" t="s">
        <v>9353</v>
      </c>
      <c r="CL493" s="174">
        <v>2</v>
      </c>
    </row>
    <row r="494" spans="1:90">
      <c r="A494" s="191" t="s">
        <v>7745</v>
      </c>
      <c r="B494" s="192" t="s">
        <v>269</v>
      </c>
      <c r="C494" s="192" t="s">
        <v>8997</v>
      </c>
      <c r="D494" s="192" t="s">
        <v>8674</v>
      </c>
      <c r="E494" s="193">
        <v>255</v>
      </c>
      <c r="F494" s="193">
        <v>1</v>
      </c>
      <c r="K494" s="176">
        <v>8</v>
      </c>
      <c r="M494" s="197">
        <v>3.5</v>
      </c>
      <c r="N494" s="198">
        <v>41822</v>
      </c>
      <c r="S494" s="176">
        <f>(AE494*BS494)/100</f>
        <v>10.330009496676164</v>
      </c>
      <c r="T494" s="198"/>
      <c r="U494" s="176">
        <v>16.2</v>
      </c>
      <c r="Y494" s="200">
        <f>(AE494*BU494)/100</f>
        <v>4.5452041785375119</v>
      </c>
      <c r="Z494" s="198"/>
      <c r="AA494" s="200"/>
      <c r="AB494" s="198"/>
      <c r="AC494" s="378">
        <f t="shared" si="7"/>
        <v>19.790123456790123</v>
      </c>
      <c r="AE494" s="176">
        <f>(M494/U494)*((100-CC494)/(100-9))*100</f>
        <v>21.747388414055084</v>
      </c>
      <c r="AF494" s="198">
        <v>41822</v>
      </c>
      <c r="AG494" s="176">
        <v>4.4000000000000004</v>
      </c>
      <c r="AH494" s="196">
        <v>41927</v>
      </c>
      <c r="AI494" s="176">
        <v>165</v>
      </c>
      <c r="AM494" s="176">
        <v>88</v>
      </c>
      <c r="BG494" s="201">
        <v>53.9</v>
      </c>
      <c r="BI494" s="201">
        <v>4.4000000000000004</v>
      </c>
      <c r="BK494" s="201">
        <v>0.9</v>
      </c>
      <c r="BM494" s="201">
        <v>27.1</v>
      </c>
      <c r="BO494" s="201">
        <v>14.5</v>
      </c>
      <c r="BQ494" s="201">
        <v>9.8000000000000007</v>
      </c>
      <c r="BS494" s="201">
        <v>47.5</v>
      </c>
      <c r="BU494" s="201">
        <v>20.9</v>
      </c>
      <c r="BW494" s="201">
        <v>71.099999999999994</v>
      </c>
      <c r="BY494" s="178">
        <v>7.4000000000000057</v>
      </c>
      <c r="CC494" s="201">
        <v>8.4</v>
      </c>
      <c r="CD494" s="198">
        <v>41822</v>
      </c>
      <c r="CI494" s="174" t="s">
        <v>9339</v>
      </c>
      <c r="CL494" s="174">
        <v>5</v>
      </c>
    </row>
    <row r="495" spans="1:90">
      <c r="A495" s="191" t="s">
        <v>7739</v>
      </c>
      <c r="B495" s="192" t="s">
        <v>269</v>
      </c>
      <c r="C495" s="192" t="s">
        <v>8997</v>
      </c>
      <c r="D495" s="192" t="s">
        <v>8650</v>
      </c>
      <c r="E495" s="193">
        <v>255</v>
      </c>
      <c r="F495" s="193">
        <v>2</v>
      </c>
      <c r="K495" s="176">
        <v>8</v>
      </c>
      <c r="M495" s="197">
        <v>1.1000000000000001</v>
      </c>
      <c r="N495" s="198">
        <v>41822</v>
      </c>
      <c r="S495" s="176">
        <f>(AE495*BS495)/100</f>
        <v>3.2777791344458014</v>
      </c>
      <c r="T495" s="198"/>
      <c r="U495" s="176">
        <v>16.2</v>
      </c>
      <c r="Y495" s="200">
        <f>(AE495*BU495)/100</f>
        <v>1.3303120336453671</v>
      </c>
      <c r="Z495" s="198"/>
      <c r="AA495" s="200"/>
      <c r="AB495" s="198"/>
      <c r="AC495" s="378">
        <f t="shared" si="7"/>
        <v>6.2401234567901245</v>
      </c>
      <c r="AE495" s="176">
        <f>(M495/U495)*((100-CC495)/(100-9))*100</f>
        <v>6.8572785239451912</v>
      </c>
      <c r="AF495" s="198">
        <v>41822</v>
      </c>
      <c r="AG495" s="176">
        <v>4.2</v>
      </c>
      <c r="AH495" s="196">
        <v>41927</v>
      </c>
      <c r="AI495" s="176">
        <v>120</v>
      </c>
      <c r="AM495" s="176">
        <v>80</v>
      </c>
      <c r="BG495" s="201">
        <v>15.9</v>
      </c>
      <c r="BI495" s="201">
        <v>4.5999999999999996</v>
      </c>
      <c r="BK495" s="201">
        <v>1.3</v>
      </c>
      <c r="BM495" s="201">
        <v>49.3</v>
      </c>
      <c r="BO495" s="201">
        <v>19.899999999999999</v>
      </c>
      <c r="BQ495" s="201">
        <v>11.6</v>
      </c>
      <c r="BS495" s="201">
        <v>47.8</v>
      </c>
      <c r="BU495" s="201">
        <v>19.399999999999999</v>
      </c>
      <c r="BW495" s="201">
        <v>40.700000000000003</v>
      </c>
      <c r="BY495" s="178">
        <v>7.2999999999999972</v>
      </c>
      <c r="CC495" s="201">
        <v>8.1</v>
      </c>
      <c r="CD495" s="198">
        <v>41822</v>
      </c>
      <c r="CI495" s="174" t="s">
        <v>9349</v>
      </c>
      <c r="CL495" s="174">
        <v>9</v>
      </c>
    </row>
    <row r="496" spans="1:90">
      <c r="A496" s="191" t="s">
        <v>7621</v>
      </c>
      <c r="B496" s="192" t="s">
        <v>269</v>
      </c>
      <c r="C496" s="192" t="s">
        <v>8997</v>
      </c>
      <c r="D496" s="192" t="s">
        <v>8178</v>
      </c>
      <c r="E496" s="193">
        <v>255</v>
      </c>
      <c r="F496" s="193">
        <v>3</v>
      </c>
      <c r="I496" s="184"/>
      <c r="K496" s="176">
        <v>9</v>
      </c>
      <c r="M496" s="197">
        <v>2.9</v>
      </c>
      <c r="N496" s="198">
        <v>41822</v>
      </c>
      <c r="O496" s="179"/>
      <c r="S496" s="176">
        <f>(AE496*BS496)/100</f>
        <v>9.4664482431149093</v>
      </c>
      <c r="T496" s="198"/>
      <c r="U496" s="176">
        <v>16.2</v>
      </c>
      <c r="Y496" s="200">
        <f>(AE496*BU496)/100</f>
        <v>3.1615744132410804</v>
      </c>
      <c r="Z496" s="198"/>
      <c r="AA496" s="200"/>
      <c r="AB496" s="198"/>
      <c r="AC496" s="378">
        <f t="shared" si="7"/>
        <v>16.630246913580248</v>
      </c>
      <c r="AE496" s="176">
        <f>(M496/U496)*((100-CC496)/(100-9))*100</f>
        <v>18.274996608329943</v>
      </c>
      <c r="AF496" s="198">
        <v>41822</v>
      </c>
      <c r="AG496" s="176">
        <v>4.5</v>
      </c>
      <c r="AH496" s="196">
        <v>41927</v>
      </c>
      <c r="AI496" s="176">
        <v>150</v>
      </c>
      <c r="AM496" s="176">
        <v>93</v>
      </c>
      <c r="BG496" s="201">
        <v>53</v>
      </c>
      <c r="BI496" s="201">
        <v>4.5</v>
      </c>
      <c r="BK496" s="201">
        <v>0.7</v>
      </c>
      <c r="BM496" s="201">
        <v>21</v>
      </c>
      <c r="BO496" s="201">
        <v>16</v>
      </c>
      <c r="BQ496" s="201">
        <v>8.9</v>
      </c>
      <c r="BS496" s="201">
        <v>51.8</v>
      </c>
      <c r="BU496" s="201">
        <v>17.3</v>
      </c>
      <c r="BW496" s="201">
        <v>62.7</v>
      </c>
      <c r="BY496" s="178">
        <v>6.5</v>
      </c>
      <c r="CC496" s="201">
        <v>7.1</v>
      </c>
      <c r="CD496" s="198">
        <v>41822</v>
      </c>
      <c r="CI496" s="174" t="s">
        <v>9358</v>
      </c>
      <c r="CL496" s="174">
        <v>5</v>
      </c>
    </row>
    <row r="497" spans="1:90">
      <c r="A497" s="191" t="s">
        <v>7748</v>
      </c>
      <c r="B497" s="192" t="s">
        <v>269</v>
      </c>
      <c r="C497" s="192" t="s">
        <v>8997</v>
      </c>
      <c r="D497" s="192" t="s">
        <v>8686</v>
      </c>
      <c r="E497" s="193">
        <v>255</v>
      </c>
      <c r="F497" s="193">
        <v>4</v>
      </c>
      <c r="K497" s="176">
        <v>7</v>
      </c>
      <c r="M497" s="197">
        <v>1.5</v>
      </c>
      <c r="N497" s="198">
        <v>41822</v>
      </c>
      <c r="S497" s="176">
        <f>(AE497*BS497)/100</f>
        <v>4.4745624745624744</v>
      </c>
      <c r="T497" s="198"/>
      <c r="U497" s="176">
        <v>16.2</v>
      </c>
      <c r="Y497" s="200">
        <f>(AE497*BU497)/100</f>
        <v>1.9096459096459097</v>
      </c>
      <c r="Z497" s="198"/>
      <c r="AA497" s="200"/>
      <c r="AB497" s="198"/>
      <c r="AC497" s="378">
        <f t="shared" si="7"/>
        <v>8.518518518518519</v>
      </c>
      <c r="AE497" s="176">
        <f>(M497/U497)*((100-CC497)/(100-9))*100</f>
        <v>9.3610093610093621</v>
      </c>
      <c r="AF497" s="198">
        <v>41822</v>
      </c>
      <c r="AG497" s="176">
        <v>4.3</v>
      </c>
      <c r="AH497" s="196">
        <v>41927</v>
      </c>
      <c r="AI497" s="176">
        <v>90</v>
      </c>
      <c r="AM497" s="176">
        <v>88</v>
      </c>
      <c r="BG497" s="201">
        <v>48.2</v>
      </c>
      <c r="BI497" s="201">
        <v>4.2</v>
      </c>
      <c r="BK497" s="201">
        <v>0.9</v>
      </c>
      <c r="BM497" s="201">
        <v>26</v>
      </c>
      <c r="BO497" s="201">
        <v>14.8</v>
      </c>
      <c r="BQ497" s="201">
        <v>9.9</v>
      </c>
      <c r="BS497" s="201">
        <v>47.8</v>
      </c>
      <c r="BU497" s="201">
        <v>20.399999999999999</v>
      </c>
      <c r="BW497" s="201">
        <v>80</v>
      </c>
      <c r="BY497" s="178">
        <v>7</v>
      </c>
      <c r="CC497" s="201">
        <v>8</v>
      </c>
      <c r="CD497" s="198">
        <v>41822</v>
      </c>
      <c r="CI497" s="174" t="s">
        <v>9351</v>
      </c>
      <c r="CL497" s="174">
        <v>7</v>
      </c>
    </row>
    <row r="498" spans="1:90">
      <c r="A498" s="191" t="s">
        <v>7744</v>
      </c>
      <c r="B498" s="192" t="s">
        <v>269</v>
      </c>
      <c r="C498" s="192" t="s">
        <v>8997</v>
      </c>
      <c r="D498" s="192" t="s">
        <v>8670</v>
      </c>
      <c r="E498" s="193">
        <v>255</v>
      </c>
      <c r="F498" s="193">
        <v>5</v>
      </c>
      <c r="K498" s="176">
        <v>9</v>
      </c>
      <c r="M498" s="197">
        <v>0.9</v>
      </c>
      <c r="N498" s="198">
        <v>41822</v>
      </c>
      <c r="S498" s="176">
        <f>(AE498*BS498)/100</f>
        <v>2.5751282051282054</v>
      </c>
      <c r="T498" s="198"/>
      <c r="U498" s="176">
        <v>16.2</v>
      </c>
      <c r="Y498" s="200">
        <f>(AE498*BU498)/100</f>
        <v>1.1872344322344324</v>
      </c>
      <c r="Z498" s="198"/>
      <c r="AA498" s="200"/>
      <c r="AB498" s="198"/>
      <c r="AC498" s="378">
        <f t="shared" si="7"/>
        <v>5.0722222222222229</v>
      </c>
      <c r="AE498" s="176">
        <f>(M498/U498)*((100-CC498)/(100-9))*100</f>
        <v>5.5738705738705745</v>
      </c>
      <c r="AF498" s="198">
        <v>41822</v>
      </c>
      <c r="AG498" s="176">
        <v>3.9</v>
      </c>
      <c r="AH498" s="196">
        <v>41927</v>
      </c>
      <c r="AI498" s="176">
        <v>110</v>
      </c>
      <c r="AM498" s="176">
        <v>83</v>
      </c>
      <c r="BG498" s="201">
        <v>38.700000000000003</v>
      </c>
      <c r="BI498" s="201">
        <v>4.0999999999999996</v>
      </c>
      <c r="BK498" s="201">
        <v>1.1000000000000001</v>
      </c>
      <c r="BM498" s="201">
        <v>37.4</v>
      </c>
      <c r="BO498" s="201">
        <v>14.7</v>
      </c>
      <c r="BQ498" s="201">
        <v>11.3</v>
      </c>
      <c r="BS498" s="201">
        <v>46.2</v>
      </c>
      <c r="BU498" s="201">
        <v>21.3</v>
      </c>
      <c r="BW498" s="201">
        <v>73.7</v>
      </c>
      <c r="BY498" s="178">
        <v>7.7999999999999972</v>
      </c>
      <c r="CC498" s="201">
        <v>8.6999999999999993</v>
      </c>
      <c r="CD498" s="198">
        <v>41822</v>
      </c>
      <c r="CI498" s="174" t="s">
        <v>9349</v>
      </c>
      <c r="CL498" s="174">
        <v>9</v>
      </c>
    </row>
    <row r="499" spans="1:90">
      <c r="A499" s="191" t="s">
        <v>7628</v>
      </c>
      <c r="B499" s="192" t="s">
        <v>269</v>
      </c>
      <c r="C499" s="192" t="s">
        <v>8997</v>
      </c>
      <c r="D499" s="192" t="s">
        <v>8206</v>
      </c>
      <c r="E499" s="193">
        <v>255</v>
      </c>
      <c r="F499" s="193">
        <v>6</v>
      </c>
      <c r="I499" s="184"/>
      <c r="K499" s="176">
        <v>8</v>
      </c>
      <c r="M499" s="197">
        <v>2.9</v>
      </c>
      <c r="N499" s="198">
        <v>41822</v>
      </c>
      <c r="O499" s="179"/>
      <c r="S499" s="176">
        <f>(AE499*BS499)/100</f>
        <v>8.6775742775742764</v>
      </c>
      <c r="T499" s="198"/>
      <c r="U499" s="176">
        <v>16.2</v>
      </c>
      <c r="Y499" s="200">
        <f>(AE499*BU499)/100</f>
        <v>3.7060473477140139</v>
      </c>
      <c r="Z499" s="198"/>
      <c r="AA499" s="200"/>
      <c r="AB499" s="198"/>
      <c r="AC499" s="378">
        <f t="shared" si="7"/>
        <v>16.451234567901235</v>
      </c>
      <c r="AE499" s="176">
        <f>(M499/U499)*((100-CC499)/(100-9))*100</f>
        <v>18.078279744946411</v>
      </c>
      <c r="AF499" s="198">
        <v>41822</v>
      </c>
      <c r="AG499" s="176">
        <v>5.6</v>
      </c>
      <c r="AH499" s="196">
        <v>41927</v>
      </c>
      <c r="AI499" s="176">
        <v>145</v>
      </c>
      <c r="AM499" s="176">
        <v>89</v>
      </c>
      <c r="BG499" s="201">
        <v>45.6</v>
      </c>
      <c r="BI499" s="201">
        <v>4.0999999999999996</v>
      </c>
      <c r="BK499" s="201">
        <v>1.2</v>
      </c>
      <c r="BM499" s="201">
        <v>37.700000000000003</v>
      </c>
      <c r="BO499" s="201">
        <v>12.4</v>
      </c>
      <c r="BQ499" s="201">
        <v>10.3</v>
      </c>
      <c r="BS499" s="201">
        <v>48</v>
      </c>
      <c r="BU499" s="201">
        <v>20.5</v>
      </c>
      <c r="BW499" s="201">
        <v>75.2</v>
      </c>
      <c r="BY499" s="178">
        <v>7.4000000000000057</v>
      </c>
      <c r="CC499" s="201">
        <v>8.1</v>
      </c>
      <c r="CD499" s="198">
        <v>41822</v>
      </c>
      <c r="CI499" s="174" t="s">
        <v>9347</v>
      </c>
      <c r="CL499" s="174">
        <v>6</v>
      </c>
    </row>
    <row r="500" spans="1:90">
      <c r="A500" s="191" t="s">
        <v>7718</v>
      </c>
      <c r="B500" s="192" t="s">
        <v>271</v>
      </c>
      <c r="C500" s="192" t="s">
        <v>8999</v>
      </c>
      <c r="D500" s="192" t="s">
        <v>8568</v>
      </c>
      <c r="E500" s="193">
        <v>255</v>
      </c>
      <c r="F500" s="193">
        <v>7</v>
      </c>
      <c r="K500" s="176">
        <v>7</v>
      </c>
      <c r="M500" s="197">
        <v>5.75</v>
      </c>
      <c r="N500" s="198">
        <v>41822</v>
      </c>
      <c r="S500" s="176">
        <f>(AE500*BS500)/100</f>
        <v>18.853540903540903</v>
      </c>
      <c r="T500" s="198"/>
      <c r="U500" s="176">
        <v>16.2</v>
      </c>
      <c r="Y500" s="200">
        <f>(AE500*BU500)/100</f>
        <v>5.8510989010989007</v>
      </c>
      <c r="Z500" s="198"/>
      <c r="AA500" s="200"/>
      <c r="AB500" s="198"/>
      <c r="AC500" s="378">
        <f t="shared" si="7"/>
        <v>32.867283950617285</v>
      </c>
      <c r="AE500" s="176">
        <f>(M500/U500)*((100-CC500)/(100-9))*100</f>
        <v>36.117894451227784</v>
      </c>
      <c r="AF500" s="198">
        <v>41822</v>
      </c>
      <c r="AG500" s="176">
        <v>4.4000000000000004</v>
      </c>
      <c r="AH500" s="196">
        <v>41927</v>
      </c>
      <c r="AI500" s="176">
        <v>145</v>
      </c>
      <c r="AM500" s="176">
        <v>78</v>
      </c>
      <c r="BG500" s="201">
        <v>1.7</v>
      </c>
      <c r="BI500" s="201">
        <v>4.5</v>
      </c>
      <c r="BK500" s="201">
        <v>1.5</v>
      </c>
      <c r="BM500" s="201">
        <v>62.6</v>
      </c>
      <c r="BO500" s="201">
        <v>21.5</v>
      </c>
      <c r="BQ500" s="201">
        <v>9.1</v>
      </c>
      <c r="BS500" s="201">
        <v>52.2</v>
      </c>
      <c r="BU500" s="201">
        <v>16.2</v>
      </c>
      <c r="BW500" s="201">
        <v>11.2</v>
      </c>
      <c r="BY500" s="178">
        <v>6.4000000000000057</v>
      </c>
      <c r="CC500" s="201">
        <v>7.4</v>
      </c>
      <c r="CD500" s="198">
        <v>41822</v>
      </c>
      <c r="CI500" s="174" t="s">
        <v>9362</v>
      </c>
      <c r="CL500" s="174">
        <v>1</v>
      </c>
    </row>
    <row r="501" spans="1:90">
      <c r="A501" s="191" t="s">
        <v>7700</v>
      </c>
      <c r="B501" s="192" t="s">
        <v>271</v>
      </c>
      <c r="C501" s="192" t="s">
        <v>8999</v>
      </c>
      <c r="D501" s="192" t="s">
        <v>8496</v>
      </c>
      <c r="E501" s="193">
        <v>255</v>
      </c>
      <c r="F501" s="193">
        <v>8</v>
      </c>
      <c r="K501" s="176">
        <v>7</v>
      </c>
      <c r="M501" s="197">
        <v>5.25</v>
      </c>
      <c r="N501" s="198">
        <v>41822</v>
      </c>
      <c r="S501" s="176">
        <f>(AE501*BS501)/100</f>
        <v>15.909259259259256</v>
      </c>
      <c r="T501" s="198"/>
      <c r="U501" s="176">
        <v>16.2</v>
      </c>
      <c r="Y501" s="200">
        <f>(AE501*BU501)/100</f>
        <v>6.0152777777777775</v>
      </c>
      <c r="Z501" s="198"/>
      <c r="AA501" s="200"/>
      <c r="AB501" s="198"/>
      <c r="AC501" s="378">
        <f t="shared" si="7"/>
        <v>29.912037037037035</v>
      </c>
      <c r="AE501" s="176">
        <f>(M501/U501)*((100-CC501)/(100-9))*100</f>
        <v>32.870370370370367</v>
      </c>
      <c r="AF501" s="198">
        <v>41822</v>
      </c>
      <c r="AG501" s="176">
        <v>4.8</v>
      </c>
      <c r="AH501" s="196">
        <v>41927</v>
      </c>
      <c r="AI501" s="176">
        <v>145</v>
      </c>
      <c r="AM501" s="176">
        <v>87</v>
      </c>
      <c r="BG501" s="201">
        <v>0</v>
      </c>
      <c r="BI501" s="201">
        <v>4.5</v>
      </c>
      <c r="BK501" s="201">
        <v>1.7</v>
      </c>
      <c r="BM501" s="201">
        <v>67.5</v>
      </c>
      <c r="BO501" s="201">
        <v>19.100000000000001</v>
      </c>
      <c r="BQ501" s="201">
        <v>6.9</v>
      </c>
      <c r="BS501" s="201">
        <v>48.4</v>
      </c>
      <c r="BU501" s="201">
        <v>18.3</v>
      </c>
      <c r="BW501" s="201">
        <v>12.7</v>
      </c>
      <c r="BY501" s="178">
        <v>6.7000000000000028</v>
      </c>
      <c r="CC501" s="201">
        <v>7.7</v>
      </c>
      <c r="CD501" s="198">
        <v>41822</v>
      </c>
      <c r="CI501" s="174" t="s">
        <v>9374</v>
      </c>
      <c r="CL501" s="174">
        <v>1</v>
      </c>
    </row>
    <row r="502" spans="1:90">
      <c r="A502" s="191" t="s">
        <v>7780</v>
      </c>
      <c r="B502" s="192" t="s">
        <v>271</v>
      </c>
      <c r="C502" s="192" t="s">
        <v>8999</v>
      </c>
      <c r="D502" s="192" t="s">
        <v>8816</v>
      </c>
      <c r="E502" s="193">
        <v>255</v>
      </c>
      <c r="F502" s="193">
        <v>9</v>
      </c>
      <c r="K502" s="176">
        <v>6</v>
      </c>
      <c r="M502" s="197">
        <v>6.75</v>
      </c>
      <c r="N502" s="198">
        <v>41822</v>
      </c>
      <c r="S502" s="176">
        <f>(AE502*BS502)/100</f>
        <v>21.426785714285714</v>
      </c>
      <c r="T502" s="198"/>
      <c r="U502" s="176">
        <v>16.2</v>
      </c>
      <c r="Y502" s="200">
        <f>(AE502*BU502)/100</f>
        <v>6.9732142857142856</v>
      </c>
      <c r="Z502" s="198"/>
      <c r="AA502" s="200"/>
      <c r="AB502" s="198"/>
      <c r="AC502" s="378">
        <f t="shared" si="7"/>
        <v>38.458333333333336</v>
      </c>
      <c r="AE502" s="176">
        <f>(M502/U502)*((100-CC502)/(100-9))*100</f>
        <v>42.261904761904759</v>
      </c>
      <c r="AF502" s="198">
        <v>41822</v>
      </c>
      <c r="AG502" s="176">
        <v>5.0999999999999996</v>
      </c>
      <c r="AH502" s="196">
        <v>41927</v>
      </c>
      <c r="AI502" s="176">
        <v>140</v>
      </c>
      <c r="AM502" s="176">
        <v>86</v>
      </c>
      <c r="BG502" s="201">
        <v>0</v>
      </c>
      <c r="BI502" s="201">
        <v>4.8</v>
      </c>
      <c r="BK502" s="201">
        <v>1.5</v>
      </c>
      <c r="BM502" s="201">
        <v>62.4</v>
      </c>
      <c r="BO502" s="201">
        <v>21.3</v>
      </c>
      <c r="BQ502" s="201">
        <v>9.1999999999999993</v>
      </c>
      <c r="BS502" s="201">
        <v>50.7</v>
      </c>
      <c r="BU502" s="201">
        <v>16.5</v>
      </c>
      <c r="BW502" s="201">
        <v>14.7</v>
      </c>
      <c r="BY502" s="178">
        <v>6.5</v>
      </c>
      <c r="CC502" s="201">
        <v>7.7</v>
      </c>
      <c r="CD502" s="198">
        <v>41822</v>
      </c>
      <c r="CI502" s="174" t="s">
        <v>9358</v>
      </c>
      <c r="CL502" s="174">
        <v>1</v>
      </c>
    </row>
    <row r="503" spans="1:90">
      <c r="A503" s="191" t="s">
        <v>7671</v>
      </c>
      <c r="B503" s="192" t="s">
        <v>271</v>
      </c>
      <c r="C503" s="192" t="s">
        <v>8999</v>
      </c>
      <c r="D503" s="192" t="s">
        <v>8380</v>
      </c>
      <c r="E503" s="193">
        <v>255</v>
      </c>
      <c r="F503" s="193">
        <v>10</v>
      </c>
      <c r="K503" s="176">
        <v>7</v>
      </c>
      <c r="M503" s="197">
        <v>3.3</v>
      </c>
      <c r="N503" s="198">
        <v>41822</v>
      </c>
      <c r="S503" s="176">
        <f>(AE503*BS503)/100</f>
        <v>9.6171428571428557</v>
      </c>
      <c r="T503" s="198"/>
      <c r="U503" s="176">
        <v>16.2</v>
      </c>
      <c r="Y503" s="200">
        <f>(AE503*BU503)/100</f>
        <v>4.0893406593406585</v>
      </c>
      <c r="Z503" s="198"/>
      <c r="AA503" s="200"/>
      <c r="AB503" s="198"/>
      <c r="AC503" s="378">
        <f t="shared" si="7"/>
        <v>18.7</v>
      </c>
      <c r="AE503" s="176">
        <f>(M503/U503)*((100-CC503)/(100-9))*100</f>
        <v>20.549450549450547</v>
      </c>
      <c r="AF503" s="198">
        <v>41822</v>
      </c>
      <c r="AG503" s="176">
        <v>4.5</v>
      </c>
      <c r="AH503" s="196">
        <v>41927</v>
      </c>
      <c r="AI503" s="176">
        <v>140</v>
      </c>
      <c r="AM503" s="176">
        <v>87</v>
      </c>
      <c r="BG503" s="201">
        <v>0.2</v>
      </c>
      <c r="BI503" s="201">
        <v>4.5999999999999996</v>
      </c>
      <c r="BK503" s="201">
        <v>1.6</v>
      </c>
      <c r="BM503" s="201">
        <v>62.4</v>
      </c>
      <c r="BO503" s="201">
        <v>20.399999999999999</v>
      </c>
      <c r="BQ503" s="201">
        <v>8.4</v>
      </c>
      <c r="BS503" s="201">
        <v>46.8</v>
      </c>
      <c r="BU503" s="201">
        <v>19.899999999999999</v>
      </c>
      <c r="BW503" s="201">
        <v>8.1</v>
      </c>
      <c r="BY503" s="178">
        <v>7</v>
      </c>
      <c r="CC503" s="201">
        <v>8.1999999999999993</v>
      </c>
      <c r="CD503" s="198">
        <v>41822</v>
      </c>
      <c r="CI503" s="174" t="s">
        <v>9399</v>
      </c>
      <c r="CL503" s="174">
        <v>1</v>
      </c>
    </row>
    <row r="504" spans="1:90">
      <c r="A504" s="191" t="s">
        <v>7782</v>
      </c>
      <c r="B504" s="192" t="s">
        <v>271</v>
      </c>
      <c r="C504" s="192" t="s">
        <v>8999</v>
      </c>
      <c r="D504" s="192" t="s">
        <v>8824</v>
      </c>
      <c r="E504" s="193">
        <v>255</v>
      </c>
      <c r="F504" s="193">
        <v>11</v>
      </c>
      <c r="K504" s="176">
        <v>8</v>
      </c>
      <c r="M504" s="197">
        <v>6.35</v>
      </c>
      <c r="N504" s="198">
        <v>41822</v>
      </c>
      <c r="S504" s="176">
        <f>(AE504*BS504)/100</f>
        <v>19.915016280016282</v>
      </c>
      <c r="T504" s="198"/>
      <c r="U504" s="176">
        <v>16.2</v>
      </c>
      <c r="Y504" s="200">
        <f>(AE504*BU504)/100</f>
        <v>6.8234717134717133</v>
      </c>
      <c r="Z504" s="198"/>
      <c r="AA504" s="200"/>
      <c r="AB504" s="198"/>
      <c r="AC504" s="378">
        <f t="shared" si="7"/>
        <v>36.100925925925928</v>
      </c>
      <c r="AE504" s="176">
        <f>(M504/U504)*((100-CC504)/(100-9))*100</f>
        <v>39.671347171347172</v>
      </c>
      <c r="AF504" s="198">
        <v>41822</v>
      </c>
      <c r="AG504" s="176">
        <v>4.5</v>
      </c>
      <c r="AH504" s="196">
        <v>41927</v>
      </c>
      <c r="AI504" s="176">
        <v>170</v>
      </c>
      <c r="AM504" s="176">
        <v>86</v>
      </c>
      <c r="BG504" s="201">
        <v>2.4</v>
      </c>
      <c r="BI504" s="201">
        <v>4.5999999999999996</v>
      </c>
      <c r="BK504" s="201">
        <v>1.7</v>
      </c>
      <c r="BM504" s="201">
        <v>65.2</v>
      </c>
      <c r="BO504" s="201">
        <v>20.100000000000001</v>
      </c>
      <c r="BQ504" s="201">
        <v>7.3</v>
      </c>
      <c r="BS504" s="201">
        <v>50.2</v>
      </c>
      <c r="BU504" s="201">
        <v>17.2</v>
      </c>
      <c r="BW504" s="201">
        <v>12</v>
      </c>
      <c r="BY504" s="178">
        <v>7.0999999999999943</v>
      </c>
      <c r="CC504" s="201">
        <v>7.9</v>
      </c>
      <c r="CD504" s="198">
        <v>41822</v>
      </c>
      <c r="CI504" s="174" t="s">
        <v>9356</v>
      </c>
      <c r="CL504" s="174">
        <v>1</v>
      </c>
    </row>
    <row r="505" spans="1:90">
      <c r="A505" s="191" t="s">
        <v>7680</v>
      </c>
      <c r="B505" s="192" t="s">
        <v>271</v>
      </c>
      <c r="C505" s="192" t="s">
        <v>8999</v>
      </c>
      <c r="D505" s="192" t="s">
        <v>8416</v>
      </c>
      <c r="E505" s="193">
        <v>255</v>
      </c>
      <c r="F505" s="193">
        <v>12</v>
      </c>
      <c r="K505" s="176">
        <v>7</v>
      </c>
      <c r="M505" s="197">
        <v>4.75</v>
      </c>
      <c r="N505" s="198">
        <v>41822</v>
      </c>
      <c r="S505" s="176">
        <f>(AE505*BS505)/100</f>
        <v>14.605815018315019</v>
      </c>
      <c r="T505" s="198"/>
      <c r="U505" s="176">
        <v>16.2</v>
      </c>
      <c r="Y505" s="200">
        <f>(AE505*BU505)/100</f>
        <v>4.9582112332112338</v>
      </c>
      <c r="Z505" s="198"/>
      <c r="AA505" s="200"/>
      <c r="AB505" s="198"/>
      <c r="AC505" s="378">
        <f t="shared" si="7"/>
        <v>27.180555555555557</v>
      </c>
      <c r="AE505" s="176">
        <f>(M505/U505)*((100-CC505)/(100-9))*100</f>
        <v>29.868742368742367</v>
      </c>
      <c r="AF505" s="198">
        <v>41822</v>
      </c>
      <c r="AG505" s="176">
        <v>4.2</v>
      </c>
      <c r="AH505" s="196">
        <v>41927</v>
      </c>
      <c r="AI505" s="176">
        <v>135</v>
      </c>
      <c r="AM505" s="176">
        <v>86</v>
      </c>
      <c r="BG505" s="201">
        <v>0</v>
      </c>
      <c r="BI505" s="201">
        <v>5</v>
      </c>
      <c r="BK505" s="201">
        <v>1.6</v>
      </c>
      <c r="BM505" s="201">
        <v>60.3</v>
      </c>
      <c r="BO505" s="201">
        <v>22.3</v>
      </c>
      <c r="BQ505" s="201">
        <v>9.1</v>
      </c>
      <c r="BS505" s="201">
        <v>48.9</v>
      </c>
      <c r="BU505" s="201">
        <v>16.600000000000001</v>
      </c>
      <c r="BW505" s="201">
        <v>9.1</v>
      </c>
      <c r="BY505" s="178">
        <v>6.2999999999999972</v>
      </c>
      <c r="CC505" s="201">
        <v>7.3</v>
      </c>
      <c r="CD505" s="198">
        <v>41822</v>
      </c>
      <c r="CI505" s="174" t="s">
        <v>9350</v>
      </c>
      <c r="CL505" s="174">
        <v>1</v>
      </c>
    </row>
    <row r="506" spans="1:90">
      <c r="A506" s="191" t="s">
        <v>7681</v>
      </c>
      <c r="B506" s="192" t="s">
        <v>269</v>
      </c>
      <c r="C506" s="192" t="s">
        <v>8997</v>
      </c>
      <c r="D506" s="192" t="s">
        <v>8418</v>
      </c>
      <c r="E506" s="193">
        <v>256</v>
      </c>
      <c r="F506" s="193">
        <v>1</v>
      </c>
      <c r="K506" s="176">
        <v>7</v>
      </c>
      <c r="M506" s="197">
        <v>4.4000000000000004</v>
      </c>
      <c r="N506" s="198">
        <v>41822</v>
      </c>
      <c r="S506" s="176">
        <f>(AE506*BS506)/100</f>
        <v>13.403076923076929</v>
      </c>
      <c r="T506" s="198"/>
      <c r="U506" s="176">
        <v>16.2</v>
      </c>
      <c r="Y506" s="200">
        <f>(AE506*BU506)/100</f>
        <v>5.2123076923076939</v>
      </c>
      <c r="Z506" s="198"/>
      <c r="AA506" s="200"/>
      <c r="AB506" s="198"/>
      <c r="AC506" s="378">
        <f t="shared" si="7"/>
        <v>25.096296296296302</v>
      </c>
      <c r="AE506" s="176">
        <f>(M506/U506)*((100-CC506)/(100-9))*100</f>
        <v>27.578347578347589</v>
      </c>
      <c r="AF506" s="198">
        <v>41822</v>
      </c>
      <c r="AG506" s="176">
        <v>4.5</v>
      </c>
      <c r="AH506" s="196">
        <v>41927</v>
      </c>
      <c r="AI506" s="176">
        <v>145</v>
      </c>
      <c r="AM506" s="176">
        <v>90</v>
      </c>
      <c r="BG506" s="201">
        <v>0</v>
      </c>
      <c r="BI506" s="201">
        <v>4.4000000000000004</v>
      </c>
      <c r="BK506" s="201">
        <v>1.7</v>
      </c>
      <c r="BM506" s="201">
        <v>65</v>
      </c>
      <c r="BO506" s="201">
        <v>18.2</v>
      </c>
      <c r="BQ506" s="201">
        <v>8.8000000000000007</v>
      </c>
      <c r="BS506" s="201">
        <v>48.6</v>
      </c>
      <c r="BU506" s="201">
        <v>18.899999999999999</v>
      </c>
      <c r="BW506" s="201">
        <v>17.899999999999999</v>
      </c>
      <c r="BY506" s="178">
        <v>7.0999999999999943</v>
      </c>
      <c r="CC506" s="201">
        <v>7.6</v>
      </c>
      <c r="CD506" s="198">
        <v>41822</v>
      </c>
      <c r="CI506" s="174" t="s">
        <v>9339</v>
      </c>
      <c r="CL506" s="174">
        <v>1</v>
      </c>
    </row>
    <row r="507" spans="1:90">
      <c r="A507" s="191" t="s">
        <v>7678</v>
      </c>
      <c r="B507" s="192" t="s">
        <v>269</v>
      </c>
      <c r="C507" s="192" t="s">
        <v>8997</v>
      </c>
      <c r="D507" s="192" t="s">
        <v>8406</v>
      </c>
      <c r="E507" s="193">
        <v>256</v>
      </c>
      <c r="F507" s="193">
        <v>2</v>
      </c>
      <c r="K507" s="176">
        <v>6</v>
      </c>
      <c r="M507" s="197">
        <v>2.6</v>
      </c>
      <c r="N507" s="198">
        <v>41822</v>
      </c>
      <c r="S507" s="176">
        <f>(AE507*BS507)/100</f>
        <v>8.0716402116402097</v>
      </c>
      <c r="T507" s="198"/>
      <c r="U507" s="176">
        <v>16.2</v>
      </c>
      <c r="Y507" s="200">
        <f>(AE507*BU507)/100</f>
        <v>2.8688359788359787</v>
      </c>
      <c r="Z507" s="198"/>
      <c r="AA507" s="200"/>
      <c r="AB507" s="198"/>
      <c r="AC507" s="378">
        <f t="shared" si="7"/>
        <v>14.749382716049386</v>
      </c>
      <c r="AE507" s="176">
        <f>(M507/U507)*((100-CC507)/(100-9))*100</f>
        <v>16.208112874779541</v>
      </c>
      <c r="AF507" s="198">
        <v>41822</v>
      </c>
      <c r="AG507" s="176">
        <v>5.4</v>
      </c>
      <c r="AH507" s="196">
        <v>41927</v>
      </c>
      <c r="AI507" s="176">
        <v>115</v>
      </c>
      <c r="AM507" s="176">
        <v>85</v>
      </c>
      <c r="BG507" s="201">
        <v>1.7</v>
      </c>
      <c r="BI507" s="201">
        <v>4.4000000000000004</v>
      </c>
      <c r="BK507" s="201">
        <v>1.6</v>
      </c>
      <c r="BM507" s="201">
        <v>61</v>
      </c>
      <c r="BO507" s="201">
        <v>18.7</v>
      </c>
      <c r="BQ507" s="201">
        <v>10.9</v>
      </c>
      <c r="BS507" s="201">
        <v>49.8</v>
      </c>
      <c r="BU507" s="201">
        <v>17.7</v>
      </c>
      <c r="BW507" s="201">
        <v>14.7</v>
      </c>
      <c r="BY507" s="178">
        <v>7.5</v>
      </c>
      <c r="CC507" s="201">
        <v>8.1</v>
      </c>
      <c r="CD507" s="198">
        <v>41822</v>
      </c>
      <c r="CI507" s="174" t="s">
        <v>9362</v>
      </c>
      <c r="CL507" s="174">
        <v>4</v>
      </c>
    </row>
    <row r="508" spans="1:90">
      <c r="A508" s="191" t="s">
        <v>7630</v>
      </c>
      <c r="B508" s="192" t="s">
        <v>269</v>
      </c>
      <c r="C508" s="192" t="s">
        <v>8997</v>
      </c>
      <c r="D508" s="192" t="s">
        <v>8214</v>
      </c>
      <c r="E508" s="193">
        <v>256</v>
      </c>
      <c r="F508" s="193">
        <v>3</v>
      </c>
      <c r="I508" s="184"/>
      <c r="K508" s="176">
        <v>8</v>
      </c>
      <c r="M508" s="197">
        <v>3.15</v>
      </c>
      <c r="N508" s="198">
        <v>41822</v>
      </c>
      <c r="O508" s="179"/>
      <c r="S508" s="176">
        <f>(AE508*BS508)/100</f>
        <v>9.644166666666667</v>
      </c>
      <c r="T508" s="198"/>
      <c r="U508" s="176">
        <v>16.2</v>
      </c>
      <c r="Y508" s="200">
        <f>(AE508*BU508)/100</f>
        <v>3.4119444444444444</v>
      </c>
      <c r="Z508" s="198"/>
      <c r="AA508" s="200"/>
      <c r="AB508" s="198"/>
      <c r="AC508" s="378">
        <f t="shared" si="7"/>
        <v>17.947222222222223</v>
      </c>
      <c r="AE508" s="176">
        <f>(M508/U508)*((100-CC508)/(100-9))*100</f>
        <v>19.722222222222221</v>
      </c>
      <c r="AF508" s="198">
        <v>41822</v>
      </c>
      <c r="AG508" s="176">
        <v>5.3</v>
      </c>
      <c r="AH508" s="196">
        <v>41927</v>
      </c>
      <c r="AI508" s="176">
        <v>130</v>
      </c>
      <c r="AM508" s="176">
        <v>79</v>
      </c>
      <c r="BG508" s="201">
        <v>35.200000000000003</v>
      </c>
      <c r="BI508" s="201">
        <v>4.5999999999999996</v>
      </c>
      <c r="BK508" s="201">
        <v>1.1000000000000001</v>
      </c>
      <c r="BM508" s="201">
        <v>38.799999999999997</v>
      </c>
      <c r="BO508" s="201">
        <v>16.399999999999999</v>
      </c>
      <c r="BQ508" s="201">
        <v>8.4</v>
      </c>
      <c r="BS508" s="201">
        <v>48.9</v>
      </c>
      <c r="BU508" s="201">
        <v>17.3</v>
      </c>
      <c r="BW508" s="201">
        <v>68.5</v>
      </c>
      <c r="BY508" s="178">
        <v>7.0999999999999943</v>
      </c>
      <c r="CC508" s="201">
        <v>7.7</v>
      </c>
      <c r="CD508" s="198">
        <v>41822</v>
      </c>
      <c r="CI508" s="174" t="s">
        <v>9355</v>
      </c>
      <c r="CL508" s="174">
        <v>5</v>
      </c>
    </row>
    <row r="509" spans="1:90">
      <c r="A509" s="191" t="s">
        <v>7673</v>
      </c>
      <c r="B509" s="192" t="s">
        <v>269</v>
      </c>
      <c r="C509" s="192" t="s">
        <v>8997</v>
      </c>
      <c r="D509" s="192" t="s">
        <v>8386</v>
      </c>
      <c r="E509" s="193">
        <v>256</v>
      </c>
      <c r="F509" s="193">
        <v>4</v>
      </c>
      <c r="K509" s="176">
        <v>7</v>
      </c>
      <c r="M509" s="197">
        <v>2.4500000000000002</v>
      </c>
      <c r="N509" s="198">
        <v>41822</v>
      </c>
      <c r="S509" s="176">
        <f>(AE509*BS509)/100</f>
        <v>7.2455982905982914</v>
      </c>
      <c r="T509" s="198"/>
      <c r="U509" s="176">
        <v>16.2</v>
      </c>
      <c r="Y509" s="200">
        <f>(AE509*BU509)/100</f>
        <v>2.9316571699905034</v>
      </c>
      <c r="Z509" s="198"/>
      <c r="AA509" s="200"/>
      <c r="AB509" s="198"/>
      <c r="AC509" s="378">
        <f t="shared" si="7"/>
        <v>13.822839506172841</v>
      </c>
      <c r="AE509" s="176">
        <f>(M509/U509)*((100-CC509)/(100-9))*100</f>
        <v>15.189933523266857</v>
      </c>
      <c r="AF509" s="198">
        <v>41822</v>
      </c>
      <c r="AG509" s="176">
        <v>5.3</v>
      </c>
      <c r="AH509" s="196">
        <v>41927</v>
      </c>
      <c r="AI509" s="176">
        <v>115</v>
      </c>
      <c r="AM509" s="176">
        <v>74</v>
      </c>
      <c r="BG509" s="201">
        <v>5.8</v>
      </c>
      <c r="BI509" s="201">
        <v>4.4000000000000004</v>
      </c>
      <c r="BK509" s="201">
        <v>1.6</v>
      </c>
      <c r="BM509" s="201">
        <v>57.8</v>
      </c>
      <c r="BO509" s="201">
        <v>19.399999999999999</v>
      </c>
      <c r="BQ509" s="201">
        <v>7.1</v>
      </c>
      <c r="BS509" s="201">
        <v>47.7</v>
      </c>
      <c r="BU509" s="201">
        <v>19.3</v>
      </c>
      <c r="BW509" s="201">
        <v>22.3</v>
      </c>
      <c r="BY509" s="178">
        <v>7.2999999999999972</v>
      </c>
      <c r="CC509" s="201">
        <v>8.6</v>
      </c>
      <c r="CD509" s="198">
        <v>41822</v>
      </c>
      <c r="CI509" s="174" t="s">
        <v>9349</v>
      </c>
      <c r="CL509" s="174">
        <v>6</v>
      </c>
    </row>
    <row r="510" spans="1:90">
      <c r="A510" s="191" t="s">
        <v>7674</v>
      </c>
      <c r="B510" s="192" t="s">
        <v>269</v>
      </c>
      <c r="C510" s="192" t="s">
        <v>8997</v>
      </c>
      <c r="D510" s="192" t="s">
        <v>8390</v>
      </c>
      <c r="E510" s="193">
        <v>256</v>
      </c>
      <c r="F510" s="193">
        <v>5</v>
      </c>
      <c r="K510" s="176">
        <v>8</v>
      </c>
      <c r="M510" s="197">
        <v>5.05</v>
      </c>
      <c r="N510" s="198">
        <v>41822</v>
      </c>
      <c r="S510" s="176">
        <f>(AE510*BS510)/100</f>
        <v>16.590048161714826</v>
      </c>
      <c r="T510" s="198"/>
      <c r="U510" s="176">
        <v>16.2</v>
      </c>
      <c r="Y510" s="200">
        <f>(AE510*BU510)/100</f>
        <v>5.0753493420160085</v>
      </c>
      <c r="Z510" s="198"/>
      <c r="AA510" s="200"/>
      <c r="AB510" s="198"/>
      <c r="AC510" s="378">
        <f t="shared" si="7"/>
        <v>28.866049382716046</v>
      </c>
      <c r="AE510" s="176">
        <f>(M510/U510)*((100-CC510)/(100-9))*100</f>
        <v>31.720933387600052</v>
      </c>
      <c r="AF510" s="198">
        <v>41822</v>
      </c>
      <c r="AG510" s="176">
        <v>5.3</v>
      </c>
      <c r="AH510" s="196">
        <v>41927</v>
      </c>
      <c r="AI510" s="176">
        <v>145</v>
      </c>
      <c r="AM510" s="176">
        <v>83</v>
      </c>
      <c r="BG510" s="201">
        <v>0</v>
      </c>
      <c r="BI510" s="201">
        <v>4.5999999999999996</v>
      </c>
      <c r="BK510" s="201">
        <v>1.6</v>
      </c>
      <c r="BM510" s="201">
        <v>61.7</v>
      </c>
      <c r="BO510" s="201">
        <v>20.7</v>
      </c>
      <c r="BQ510" s="201">
        <v>8</v>
      </c>
      <c r="BS510" s="201">
        <v>52.3</v>
      </c>
      <c r="BU510" s="201">
        <v>16</v>
      </c>
      <c r="BW510" s="201">
        <v>14.9</v>
      </c>
      <c r="BY510" s="178">
        <v>6.7999999999999972</v>
      </c>
      <c r="CC510" s="201">
        <v>7.4</v>
      </c>
      <c r="CD510" s="198">
        <v>41822</v>
      </c>
      <c r="CI510" s="174" t="s">
        <v>9347</v>
      </c>
      <c r="CL510" s="174">
        <v>1</v>
      </c>
    </row>
    <row r="511" spans="1:90">
      <c r="A511" s="191" t="s">
        <v>7759</v>
      </c>
      <c r="B511" s="192" t="s">
        <v>269</v>
      </c>
      <c r="C511" s="192" t="s">
        <v>8997</v>
      </c>
      <c r="D511" s="192" t="s">
        <v>8730</v>
      </c>
      <c r="E511" s="193">
        <v>256</v>
      </c>
      <c r="F511" s="193">
        <v>6</v>
      </c>
      <c r="K511" s="176">
        <v>8</v>
      </c>
      <c r="M511" s="197">
        <v>2.2000000000000002</v>
      </c>
      <c r="N511" s="198">
        <v>41822</v>
      </c>
      <c r="S511" s="176">
        <f>(AE511*BS511)/100</f>
        <v>6.8172242572242574</v>
      </c>
      <c r="T511" s="198"/>
      <c r="U511" s="176">
        <v>16.2</v>
      </c>
      <c r="Y511" s="200">
        <f>(AE511*BU511)/100</f>
        <v>2.4465038665038668</v>
      </c>
      <c r="Z511" s="198"/>
      <c r="AA511" s="200"/>
      <c r="AB511" s="198"/>
      <c r="AC511" s="378">
        <f t="shared" si="7"/>
        <v>12.507407407407408</v>
      </c>
      <c r="AE511" s="176">
        <f>(M511/U511)*((100-CC511)/(100-9))*100</f>
        <v>13.744403744403746</v>
      </c>
      <c r="AF511" s="198">
        <v>41822</v>
      </c>
      <c r="AG511" s="176">
        <v>4.4000000000000004</v>
      </c>
      <c r="AH511" s="196">
        <v>41927</v>
      </c>
      <c r="AI511" s="176">
        <v>120</v>
      </c>
      <c r="AM511" s="176">
        <v>85</v>
      </c>
      <c r="BG511" s="201">
        <v>0</v>
      </c>
      <c r="BI511" s="201">
        <v>4.8</v>
      </c>
      <c r="BK511" s="201">
        <v>1.5</v>
      </c>
      <c r="BM511" s="201">
        <v>61.4</v>
      </c>
      <c r="BO511" s="201">
        <v>20.6</v>
      </c>
      <c r="BQ511" s="201">
        <v>10</v>
      </c>
      <c r="BS511" s="201">
        <v>49.6</v>
      </c>
      <c r="BU511" s="201">
        <v>17.8</v>
      </c>
      <c r="BW511" s="201">
        <v>8.4</v>
      </c>
      <c r="BY511" s="178">
        <v>6.7999999999999972</v>
      </c>
      <c r="CC511" s="201">
        <v>7.9</v>
      </c>
      <c r="CD511" s="198">
        <v>41822</v>
      </c>
      <c r="CI511" s="174" t="s">
        <v>9371</v>
      </c>
      <c r="CL511" s="174">
        <v>3</v>
      </c>
    </row>
    <row r="512" spans="1:90">
      <c r="A512" s="191" t="s">
        <v>7675</v>
      </c>
      <c r="B512" s="192" t="s">
        <v>271</v>
      </c>
      <c r="C512" s="192" t="s">
        <v>8999</v>
      </c>
      <c r="D512" s="192" t="s">
        <v>8396</v>
      </c>
      <c r="E512" s="193">
        <v>256</v>
      </c>
      <c r="F512" s="193">
        <v>7</v>
      </c>
      <c r="K512" s="176">
        <v>9</v>
      </c>
      <c r="M512" s="197">
        <v>6.4</v>
      </c>
      <c r="N512" s="198">
        <v>41822</v>
      </c>
      <c r="S512" s="176">
        <f>(AE512*BS512)/100</f>
        <v>20.143806810473478</v>
      </c>
      <c r="T512" s="198"/>
      <c r="U512" s="176">
        <v>16.2</v>
      </c>
      <c r="Y512" s="200">
        <f>(AE512*BU512)/100</f>
        <v>7.4129209062542394</v>
      </c>
      <c r="Z512" s="198"/>
      <c r="AA512" s="200"/>
      <c r="AB512" s="198"/>
      <c r="AC512" s="378">
        <f t="shared" si="7"/>
        <v>36.661728395061729</v>
      </c>
      <c r="AE512" s="176">
        <f>(M512/U512)*((100-CC512)/(100-9))*100</f>
        <v>40.287613620946956</v>
      </c>
      <c r="AF512" s="198">
        <v>41822</v>
      </c>
      <c r="AG512" s="176">
        <v>5.0999999999999996</v>
      </c>
      <c r="AH512" s="196">
        <v>41927</v>
      </c>
      <c r="AI512" s="176">
        <v>135</v>
      </c>
      <c r="AM512" s="176">
        <v>78</v>
      </c>
      <c r="BG512" s="201">
        <v>0</v>
      </c>
      <c r="BI512" s="201">
        <v>4.3</v>
      </c>
      <c r="BK512" s="201">
        <v>1.6</v>
      </c>
      <c r="BM512" s="201">
        <v>63.5</v>
      </c>
      <c r="BO512" s="201">
        <v>19</v>
      </c>
      <c r="BQ512" s="201">
        <v>7.7</v>
      </c>
      <c r="BS512" s="201">
        <v>50</v>
      </c>
      <c r="BU512" s="201">
        <v>18.399999999999999</v>
      </c>
      <c r="BW512" s="201">
        <v>14.6</v>
      </c>
      <c r="BY512" s="178">
        <v>6.7999999999999972</v>
      </c>
      <c r="CC512" s="201">
        <v>7.2</v>
      </c>
      <c r="CD512" s="198">
        <v>41822</v>
      </c>
      <c r="CI512" s="174" t="s">
        <v>9347</v>
      </c>
      <c r="CL512" s="174">
        <v>2</v>
      </c>
    </row>
    <row r="513" spans="1:91">
      <c r="A513" s="191" t="s">
        <v>7771</v>
      </c>
      <c r="B513" s="192" t="s">
        <v>271</v>
      </c>
      <c r="C513" s="192" t="s">
        <v>8999</v>
      </c>
      <c r="D513" s="192" t="s">
        <v>8780</v>
      </c>
      <c r="E513" s="193">
        <v>256</v>
      </c>
      <c r="F513" s="193">
        <v>8</v>
      </c>
      <c r="K513" s="176">
        <v>8</v>
      </c>
      <c r="M513" s="197">
        <v>6.15</v>
      </c>
      <c r="N513" s="198">
        <v>41822</v>
      </c>
      <c r="S513" s="176">
        <f>(AE513*BS513)/100</f>
        <v>19.680250305250308</v>
      </c>
      <c r="T513" s="198"/>
      <c r="U513" s="176">
        <v>16.2</v>
      </c>
      <c r="Y513" s="200">
        <f>(AE513*BU513)/100</f>
        <v>6.2513736263736268</v>
      </c>
      <c r="Z513" s="198"/>
      <c r="AA513" s="200"/>
      <c r="AB513" s="198"/>
      <c r="AC513" s="378">
        <f t="shared" si="7"/>
        <v>35.11574074074074</v>
      </c>
      <c r="AE513" s="176">
        <f>(M513/U513)*((100-CC513)/(100-9))*100</f>
        <v>38.588726088726091</v>
      </c>
      <c r="AF513" s="198">
        <v>41822</v>
      </c>
      <c r="AG513" s="176">
        <v>4.5999999999999996</v>
      </c>
      <c r="AH513" s="196">
        <v>41927</v>
      </c>
      <c r="AI513" s="176">
        <v>140</v>
      </c>
      <c r="AM513" s="176">
        <v>88</v>
      </c>
      <c r="BG513" s="201">
        <v>0</v>
      </c>
      <c r="BI513" s="201">
        <v>5</v>
      </c>
      <c r="BK513" s="201">
        <v>1.7</v>
      </c>
      <c r="BM513" s="201">
        <v>65.400000000000006</v>
      </c>
      <c r="BO513" s="201">
        <v>19.399999999999999</v>
      </c>
      <c r="BQ513" s="201">
        <v>7</v>
      </c>
      <c r="BS513" s="201">
        <v>51</v>
      </c>
      <c r="BU513" s="201">
        <v>16.2</v>
      </c>
      <c r="BW513" s="201">
        <v>20.100000000000001</v>
      </c>
      <c r="BY513" s="178">
        <v>6.7000000000000028</v>
      </c>
      <c r="CC513" s="201">
        <v>7.5</v>
      </c>
      <c r="CD513" s="198">
        <v>41822</v>
      </c>
      <c r="CI513" s="174" t="s">
        <v>9361</v>
      </c>
      <c r="CL513" s="174">
        <v>1</v>
      </c>
    </row>
    <row r="514" spans="1:91">
      <c r="A514" s="191" t="s">
        <v>7784</v>
      </c>
      <c r="B514" s="192" t="s">
        <v>271</v>
      </c>
      <c r="C514" s="192" t="s">
        <v>8999</v>
      </c>
      <c r="D514" s="192" t="s">
        <v>8832</v>
      </c>
      <c r="E514" s="193">
        <v>256</v>
      </c>
      <c r="F514" s="193">
        <v>9</v>
      </c>
      <c r="K514" s="176">
        <v>7</v>
      </c>
      <c r="M514" s="197">
        <v>7.5</v>
      </c>
      <c r="N514" s="198">
        <v>41822</v>
      </c>
      <c r="S514" s="176">
        <f>(AE514*BS514)/100</f>
        <v>23.751119251119249</v>
      </c>
      <c r="T514" s="198"/>
      <c r="U514" s="176">
        <v>16.2</v>
      </c>
      <c r="Y514" s="200">
        <f>(AE514*BU514)/100</f>
        <v>8.0884717134717121</v>
      </c>
      <c r="Z514" s="198"/>
      <c r="AA514" s="200"/>
      <c r="AB514" s="198"/>
      <c r="AC514" s="378">
        <f t="shared" si="7"/>
        <v>42.546296296296298</v>
      </c>
      <c r="AE514" s="176">
        <f>(M514/U514)*((100-CC514)/(100-9))*100</f>
        <v>46.75417175417175</v>
      </c>
      <c r="AF514" s="198">
        <v>41822</v>
      </c>
      <c r="AG514" s="176">
        <v>5</v>
      </c>
      <c r="AH514" s="196">
        <v>41927</v>
      </c>
      <c r="AI514" s="176">
        <v>170</v>
      </c>
      <c r="AM514" s="176">
        <v>86</v>
      </c>
      <c r="BG514" s="201">
        <v>0</v>
      </c>
      <c r="BI514" s="201">
        <v>4.3</v>
      </c>
      <c r="BK514" s="201">
        <v>1.7</v>
      </c>
      <c r="BM514" s="201">
        <v>66.099999999999994</v>
      </c>
      <c r="BO514" s="201">
        <v>19</v>
      </c>
      <c r="BQ514" s="201">
        <v>7.6</v>
      </c>
      <c r="BS514" s="201">
        <v>50.8</v>
      </c>
      <c r="BU514" s="201">
        <v>17.3</v>
      </c>
      <c r="BW514" s="201">
        <v>11.4</v>
      </c>
      <c r="BY514" s="178">
        <v>7.0999999999999943</v>
      </c>
      <c r="CC514" s="201">
        <v>8.1</v>
      </c>
      <c r="CD514" s="198">
        <v>41822</v>
      </c>
      <c r="CI514" s="174" t="s">
        <v>9383</v>
      </c>
      <c r="CL514" s="174">
        <v>1</v>
      </c>
    </row>
    <row r="515" spans="1:91">
      <c r="A515" s="191" t="s">
        <v>7736</v>
      </c>
      <c r="B515" s="192" t="s">
        <v>271</v>
      </c>
      <c r="C515" s="192" t="s">
        <v>8999</v>
      </c>
      <c r="D515" s="192" t="s">
        <v>8640</v>
      </c>
      <c r="E515" s="193">
        <v>256</v>
      </c>
      <c r="F515" s="193">
        <v>10</v>
      </c>
      <c r="K515" s="176">
        <v>8</v>
      </c>
      <c r="M515" s="197">
        <v>6.45</v>
      </c>
      <c r="N515" s="198">
        <v>41822</v>
      </c>
      <c r="S515" s="176">
        <f>(AE515*BS515)/100</f>
        <v>20.216912901912902</v>
      </c>
      <c r="T515" s="198"/>
      <c r="U515" s="176">
        <v>16.2</v>
      </c>
      <c r="Y515" s="200">
        <f>(AE515*BU515)/100</f>
        <v>6.7659808709808713</v>
      </c>
      <c r="Z515" s="198"/>
      <c r="AA515" s="200"/>
      <c r="AB515" s="198"/>
      <c r="AC515" s="378">
        <f t="shared" ref="AC515:AC578" si="8">(M515/16.2)*(100-CC515)</f>
        <v>36.86851851851852</v>
      </c>
      <c r="AE515" s="176">
        <f>(M515/U515)*((100-CC515)/(100-9))*100</f>
        <v>40.514855514855519</v>
      </c>
      <c r="AF515" s="198">
        <v>41822</v>
      </c>
      <c r="AG515" s="176">
        <v>4.2</v>
      </c>
      <c r="AH515" s="196">
        <v>41927</v>
      </c>
      <c r="AI515" s="176">
        <v>155</v>
      </c>
      <c r="AM515" s="176">
        <v>84</v>
      </c>
      <c r="BG515" s="201">
        <v>0</v>
      </c>
      <c r="BI515" s="201">
        <v>4.5999999999999996</v>
      </c>
      <c r="BK515" s="201">
        <v>1.7</v>
      </c>
      <c r="BM515" s="201">
        <v>61.3</v>
      </c>
      <c r="BO515" s="201">
        <v>20.6</v>
      </c>
      <c r="BQ515" s="201">
        <v>7.4</v>
      </c>
      <c r="BS515" s="201">
        <v>49.9</v>
      </c>
      <c r="BU515" s="201">
        <v>16.7</v>
      </c>
      <c r="BW515" s="201">
        <v>7.2</v>
      </c>
      <c r="BY515" s="178">
        <v>6.5999999999999943</v>
      </c>
      <c r="CC515" s="201">
        <v>7.4</v>
      </c>
      <c r="CD515" s="198">
        <v>41822</v>
      </c>
      <c r="CI515" s="174" t="s">
        <v>9355</v>
      </c>
      <c r="CL515" s="174">
        <v>1</v>
      </c>
    </row>
    <row r="516" spans="1:91">
      <c r="A516" s="191" t="s">
        <v>7694</v>
      </c>
      <c r="B516" s="192" t="s">
        <v>271</v>
      </c>
      <c r="C516" s="192" t="s">
        <v>8999</v>
      </c>
      <c r="D516" s="192" t="s">
        <v>8472</v>
      </c>
      <c r="E516" s="193">
        <v>256</v>
      </c>
      <c r="F516" s="193">
        <v>11</v>
      </c>
      <c r="K516" s="176">
        <v>8</v>
      </c>
      <c r="M516" s="197">
        <v>5.85</v>
      </c>
      <c r="N516" s="198">
        <v>41822</v>
      </c>
      <c r="S516" s="176">
        <f>(AE516*BS516)/100</f>
        <v>17.98142857142857</v>
      </c>
      <c r="T516" s="198"/>
      <c r="U516" s="176">
        <v>16.2</v>
      </c>
      <c r="Y516" s="200">
        <f>(AE516*BU516)/100</f>
        <v>6.5785714285714274</v>
      </c>
      <c r="Z516" s="198"/>
      <c r="AA516" s="200"/>
      <c r="AB516" s="198"/>
      <c r="AC516" s="378">
        <f t="shared" si="8"/>
        <v>33.258333333333333</v>
      </c>
      <c r="AE516" s="176">
        <f>(M516/U516)*((100-CC516)/(100-9))*100</f>
        <v>36.547619047619044</v>
      </c>
      <c r="AF516" s="198">
        <v>41822</v>
      </c>
      <c r="AG516" s="176">
        <v>4</v>
      </c>
      <c r="AH516" s="196">
        <v>41927</v>
      </c>
      <c r="AI516" s="176">
        <v>175</v>
      </c>
      <c r="AM516" s="176">
        <v>87</v>
      </c>
      <c r="BG516" s="201">
        <v>0</v>
      </c>
      <c r="BI516" s="201">
        <v>4.5</v>
      </c>
      <c r="BK516" s="201">
        <v>1.7</v>
      </c>
      <c r="BM516" s="201">
        <v>66.5</v>
      </c>
      <c r="BO516" s="201">
        <v>19</v>
      </c>
      <c r="BQ516" s="201">
        <v>8.1</v>
      </c>
      <c r="BS516" s="201">
        <v>49.2</v>
      </c>
      <c r="BU516" s="201">
        <v>18</v>
      </c>
      <c r="BW516" s="201">
        <v>13.2</v>
      </c>
      <c r="BY516" s="178">
        <v>6.4000000000000057</v>
      </c>
      <c r="CC516" s="201">
        <v>7.9</v>
      </c>
      <c r="CD516" s="198">
        <v>41822</v>
      </c>
      <c r="CI516" s="174" t="s">
        <v>9362</v>
      </c>
      <c r="CL516" s="174">
        <v>1</v>
      </c>
    </row>
    <row r="517" spans="1:91">
      <c r="A517" s="191" t="s">
        <v>7704</v>
      </c>
      <c r="B517" s="192" t="s">
        <v>271</v>
      </c>
      <c r="C517" s="192" t="s">
        <v>8999</v>
      </c>
      <c r="D517" s="192" t="s">
        <v>8512</v>
      </c>
      <c r="E517" s="193">
        <v>256</v>
      </c>
      <c r="F517" s="193">
        <v>12</v>
      </c>
      <c r="K517" s="176">
        <v>6</v>
      </c>
      <c r="M517" s="197">
        <v>4.5</v>
      </c>
      <c r="N517" s="198">
        <v>41822</v>
      </c>
      <c r="S517" s="176">
        <f>(AE517*BS517)/100</f>
        <v>13.692857142857143</v>
      </c>
      <c r="T517" s="198"/>
      <c r="U517" s="176">
        <v>16.2</v>
      </c>
      <c r="Y517" s="200">
        <f>(AE517*BU517)/100</f>
        <v>5.2968253968253967</v>
      </c>
      <c r="Z517" s="198"/>
      <c r="AA517" s="200"/>
      <c r="AB517" s="198"/>
      <c r="AC517" s="378">
        <f t="shared" si="8"/>
        <v>25.638888888888889</v>
      </c>
      <c r="AE517" s="176">
        <f>(M517/U517)*((100-CC517)/(100-9))*100</f>
        <v>28.174603174603174</v>
      </c>
      <c r="AF517" s="198">
        <v>41822</v>
      </c>
      <c r="AG517" s="176">
        <v>4</v>
      </c>
      <c r="AH517" s="196">
        <v>41927</v>
      </c>
      <c r="AI517" s="176">
        <v>145</v>
      </c>
      <c r="AM517" s="176">
        <v>92</v>
      </c>
      <c r="BG517" s="201">
        <v>0</v>
      </c>
      <c r="BI517" s="201">
        <v>4.5</v>
      </c>
      <c r="BK517" s="201">
        <v>1.5</v>
      </c>
      <c r="BM517" s="201">
        <v>64.3</v>
      </c>
      <c r="BO517" s="201">
        <v>19.5</v>
      </c>
      <c r="BQ517" s="201">
        <v>9.3000000000000007</v>
      </c>
      <c r="BS517" s="201">
        <v>48.6</v>
      </c>
      <c r="BU517" s="201">
        <v>18.8</v>
      </c>
      <c r="BW517" s="201">
        <v>22.7</v>
      </c>
      <c r="BY517" s="178">
        <v>6.7999999999999972</v>
      </c>
      <c r="CC517" s="201">
        <v>7.7</v>
      </c>
      <c r="CD517" s="198">
        <v>41822</v>
      </c>
      <c r="CI517" s="174" t="s">
        <v>9399</v>
      </c>
      <c r="CL517" s="174">
        <v>1</v>
      </c>
    </row>
    <row r="518" spans="1:91">
      <c r="A518" s="191" t="s">
        <v>7610</v>
      </c>
      <c r="B518" s="192" t="s">
        <v>269</v>
      </c>
      <c r="C518" s="192" t="s">
        <v>8997</v>
      </c>
      <c r="D518" s="192" t="s">
        <v>8134</v>
      </c>
      <c r="E518" s="193">
        <v>257</v>
      </c>
      <c r="F518" s="193">
        <v>1</v>
      </c>
      <c r="I518" s="184"/>
      <c r="J518" s="184"/>
      <c r="K518" s="176">
        <v>9</v>
      </c>
      <c r="L518" s="178"/>
      <c r="M518" s="197">
        <v>2.5</v>
      </c>
      <c r="N518" s="198">
        <v>41822</v>
      </c>
      <c r="O518" s="179"/>
      <c r="P518" s="179"/>
      <c r="Q518" s="179"/>
      <c r="R518" s="179"/>
      <c r="S518" s="176">
        <f>(AE518*BS518)/100</f>
        <v>7.3099816849816843</v>
      </c>
      <c r="T518" s="198"/>
      <c r="U518" s="178">
        <v>16.2</v>
      </c>
      <c r="V518" s="179"/>
      <c r="W518" s="179"/>
      <c r="X518" s="179"/>
      <c r="Y518" s="200">
        <f>(AE518*BU518)/100</f>
        <v>3.096916971916972</v>
      </c>
      <c r="Z518" s="198"/>
      <c r="AA518" s="200"/>
      <c r="AB518" s="198"/>
      <c r="AC518" s="378">
        <f t="shared" si="8"/>
        <v>14.305555555555557</v>
      </c>
      <c r="AE518" s="176">
        <f>(M518/U518)*((100-CC518)/(100-9))*100</f>
        <v>15.72039072039072</v>
      </c>
      <c r="AF518" s="198">
        <v>41822</v>
      </c>
      <c r="AG518" s="176">
        <v>3.9</v>
      </c>
      <c r="AH518" s="196">
        <v>41927</v>
      </c>
      <c r="AI518" s="176">
        <v>100</v>
      </c>
      <c r="AM518" s="176">
        <v>78</v>
      </c>
      <c r="BG518" s="201">
        <v>38.9</v>
      </c>
      <c r="BI518" s="201">
        <v>4.5</v>
      </c>
      <c r="BK518" s="201">
        <v>1</v>
      </c>
      <c r="BM518" s="201">
        <v>36.6</v>
      </c>
      <c r="BO518" s="201">
        <v>17</v>
      </c>
      <c r="BQ518" s="201">
        <v>8.6999999999999993</v>
      </c>
      <c r="BS518" s="201">
        <v>46.5</v>
      </c>
      <c r="BU518" s="201">
        <v>19.7</v>
      </c>
      <c r="BW518" s="201">
        <v>67.8</v>
      </c>
      <c r="BY518" s="178">
        <v>6.7999999999999972</v>
      </c>
      <c r="CC518" s="201">
        <v>7.3</v>
      </c>
      <c r="CD518" s="198">
        <v>41822</v>
      </c>
      <c r="CI518" s="174" t="s">
        <v>9337</v>
      </c>
      <c r="CL518" s="174">
        <v>9</v>
      </c>
    </row>
    <row r="519" spans="1:91">
      <c r="A519" s="191" t="s">
        <v>7734</v>
      </c>
      <c r="B519" s="192" t="s">
        <v>269</v>
      </c>
      <c r="C519" s="192" t="s">
        <v>8997</v>
      </c>
      <c r="D519" s="192" t="s">
        <v>8630</v>
      </c>
      <c r="E519" s="193">
        <v>257</v>
      </c>
      <c r="F519" s="193">
        <v>2</v>
      </c>
      <c r="K519" s="176">
        <v>7</v>
      </c>
      <c r="M519" s="197">
        <v>4.1500000000000004</v>
      </c>
      <c r="N519" s="198">
        <v>41822</v>
      </c>
      <c r="S519" s="176">
        <f>(AE519*BS519)/100</f>
        <v>13.62203296703297</v>
      </c>
      <c r="T519" s="198"/>
      <c r="U519" s="176">
        <v>16.2</v>
      </c>
      <c r="Y519" s="200">
        <f>(AE519*BU519)/100</f>
        <v>4.1231440781440787</v>
      </c>
      <c r="Z519" s="198"/>
      <c r="AA519" s="200"/>
      <c r="AB519" s="198"/>
      <c r="AC519" s="378">
        <f t="shared" si="8"/>
        <v>23.747222222222227</v>
      </c>
      <c r="AE519" s="176">
        <f>(M519/U519)*((100-CC519)/(100-9))*100</f>
        <v>26.095848595848597</v>
      </c>
      <c r="AF519" s="198">
        <v>41822</v>
      </c>
      <c r="AG519" s="176">
        <v>4.7</v>
      </c>
      <c r="AH519" s="196">
        <v>41927</v>
      </c>
      <c r="AI519" s="176">
        <v>150</v>
      </c>
      <c r="AM519" s="176">
        <v>80</v>
      </c>
      <c r="BG519" s="201">
        <v>0</v>
      </c>
      <c r="BI519" s="201">
        <v>4.8</v>
      </c>
      <c r="BK519" s="201">
        <v>1.4</v>
      </c>
      <c r="BM519" s="201">
        <v>63</v>
      </c>
      <c r="BO519" s="201">
        <v>21.4</v>
      </c>
      <c r="BQ519" s="201">
        <v>9.1</v>
      </c>
      <c r="BS519" s="201">
        <v>52.2</v>
      </c>
      <c r="BU519" s="201">
        <v>15.8</v>
      </c>
      <c r="BW519" s="201">
        <v>15.2</v>
      </c>
      <c r="BY519" s="178">
        <v>6.7999999999999972</v>
      </c>
      <c r="CC519" s="201">
        <v>7.3</v>
      </c>
      <c r="CD519" s="198">
        <v>41822</v>
      </c>
      <c r="CI519" s="174" t="s">
        <v>9365</v>
      </c>
      <c r="CL519" s="174">
        <v>3</v>
      </c>
    </row>
    <row r="520" spans="1:91">
      <c r="A520" s="191" t="s">
        <v>7782</v>
      </c>
      <c r="B520" s="192" t="s">
        <v>269</v>
      </c>
      <c r="C520" s="192" t="s">
        <v>8997</v>
      </c>
      <c r="D520" s="192" t="s">
        <v>8822</v>
      </c>
      <c r="E520" s="193">
        <v>257</v>
      </c>
      <c r="F520" s="193">
        <v>3</v>
      </c>
      <c r="K520" s="176">
        <v>8</v>
      </c>
      <c r="M520" s="197">
        <v>4.05</v>
      </c>
      <c r="N520" s="198">
        <v>41822</v>
      </c>
      <c r="S520" s="176">
        <f>(AE520*BS520)/100</f>
        <v>13.114285714285714</v>
      </c>
      <c r="T520" s="198"/>
      <c r="U520" s="176">
        <v>16.2</v>
      </c>
      <c r="Y520" s="200">
        <f>(AE520*BU520)/100</f>
        <v>4.1108241758241757</v>
      </c>
      <c r="Z520" s="198"/>
      <c r="AA520" s="200"/>
      <c r="AB520" s="198"/>
      <c r="AC520" s="378">
        <f t="shared" si="8"/>
        <v>22.95</v>
      </c>
      <c r="AE520" s="176">
        <f>(M520/U520)*((100-CC520)/(100-9))*100</f>
        <v>25.219780219780219</v>
      </c>
      <c r="AF520" s="198">
        <v>41822</v>
      </c>
      <c r="AG520" s="176">
        <v>4.7</v>
      </c>
      <c r="AH520" s="196">
        <v>41927</v>
      </c>
      <c r="AI520" s="176">
        <v>150</v>
      </c>
      <c r="AM520" s="176">
        <v>84</v>
      </c>
      <c r="BG520" s="201">
        <v>2.2999999999999998</v>
      </c>
      <c r="BI520" s="201">
        <v>4.5</v>
      </c>
      <c r="BK520" s="201">
        <v>1.6</v>
      </c>
      <c r="BM520" s="201">
        <v>63</v>
      </c>
      <c r="BO520" s="201">
        <v>18.899999999999999</v>
      </c>
      <c r="BQ520" s="201">
        <v>8.3000000000000007</v>
      </c>
      <c r="BS520" s="201">
        <v>52</v>
      </c>
      <c r="BU520" s="201">
        <v>16.3</v>
      </c>
      <c r="BW520" s="201">
        <v>10.5</v>
      </c>
      <c r="BY520" s="178">
        <v>7.5</v>
      </c>
      <c r="CC520" s="201">
        <v>8.1999999999999993</v>
      </c>
      <c r="CD520" s="198">
        <v>41822</v>
      </c>
      <c r="CI520" s="174" t="s">
        <v>9347</v>
      </c>
      <c r="CL520" s="174">
        <v>3</v>
      </c>
    </row>
    <row r="521" spans="1:91">
      <c r="A521" s="191" t="s">
        <v>7815</v>
      </c>
      <c r="B521" s="192" t="s">
        <v>269</v>
      </c>
      <c r="C521" s="192" t="s">
        <v>8997</v>
      </c>
      <c r="D521" s="192" t="s">
        <v>8954</v>
      </c>
      <c r="E521" s="193">
        <v>257</v>
      </c>
      <c r="F521" s="193">
        <v>4</v>
      </c>
      <c r="K521" s="176">
        <v>8</v>
      </c>
      <c r="M521" s="197">
        <v>4.3</v>
      </c>
      <c r="N521" s="198">
        <v>41822</v>
      </c>
      <c r="S521" s="176">
        <f>(AE521*BS521)/100</f>
        <v>13.950586080586081</v>
      </c>
      <c r="T521" s="198"/>
      <c r="U521" s="176">
        <v>16.2</v>
      </c>
      <c r="Y521" s="200">
        <f>(AE521*BU521)/100</f>
        <v>4.2306959706959706</v>
      </c>
      <c r="Z521" s="198"/>
      <c r="AA521" s="200"/>
      <c r="AB521" s="198"/>
      <c r="AC521" s="378">
        <f t="shared" si="8"/>
        <v>24.366666666666667</v>
      </c>
      <c r="AE521" s="176">
        <f>(M521/U521)*((100-CC521)/(100-9))*100</f>
        <v>26.776556776556777</v>
      </c>
      <c r="AF521" s="198">
        <v>41822</v>
      </c>
      <c r="AG521" s="176">
        <v>4.8</v>
      </c>
      <c r="AH521" s="196">
        <v>41927</v>
      </c>
      <c r="AI521" s="176">
        <v>140</v>
      </c>
      <c r="AM521" s="176">
        <v>84</v>
      </c>
      <c r="BG521" s="201">
        <v>0</v>
      </c>
      <c r="BI521" s="201">
        <v>4.5999999999999996</v>
      </c>
      <c r="BK521" s="201">
        <v>1.7</v>
      </c>
      <c r="BM521" s="201">
        <v>62</v>
      </c>
      <c r="BO521" s="201">
        <v>20.100000000000001</v>
      </c>
      <c r="BQ521" s="201">
        <v>8.3000000000000007</v>
      </c>
      <c r="BS521" s="201">
        <v>52.1</v>
      </c>
      <c r="BU521" s="201">
        <v>15.8</v>
      </c>
      <c r="BW521" s="201">
        <v>15</v>
      </c>
      <c r="BY521" s="178">
        <v>7.0999999999999943</v>
      </c>
      <c r="CC521" s="201">
        <v>8.1999999999999993</v>
      </c>
      <c r="CD521" s="198">
        <v>41822</v>
      </c>
      <c r="CI521" s="174" t="s">
        <v>9366</v>
      </c>
      <c r="CL521" s="174">
        <v>1</v>
      </c>
    </row>
    <row r="522" spans="1:91">
      <c r="A522" s="191" t="s">
        <v>7700</v>
      </c>
      <c r="B522" s="192" t="s">
        <v>269</v>
      </c>
      <c r="C522" s="192" t="s">
        <v>8997</v>
      </c>
      <c r="D522" s="192" t="s">
        <v>8494</v>
      </c>
      <c r="E522" s="193">
        <v>257</v>
      </c>
      <c r="F522" s="193">
        <v>5</v>
      </c>
      <c r="K522" s="176">
        <v>8</v>
      </c>
      <c r="M522" s="197">
        <v>4.45</v>
      </c>
      <c r="N522" s="198">
        <v>41822</v>
      </c>
      <c r="S522" s="176">
        <f>(AE522*BS522)/100</f>
        <v>13.733783068783069</v>
      </c>
      <c r="T522" s="198"/>
      <c r="U522" s="176">
        <v>16.2</v>
      </c>
      <c r="Y522" s="200">
        <f>(AE522*BU522)/100</f>
        <v>4.9764112739112729</v>
      </c>
      <c r="Z522" s="198"/>
      <c r="AA522" s="200"/>
      <c r="AB522" s="198"/>
      <c r="AC522" s="378">
        <f t="shared" si="8"/>
        <v>25.299074074074074</v>
      </c>
      <c r="AE522" s="176">
        <f>(M522/U522)*((100-CC522)/(100-9))*100</f>
        <v>27.801180301180299</v>
      </c>
      <c r="AF522" s="198">
        <v>41822</v>
      </c>
      <c r="AG522" s="176">
        <v>5.4</v>
      </c>
      <c r="AH522" s="196">
        <v>41927</v>
      </c>
      <c r="AI522" s="176">
        <v>135</v>
      </c>
      <c r="AM522" s="176">
        <v>85</v>
      </c>
      <c r="BG522" s="201">
        <v>0</v>
      </c>
      <c r="BI522" s="201">
        <v>4.7</v>
      </c>
      <c r="BK522" s="201">
        <v>1.7</v>
      </c>
      <c r="BM522" s="201">
        <v>66.2</v>
      </c>
      <c r="BO522" s="201">
        <v>18.899999999999999</v>
      </c>
      <c r="BQ522" s="201">
        <v>7.7</v>
      </c>
      <c r="BS522" s="201">
        <v>49.4</v>
      </c>
      <c r="BU522" s="201">
        <v>17.899999999999999</v>
      </c>
      <c r="BW522" s="201">
        <v>17.600000000000001</v>
      </c>
      <c r="BY522" s="178">
        <v>7.0999999999999943</v>
      </c>
      <c r="CC522" s="201">
        <v>7.9</v>
      </c>
      <c r="CD522" s="198">
        <v>41822</v>
      </c>
      <c r="CI522" s="174" t="s">
        <v>9375</v>
      </c>
      <c r="CL522" s="174">
        <v>1</v>
      </c>
    </row>
    <row r="523" spans="1:91">
      <c r="A523" s="191" t="s">
        <v>7735</v>
      </c>
      <c r="B523" s="192" t="s">
        <v>269</v>
      </c>
      <c r="C523" s="192" t="s">
        <v>8997</v>
      </c>
      <c r="D523" s="192" t="s">
        <v>8634</v>
      </c>
      <c r="E523" s="193">
        <v>257</v>
      </c>
      <c r="F523" s="193">
        <v>6</v>
      </c>
      <c r="K523" s="176">
        <v>9</v>
      </c>
      <c r="M523" s="197">
        <v>4.55</v>
      </c>
      <c r="N523" s="198">
        <v>41822</v>
      </c>
      <c r="S523" s="176">
        <f>(AE523*BS523)/100</f>
        <v>15.143333333333338</v>
      </c>
      <c r="T523" s="198"/>
      <c r="U523" s="176">
        <v>16.2</v>
      </c>
      <c r="Y523" s="200">
        <f>(AE523*BU523)/100</f>
        <v>4.6485185185185198</v>
      </c>
      <c r="Z523" s="198"/>
      <c r="AA523" s="200"/>
      <c r="AB523" s="198"/>
      <c r="AC523" s="378">
        <f t="shared" si="8"/>
        <v>25.951851851851856</v>
      </c>
      <c r="AE523" s="176">
        <f>(M523/U523)*((100-CC523)/(100-9))*100</f>
        <v>28.518518518518526</v>
      </c>
      <c r="AF523" s="198">
        <v>41822</v>
      </c>
      <c r="AG523" s="176">
        <v>5.5</v>
      </c>
      <c r="AH523" s="196">
        <v>41927</v>
      </c>
      <c r="AI523" s="176">
        <v>155</v>
      </c>
      <c r="AM523" s="176">
        <v>83</v>
      </c>
      <c r="BG523" s="201">
        <v>0</v>
      </c>
      <c r="BI523" s="201">
        <v>4.8</v>
      </c>
      <c r="BK523" s="201">
        <v>1.6</v>
      </c>
      <c r="BM523" s="201">
        <v>62.2</v>
      </c>
      <c r="BO523" s="201">
        <v>20.9</v>
      </c>
      <c r="BQ523" s="201">
        <v>9.4</v>
      </c>
      <c r="BS523" s="201">
        <v>53.1</v>
      </c>
      <c r="BU523" s="201">
        <v>16.3</v>
      </c>
      <c r="BW523" s="201">
        <v>11</v>
      </c>
      <c r="BY523" s="178">
        <v>6.7999999999999972</v>
      </c>
      <c r="CC523" s="201">
        <v>7.6</v>
      </c>
      <c r="CD523" s="198">
        <v>41822</v>
      </c>
      <c r="CI523" s="174" t="s">
        <v>9378</v>
      </c>
      <c r="CL523" s="174">
        <v>1</v>
      </c>
    </row>
    <row r="524" spans="1:91">
      <c r="A524" s="202" t="s">
        <v>7737</v>
      </c>
      <c r="B524" s="203" t="s">
        <v>271</v>
      </c>
      <c r="C524" s="203" t="s">
        <v>8999</v>
      </c>
      <c r="D524" s="203" t="s">
        <v>8644</v>
      </c>
      <c r="E524" s="204">
        <v>257</v>
      </c>
      <c r="F524" s="204">
        <v>7</v>
      </c>
      <c r="G524" s="204"/>
      <c r="H524" s="204"/>
      <c r="I524" s="206"/>
      <c r="J524" s="206"/>
      <c r="K524" s="177">
        <v>9</v>
      </c>
      <c r="L524" s="207"/>
      <c r="M524" s="208">
        <v>0.85</v>
      </c>
      <c r="N524" s="209">
        <v>41822</v>
      </c>
      <c r="O524" s="183"/>
      <c r="P524" s="210"/>
      <c r="Q524" s="183"/>
      <c r="R524" s="210"/>
      <c r="S524" s="177">
        <f>(AE524*BS524)/100</f>
        <v>2.5008808167141501</v>
      </c>
      <c r="T524" s="209"/>
      <c r="U524" s="177">
        <v>16.2</v>
      </c>
      <c r="V524" s="210"/>
      <c r="W524" s="183"/>
      <c r="X524" s="210"/>
      <c r="Y524" s="213">
        <f>(AE524*BU524)/100</f>
        <v>1.0997530864197531</v>
      </c>
      <c r="Z524" s="209"/>
      <c r="AA524" s="213"/>
      <c r="AB524" s="209"/>
      <c r="AC524" s="378">
        <f t="shared" si="8"/>
        <v>4.8114197530864207</v>
      </c>
      <c r="AD524" s="207"/>
      <c r="AE524" s="177">
        <f>(M524/U524)*((100-CC524)/(100-9))*100</f>
        <v>5.2872744539411212</v>
      </c>
      <c r="AF524" s="209">
        <v>41822</v>
      </c>
      <c r="AG524" s="177">
        <v>4.7</v>
      </c>
      <c r="AH524" s="207">
        <v>41927</v>
      </c>
      <c r="AI524" s="177">
        <v>20</v>
      </c>
      <c r="AJ524" s="207"/>
      <c r="AK524" s="183"/>
      <c r="AL524" s="210"/>
      <c r="AM524" s="177">
        <v>78</v>
      </c>
      <c r="AN524" s="210"/>
      <c r="AO524" s="183"/>
      <c r="AP524" s="183"/>
      <c r="AQ524" s="183"/>
      <c r="AR524" s="183"/>
      <c r="AS524" s="183"/>
      <c r="AT524" s="183"/>
      <c r="AU524" s="183"/>
      <c r="AV524" s="183"/>
      <c r="AW524" s="183"/>
      <c r="AX524" s="183"/>
      <c r="AY524" s="183"/>
      <c r="AZ524" s="183"/>
      <c r="BA524" s="183"/>
      <c r="BB524" s="183"/>
      <c r="BC524" s="183"/>
      <c r="BD524" s="183"/>
      <c r="BE524" s="182"/>
      <c r="BF524" s="182"/>
      <c r="BG524" s="211">
        <v>15.3</v>
      </c>
      <c r="BH524" s="181"/>
      <c r="BI524" s="211">
        <v>4.3</v>
      </c>
      <c r="BJ524" s="181"/>
      <c r="BK524" s="211">
        <v>1.4</v>
      </c>
      <c r="BL524" s="181"/>
      <c r="BM524" s="211">
        <v>52.2</v>
      </c>
      <c r="BN524" s="181"/>
      <c r="BO524" s="211">
        <v>17.399999999999999</v>
      </c>
      <c r="BP524" s="181"/>
      <c r="BQ524" s="211">
        <v>9.9</v>
      </c>
      <c r="BR524" s="181"/>
      <c r="BS524" s="211">
        <v>47.3</v>
      </c>
      <c r="BT524" s="181"/>
      <c r="BU524" s="211">
        <v>20.8</v>
      </c>
      <c r="BV524" s="181"/>
      <c r="BW524" s="211">
        <v>44.8</v>
      </c>
      <c r="BX524" s="181"/>
      <c r="BY524" s="181">
        <v>7.2000000000000028</v>
      </c>
      <c r="BZ524" s="181"/>
      <c r="CA524" s="182"/>
      <c r="CB524" s="182"/>
      <c r="CC524" s="211">
        <v>8.3000000000000007</v>
      </c>
      <c r="CD524" s="209">
        <v>41822</v>
      </c>
      <c r="CE524" s="181"/>
      <c r="CF524" s="181"/>
      <c r="CG524" s="182"/>
      <c r="CH524" s="182"/>
      <c r="CI524" s="175" t="s">
        <v>9349</v>
      </c>
      <c r="CJ524" s="181"/>
      <c r="CK524" s="181"/>
      <c r="CL524" s="175">
        <v>9</v>
      </c>
      <c r="CM524" s="175"/>
    </row>
    <row r="525" spans="1:91">
      <c r="A525" s="191" t="s">
        <v>7774</v>
      </c>
      <c r="B525" s="192" t="s">
        <v>271</v>
      </c>
      <c r="C525" s="192" t="s">
        <v>8999</v>
      </c>
      <c r="D525" s="192" t="s">
        <v>8792</v>
      </c>
      <c r="E525" s="193">
        <v>257</v>
      </c>
      <c r="F525" s="193">
        <v>8</v>
      </c>
      <c r="K525" s="176">
        <v>8</v>
      </c>
      <c r="M525" s="197">
        <v>5.2</v>
      </c>
      <c r="N525" s="198">
        <v>41822</v>
      </c>
      <c r="S525" s="176">
        <f>(AE525*BS525)/100</f>
        <v>16.231111111111115</v>
      </c>
      <c r="T525" s="198"/>
      <c r="U525" s="176">
        <v>16.2</v>
      </c>
      <c r="Y525" s="200">
        <f>(AE525*BU525)/100</f>
        <v>6.0296296296296319</v>
      </c>
      <c r="Z525" s="198"/>
      <c r="AA525" s="200"/>
      <c r="AB525" s="198"/>
      <c r="AC525" s="378">
        <f t="shared" si="8"/>
        <v>29.659259259259265</v>
      </c>
      <c r="AE525" s="176">
        <f>(M525/U525)*((100-CC525)/(100-9))*100</f>
        <v>32.592592592592602</v>
      </c>
      <c r="AF525" s="198">
        <v>41822</v>
      </c>
      <c r="AG525" s="176">
        <v>5.2</v>
      </c>
      <c r="AH525" s="196">
        <v>41927</v>
      </c>
      <c r="AI525" s="176">
        <v>135</v>
      </c>
      <c r="AM525" s="176">
        <v>87</v>
      </c>
      <c r="BG525" s="201">
        <v>0</v>
      </c>
      <c r="BI525" s="201">
        <v>4.5</v>
      </c>
      <c r="BK525" s="201">
        <v>1.7</v>
      </c>
      <c r="BM525" s="201">
        <v>64.099999999999994</v>
      </c>
      <c r="BO525" s="201">
        <v>19.7</v>
      </c>
      <c r="BQ525" s="201">
        <v>7.7</v>
      </c>
      <c r="BS525" s="201">
        <v>49.8</v>
      </c>
      <c r="BU525" s="201">
        <v>18.5</v>
      </c>
      <c r="BW525" s="201">
        <v>22.2</v>
      </c>
      <c r="BY525" s="178">
        <v>6.9000000000000057</v>
      </c>
      <c r="CC525" s="201">
        <v>7.6</v>
      </c>
      <c r="CD525" s="198">
        <v>41822</v>
      </c>
      <c r="CI525" s="174" t="s">
        <v>9354</v>
      </c>
      <c r="CL525" s="174">
        <v>1</v>
      </c>
    </row>
    <row r="526" spans="1:91">
      <c r="A526" s="191" t="s">
        <v>7800</v>
      </c>
      <c r="B526" s="192" t="s">
        <v>271</v>
      </c>
      <c r="C526" s="192" t="s">
        <v>8999</v>
      </c>
      <c r="D526" s="192" t="s">
        <v>8896</v>
      </c>
      <c r="E526" s="193">
        <v>257</v>
      </c>
      <c r="F526" s="193">
        <v>9</v>
      </c>
      <c r="K526" s="176">
        <v>6</v>
      </c>
      <c r="M526" s="197">
        <v>5.25</v>
      </c>
      <c r="N526" s="198">
        <v>41822</v>
      </c>
      <c r="S526" s="176">
        <f>(AE526*BS526)/100</f>
        <v>16.533796296296295</v>
      </c>
      <c r="T526" s="198"/>
      <c r="U526" s="176">
        <v>16.2</v>
      </c>
      <c r="Y526" s="200">
        <f>(AE526*BU526)/100</f>
        <v>5.9166666666666661</v>
      </c>
      <c r="Z526" s="198"/>
      <c r="AA526" s="200"/>
      <c r="AB526" s="198"/>
      <c r="AC526" s="378">
        <f t="shared" si="8"/>
        <v>29.912037037037035</v>
      </c>
      <c r="AE526" s="176">
        <f>(M526/U526)*((100-CC526)/(100-9))*100</f>
        <v>32.870370370370367</v>
      </c>
      <c r="AF526" s="198">
        <v>41822</v>
      </c>
      <c r="AG526" s="176">
        <v>4.0999999999999996</v>
      </c>
      <c r="AH526" s="196">
        <v>41927</v>
      </c>
      <c r="AI526" s="176">
        <v>165</v>
      </c>
      <c r="AM526" s="176">
        <v>87</v>
      </c>
      <c r="BG526" s="201">
        <v>0</v>
      </c>
      <c r="BI526" s="201">
        <v>4.3</v>
      </c>
      <c r="BK526" s="201">
        <v>1.6</v>
      </c>
      <c r="BM526" s="201">
        <v>63.7</v>
      </c>
      <c r="BO526" s="201">
        <v>19.3</v>
      </c>
      <c r="BQ526" s="201">
        <v>7.9</v>
      </c>
      <c r="BS526" s="201">
        <v>50.3</v>
      </c>
      <c r="BU526" s="201">
        <v>18</v>
      </c>
      <c r="BW526" s="201">
        <v>11.8</v>
      </c>
      <c r="BY526" s="178">
        <v>6.4000000000000057</v>
      </c>
      <c r="CC526" s="201">
        <v>7.7</v>
      </c>
      <c r="CD526" s="198">
        <v>41822</v>
      </c>
      <c r="CI526" s="174" t="s">
        <v>9381</v>
      </c>
      <c r="CL526" s="174">
        <v>1</v>
      </c>
    </row>
    <row r="527" spans="1:91">
      <c r="A527" s="202" t="s">
        <v>7629</v>
      </c>
      <c r="B527" s="203" t="s">
        <v>271</v>
      </c>
      <c r="C527" s="203" t="s">
        <v>8999</v>
      </c>
      <c r="D527" s="203" t="s">
        <v>8212</v>
      </c>
      <c r="E527" s="204">
        <v>257</v>
      </c>
      <c r="F527" s="204">
        <v>10</v>
      </c>
      <c r="G527" s="204"/>
      <c r="H527" s="204"/>
      <c r="I527" s="185"/>
      <c r="J527" s="206"/>
      <c r="K527" s="177">
        <v>9</v>
      </c>
      <c r="L527" s="207"/>
      <c r="M527" s="208">
        <v>1.95</v>
      </c>
      <c r="N527" s="209">
        <v>41822</v>
      </c>
      <c r="O527" s="182"/>
      <c r="P527" s="210"/>
      <c r="Q527" s="183"/>
      <c r="R527" s="210"/>
      <c r="S527" s="177">
        <f>(AE527*BS527)/100</f>
        <v>5.891613756613757</v>
      </c>
      <c r="T527" s="209"/>
      <c r="U527" s="177">
        <v>16.2</v>
      </c>
      <c r="V527" s="210"/>
      <c r="W527" s="183"/>
      <c r="X527" s="210"/>
      <c r="Y527" s="213">
        <f>(AE527*BU527)/100</f>
        <v>2.3639947089947091</v>
      </c>
      <c r="Z527" s="209"/>
      <c r="AA527" s="213"/>
      <c r="AB527" s="209"/>
      <c r="AC527" s="378">
        <f t="shared" si="8"/>
        <v>11.146296296296295</v>
      </c>
      <c r="AD527" s="207"/>
      <c r="AE527" s="177">
        <f>(M527/U527)*((100-CC527)/(100-9))*100</f>
        <v>12.248677248677248</v>
      </c>
      <c r="AF527" s="209">
        <v>41822</v>
      </c>
      <c r="AG527" s="177">
        <v>4.2</v>
      </c>
      <c r="AH527" s="207">
        <v>41927</v>
      </c>
      <c r="AI527" s="177">
        <v>110</v>
      </c>
      <c r="AJ527" s="207"/>
      <c r="AK527" s="183"/>
      <c r="AL527" s="210"/>
      <c r="AM527" s="177">
        <v>72</v>
      </c>
      <c r="AN527" s="210"/>
      <c r="AO527" s="183"/>
      <c r="AP527" s="183"/>
      <c r="AQ527" s="183"/>
      <c r="AR527" s="183"/>
      <c r="AS527" s="183"/>
      <c r="AT527" s="183"/>
      <c r="AU527" s="183"/>
      <c r="AV527" s="183"/>
      <c r="AW527" s="183"/>
      <c r="AX527" s="183"/>
      <c r="AY527" s="183"/>
      <c r="AZ527" s="183"/>
      <c r="BA527" s="183"/>
      <c r="BB527" s="183"/>
      <c r="BC527" s="183"/>
      <c r="BD527" s="183"/>
      <c r="BE527" s="182"/>
      <c r="BF527" s="182"/>
      <c r="BG527" s="211">
        <v>20.2</v>
      </c>
      <c r="BH527" s="181"/>
      <c r="BI527" s="211">
        <v>4.3</v>
      </c>
      <c r="BJ527" s="181"/>
      <c r="BK527" s="211">
        <v>1.2</v>
      </c>
      <c r="BL527" s="181"/>
      <c r="BM527" s="211">
        <v>46.7</v>
      </c>
      <c r="BN527" s="181"/>
      <c r="BO527" s="211">
        <v>17.3</v>
      </c>
      <c r="BP527" s="181"/>
      <c r="BQ527" s="211">
        <v>10</v>
      </c>
      <c r="BR527" s="181"/>
      <c r="BS527" s="211">
        <v>48.1</v>
      </c>
      <c r="BT527" s="181"/>
      <c r="BU527" s="211">
        <v>19.3</v>
      </c>
      <c r="BV527" s="181"/>
      <c r="BW527" s="211">
        <v>46.6</v>
      </c>
      <c r="BX527" s="181"/>
      <c r="BY527" s="181">
        <v>7</v>
      </c>
      <c r="BZ527" s="181"/>
      <c r="CA527" s="182"/>
      <c r="CB527" s="182"/>
      <c r="CC527" s="211">
        <v>7.4</v>
      </c>
      <c r="CD527" s="209">
        <v>41822</v>
      </c>
      <c r="CE527" s="181"/>
      <c r="CF527" s="181"/>
      <c r="CG527" s="182"/>
      <c r="CH527" s="182"/>
      <c r="CI527" s="175" t="s">
        <v>9349</v>
      </c>
      <c r="CJ527" s="181"/>
      <c r="CK527" s="181"/>
      <c r="CL527" s="175">
        <v>8</v>
      </c>
      <c r="CM527" s="175"/>
    </row>
    <row r="528" spans="1:91">
      <c r="A528" s="191" t="s">
        <v>7738</v>
      </c>
      <c r="B528" s="192" t="s">
        <v>271</v>
      </c>
      <c r="C528" s="192" t="s">
        <v>8999</v>
      </c>
      <c r="D528" s="192" t="s">
        <v>8648</v>
      </c>
      <c r="E528" s="193">
        <v>257</v>
      </c>
      <c r="F528" s="193">
        <v>11</v>
      </c>
      <c r="K528" s="176">
        <v>8</v>
      </c>
      <c r="M528" s="197">
        <v>6.4</v>
      </c>
      <c r="N528" s="198">
        <v>41822</v>
      </c>
      <c r="S528" s="176">
        <f>(AE528*BS528)/100</f>
        <v>19.778787138787141</v>
      </c>
      <c r="T528" s="198"/>
      <c r="U528" s="176">
        <v>16.2</v>
      </c>
      <c r="Y528" s="200">
        <f>(AE528*BU528)/100</f>
        <v>7.1155392755392759</v>
      </c>
      <c r="Z528" s="198"/>
      <c r="AA528" s="200"/>
      <c r="AB528" s="198"/>
      <c r="AC528" s="378">
        <f t="shared" si="8"/>
        <v>36.582716049382718</v>
      </c>
      <c r="AE528" s="176">
        <f>(M528/U528)*((100-CC528)/(100-9))*100</f>
        <v>40.200786867453537</v>
      </c>
      <c r="AF528" s="198">
        <v>41822</v>
      </c>
      <c r="AG528" s="176">
        <v>4.5999999999999996</v>
      </c>
      <c r="AH528" s="196">
        <v>41927</v>
      </c>
      <c r="AI528" s="176">
        <v>165</v>
      </c>
      <c r="AM528" s="176">
        <v>86</v>
      </c>
      <c r="BG528" s="201">
        <v>0</v>
      </c>
      <c r="BI528" s="201">
        <v>4.5</v>
      </c>
      <c r="BK528" s="201">
        <v>1.6</v>
      </c>
      <c r="BM528" s="201">
        <v>62</v>
      </c>
      <c r="BO528" s="201">
        <v>22.3</v>
      </c>
      <c r="BQ528" s="201">
        <v>8.9</v>
      </c>
      <c r="BS528" s="201">
        <v>49.2</v>
      </c>
      <c r="BU528" s="201">
        <v>17.7</v>
      </c>
      <c r="BW528" s="201">
        <v>16.8</v>
      </c>
      <c r="BY528" s="178">
        <v>6.4000000000000057</v>
      </c>
      <c r="CC528" s="201">
        <v>7.4</v>
      </c>
      <c r="CD528" s="198">
        <v>41822</v>
      </c>
      <c r="CI528" s="174" t="s">
        <v>9355</v>
      </c>
      <c r="CL528" s="174">
        <v>1</v>
      </c>
    </row>
    <row r="529" spans="1:91">
      <c r="A529" s="191" t="s">
        <v>7642</v>
      </c>
      <c r="B529" s="192" t="s">
        <v>271</v>
      </c>
      <c r="C529" s="192" t="s">
        <v>8999</v>
      </c>
      <c r="D529" s="192" t="s">
        <v>8264</v>
      </c>
      <c r="E529" s="193">
        <v>257</v>
      </c>
      <c r="F529" s="193">
        <v>12</v>
      </c>
      <c r="K529" s="176">
        <v>8</v>
      </c>
      <c r="M529" s="197">
        <v>4.6500000000000004</v>
      </c>
      <c r="N529" s="198">
        <v>41822</v>
      </c>
      <c r="S529" s="176">
        <f>(AE529*BS529)/100</f>
        <v>13.625805860805862</v>
      </c>
      <c r="T529" s="198"/>
      <c r="U529" s="176">
        <v>16.2</v>
      </c>
      <c r="Y529" s="200">
        <f>(AE529*BU529)/100</f>
        <v>6.2281043956043955</v>
      </c>
      <c r="Z529" s="198"/>
      <c r="AA529" s="200"/>
      <c r="AB529" s="198"/>
      <c r="AC529" s="378">
        <f t="shared" si="8"/>
        <v>26.608333333333338</v>
      </c>
      <c r="AE529" s="176">
        <f>(M529/U529)*((100-CC529)/(100-9))*100</f>
        <v>29.239926739926741</v>
      </c>
      <c r="AF529" s="198">
        <v>41822</v>
      </c>
      <c r="AG529" s="176">
        <v>4.8</v>
      </c>
      <c r="AH529" s="196">
        <v>41927</v>
      </c>
      <c r="AI529" s="176">
        <v>155</v>
      </c>
      <c r="AM529" s="176">
        <v>83</v>
      </c>
      <c r="BG529" s="201">
        <v>6.1</v>
      </c>
      <c r="BI529" s="201">
        <v>4.7</v>
      </c>
      <c r="BK529" s="201">
        <v>1.4</v>
      </c>
      <c r="BM529" s="201">
        <v>67.900000000000006</v>
      </c>
      <c r="BO529" s="201">
        <v>17.899999999999999</v>
      </c>
      <c r="BQ529" s="201">
        <v>9</v>
      </c>
      <c r="BS529" s="201">
        <v>46.6</v>
      </c>
      <c r="BU529" s="201">
        <v>21.3</v>
      </c>
      <c r="BW529" s="201">
        <v>89.9</v>
      </c>
      <c r="BY529" s="178">
        <v>6.5999999999999943</v>
      </c>
      <c r="CC529" s="201">
        <v>7.3</v>
      </c>
      <c r="CD529" s="198">
        <v>41822</v>
      </c>
      <c r="CI529" s="174" t="s">
        <v>9362</v>
      </c>
      <c r="CL529" s="174">
        <v>4</v>
      </c>
    </row>
    <row r="530" spans="1:91">
      <c r="A530" s="191" t="s">
        <v>7805</v>
      </c>
      <c r="B530" s="192" t="s">
        <v>269</v>
      </c>
      <c r="C530" s="192" t="s">
        <v>8997</v>
      </c>
      <c r="D530" s="192" t="s">
        <v>8914</v>
      </c>
      <c r="E530" s="193">
        <v>258</v>
      </c>
      <c r="F530" s="193">
        <v>1</v>
      </c>
      <c r="K530" s="176">
        <v>7</v>
      </c>
      <c r="M530" s="197">
        <v>3.3</v>
      </c>
      <c r="N530" s="198">
        <v>41822</v>
      </c>
      <c r="S530" s="176">
        <f>(AE530*BS530)/100</f>
        <v>10.156980056980055</v>
      </c>
      <c r="T530" s="198"/>
      <c r="U530" s="176">
        <v>16.2</v>
      </c>
      <c r="Y530" s="200">
        <f>(AE530*BU530)/100</f>
        <v>3.7311355311355303</v>
      </c>
      <c r="Z530" s="198"/>
      <c r="AA530" s="200"/>
      <c r="AB530" s="198"/>
      <c r="AC530" s="378">
        <f t="shared" si="8"/>
        <v>18.86296296296296</v>
      </c>
      <c r="AE530" s="176">
        <f>(M530/U530)*((100-CC530)/(100-9))*100</f>
        <v>20.728530728530725</v>
      </c>
      <c r="AF530" s="198">
        <v>41822</v>
      </c>
      <c r="AG530" s="176">
        <v>4.7</v>
      </c>
      <c r="AH530" s="196">
        <v>41927</v>
      </c>
      <c r="AI530" s="176">
        <v>125</v>
      </c>
      <c r="AM530" s="176">
        <v>78</v>
      </c>
      <c r="BG530" s="201">
        <v>0.8</v>
      </c>
      <c r="BI530" s="201">
        <v>4.4000000000000004</v>
      </c>
      <c r="BK530" s="201">
        <v>1.6</v>
      </c>
      <c r="BM530" s="201">
        <v>65.7</v>
      </c>
      <c r="BO530" s="201">
        <v>18.5</v>
      </c>
      <c r="BQ530" s="201">
        <v>7.7</v>
      </c>
      <c r="BS530" s="201">
        <v>49</v>
      </c>
      <c r="BU530" s="201">
        <v>18</v>
      </c>
      <c r="BW530" s="201">
        <v>14.7</v>
      </c>
      <c r="BY530" s="178">
        <v>6.7999999999999972</v>
      </c>
      <c r="CC530" s="201">
        <v>7.4</v>
      </c>
      <c r="CD530" s="198">
        <v>41822</v>
      </c>
      <c r="CI530" s="174" t="s">
        <v>9340</v>
      </c>
      <c r="CL530" s="174">
        <v>1</v>
      </c>
    </row>
    <row r="531" spans="1:91">
      <c r="A531" s="191" t="s">
        <v>7807</v>
      </c>
      <c r="B531" s="192" t="s">
        <v>269</v>
      </c>
      <c r="C531" s="192" t="s">
        <v>8997</v>
      </c>
      <c r="D531" s="192" t="s">
        <v>8922</v>
      </c>
      <c r="E531" s="193">
        <v>258</v>
      </c>
      <c r="F531" s="193">
        <v>2</v>
      </c>
      <c r="K531" s="176">
        <v>6</v>
      </c>
      <c r="M531" s="197">
        <v>3.7</v>
      </c>
      <c r="N531" s="198">
        <v>41822</v>
      </c>
      <c r="S531" s="176">
        <f>(AE531*BS531)/100</f>
        <v>12.463192239858905</v>
      </c>
      <c r="T531" s="198"/>
      <c r="U531" s="176">
        <v>16.2</v>
      </c>
      <c r="Y531" s="200">
        <f>(AE531*BU531)/100</f>
        <v>3.6601940035273373</v>
      </c>
      <c r="Z531" s="198"/>
      <c r="AA531" s="200"/>
      <c r="AB531" s="198"/>
      <c r="AC531" s="378">
        <f t="shared" si="8"/>
        <v>21.080864197530865</v>
      </c>
      <c r="AE531" s="176">
        <f>(M531/U531)*((100-CC531)/(100-9))*100</f>
        <v>23.1657848324515</v>
      </c>
      <c r="AF531" s="198">
        <v>41822</v>
      </c>
      <c r="AG531" s="176">
        <v>5.2</v>
      </c>
      <c r="AH531" s="196">
        <v>41927</v>
      </c>
      <c r="AI531" s="176">
        <v>150</v>
      </c>
      <c r="AM531" s="176">
        <v>85</v>
      </c>
      <c r="BG531" s="201">
        <v>0</v>
      </c>
      <c r="BI531" s="201">
        <v>4.8</v>
      </c>
      <c r="BK531" s="201">
        <v>1.5</v>
      </c>
      <c r="BM531" s="201">
        <v>62</v>
      </c>
      <c r="BO531" s="201">
        <v>20.9</v>
      </c>
      <c r="BQ531" s="201">
        <v>9.1999999999999993</v>
      </c>
      <c r="BS531" s="201">
        <v>53.8</v>
      </c>
      <c r="BU531" s="201">
        <v>15.8</v>
      </c>
      <c r="BW531" s="201">
        <v>11.2</v>
      </c>
      <c r="BY531" s="178">
        <v>6.9000000000000057</v>
      </c>
      <c r="CC531" s="201">
        <v>7.7</v>
      </c>
      <c r="CD531" s="198">
        <v>41822</v>
      </c>
      <c r="CI531" s="174" t="s">
        <v>9366</v>
      </c>
      <c r="CL531" s="174">
        <v>1</v>
      </c>
    </row>
    <row r="532" spans="1:91">
      <c r="A532" s="191" t="s">
        <v>7779</v>
      </c>
      <c r="B532" s="192" t="s">
        <v>269</v>
      </c>
      <c r="C532" s="192" t="s">
        <v>8997</v>
      </c>
      <c r="D532" s="192" t="s">
        <v>8810</v>
      </c>
      <c r="E532" s="193">
        <v>258</v>
      </c>
      <c r="F532" s="193">
        <v>3</v>
      </c>
      <c r="K532" s="176">
        <v>8</v>
      </c>
      <c r="M532" s="197">
        <v>4.0999999999999996</v>
      </c>
      <c r="N532" s="198">
        <v>41822</v>
      </c>
      <c r="S532" s="176">
        <f>(AE532*BS532)/100</f>
        <v>13.210721747388414</v>
      </c>
      <c r="T532" s="198"/>
      <c r="U532" s="176">
        <v>16.2</v>
      </c>
      <c r="Y532" s="200">
        <f>(AE532*BU532)/100</f>
        <v>4.3100617283950609</v>
      </c>
      <c r="Z532" s="198"/>
      <c r="AA532" s="200"/>
      <c r="AB532" s="198"/>
      <c r="AC532" s="378">
        <f t="shared" si="8"/>
        <v>23.208024691358027</v>
      </c>
      <c r="AE532" s="176">
        <f>(M532/U532)*((100-CC532)/(100-9))*100</f>
        <v>25.50332383665717</v>
      </c>
      <c r="AF532" s="198">
        <v>41822</v>
      </c>
      <c r="AG532" s="176">
        <v>5.0999999999999996</v>
      </c>
      <c r="AH532" s="196">
        <v>41927</v>
      </c>
      <c r="AI532" s="176">
        <v>150</v>
      </c>
      <c r="AM532" s="176">
        <v>82</v>
      </c>
      <c r="BG532" s="201">
        <v>0</v>
      </c>
      <c r="BI532" s="201">
        <v>4.8</v>
      </c>
      <c r="BK532" s="201">
        <v>1.6</v>
      </c>
      <c r="BM532" s="201">
        <v>61.9</v>
      </c>
      <c r="BO532" s="201">
        <v>20</v>
      </c>
      <c r="BQ532" s="201">
        <v>9</v>
      </c>
      <c r="BS532" s="201">
        <v>51.8</v>
      </c>
      <c r="BU532" s="201">
        <v>16.899999999999999</v>
      </c>
      <c r="BW532" s="201">
        <v>6.8</v>
      </c>
      <c r="BY532" s="178">
        <v>7</v>
      </c>
      <c r="CC532" s="201">
        <v>8.3000000000000007</v>
      </c>
      <c r="CD532" s="198">
        <v>41822</v>
      </c>
      <c r="CI532" s="174" t="s">
        <v>9356</v>
      </c>
      <c r="CL532" s="174">
        <v>1</v>
      </c>
    </row>
    <row r="533" spans="1:91">
      <c r="A533" s="191" t="s">
        <v>7687</v>
      </c>
      <c r="B533" s="192" t="s">
        <v>269</v>
      </c>
      <c r="C533" s="192" t="s">
        <v>8997</v>
      </c>
      <c r="D533" s="192" t="s">
        <v>8442</v>
      </c>
      <c r="E533" s="193">
        <v>258</v>
      </c>
      <c r="F533" s="193">
        <v>4</v>
      </c>
      <c r="K533" s="176">
        <v>7</v>
      </c>
      <c r="M533" s="197">
        <v>3.3</v>
      </c>
      <c r="N533" s="198">
        <v>41822</v>
      </c>
      <c r="S533" s="176">
        <f>(AE533*BS533)/100</f>
        <v>11.087122507122507</v>
      </c>
      <c r="T533" s="198"/>
      <c r="U533" s="176">
        <v>16.2</v>
      </c>
      <c r="Y533" s="200">
        <f>(AE533*BU533)/100</f>
        <v>3.2302706552706546</v>
      </c>
      <c r="Z533" s="198"/>
      <c r="AA533" s="200"/>
      <c r="AB533" s="198"/>
      <c r="AC533" s="378">
        <f t="shared" si="8"/>
        <v>18.964814814814812</v>
      </c>
      <c r="AE533" s="176">
        <f>(M533/U533)*((100-CC533)/(100-9))*100</f>
        <v>20.840455840455839</v>
      </c>
      <c r="AF533" s="198">
        <v>41822</v>
      </c>
      <c r="AG533" s="176">
        <v>4.4000000000000004</v>
      </c>
      <c r="AH533" s="196">
        <v>41927</v>
      </c>
      <c r="AI533" s="176">
        <v>120</v>
      </c>
      <c r="AM533" s="176">
        <v>79</v>
      </c>
      <c r="BG533" s="201">
        <v>1.5</v>
      </c>
      <c r="BI533" s="201">
        <v>4.7</v>
      </c>
      <c r="BK533" s="201">
        <v>1.5</v>
      </c>
      <c r="BM533" s="201">
        <v>60.5</v>
      </c>
      <c r="BO533" s="201">
        <v>20.9</v>
      </c>
      <c r="BQ533" s="201">
        <v>8.9</v>
      </c>
      <c r="BS533" s="201">
        <v>53.2</v>
      </c>
      <c r="BU533" s="201">
        <v>15.5</v>
      </c>
      <c r="BW533" s="201">
        <v>17</v>
      </c>
      <c r="BY533" s="178">
        <v>6.0999999999999943</v>
      </c>
      <c r="CC533" s="201">
        <v>6.9</v>
      </c>
      <c r="CD533" s="198">
        <v>41822</v>
      </c>
      <c r="CI533" s="174" t="s">
        <v>9349</v>
      </c>
      <c r="CL533" s="174">
        <v>5</v>
      </c>
    </row>
    <row r="534" spans="1:91">
      <c r="A534" s="191" t="s">
        <v>7784</v>
      </c>
      <c r="B534" s="192" t="s">
        <v>269</v>
      </c>
      <c r="C534" s="192" t="s">
        <v>8997</v>
      </c>
      <c r="D534" s="192" t="s">
        <v>8826</v>
      </c>
      <c r="E534" s="193">
        <v>258</v>
      </c>
      <c r="F534" s="193">
        <v>5</v>
      </c>
      <c r="K534" s="176">
        <v>8</v>
      </c>
      <c r="M534" s="197">
        <v>4.0999999999999996</v>
      </c>
      <c r="N534" s="198">
        <v>41822</v>
      </c>
      <c r="S534" s="176">
        <f>(AE534*BS534)/100</f>
        <v>13.89619658119658</v>
      </c>
      <c r="T534" s="198"/>
      <c r="U534" s="176">
        <v>16.2</v>
      </c>
      <c r="Y534" s="200">
        <f>(AE534*BU534)/100</f>
        <v>4.0476862026862026</v>
      </c>
      <c r="Z534" s="198"/>
      <c r="AA534" s="200"/>
      <c r="AB534" s="198"/>
      <c r="AC534" s="378">
        <f t="shared" si="8"/>
        <v>23.461111111111112</v>
      </c>
      <c r="AE534" s="176">
        <f>(M534/U534)*((100-CC534)/(100-9))*100</f>
        <v>25.781440781440779</v>
      </c>
      <c r="AF534" s="198">
        <v>41822</v>
      </c>
      <c r="AG534" s="176">
        <v>5.4</v>
      </c>
      <c r="AH534" s="196">
        <v>41927</v>
      </c>
      <c r="AI534" s="176">
        <v>145</v>
      </c>
      <c r="AM534" s="176">
        <v>79</v>
      </c>
      <c r="BG534" s="201">
        <v>0</v>
      </c>
      <c r="BI534" s="201">
        <v>4.5999999999999996</v>
      </c>
      <c r="BK534" s="201">
        <v>1.6</v>
      </c>
      <c r="BM534" s="201">
        <v>64.099999999999994</v>
      </c>
      <c r="BO534" s="201">
        <v>21.3</v>
      </c>
      <c r="BQ534" s="201">
        <v>7.6</v>
      </c>
      <c r="BS534" s="201">
        <v>53.9</v>
      </c>
      <c r="BU534" s="201">
        <v>15.7</v>
      </c>
      <c r="BW534" s="201">
        <v>9.8000000000000007</v>
      </c>
      <c r="BY534" s="178">
        <v>6.4000000000000057</v>
      </c>
      <c r="CC534" s="201">
        <v>7.3</v>
      </c>
      <c r="CD534" s="198">
        <v>41822</v>
      </c>
      <c r="CI534" s="174" t="s">
        <v>9340</v>
      </c>
      <c r="CL534" s="174">
        <v>1</v>
      </c>
    </row>
    <row r="535" spans="1:91">
      <c r="A535" s="191" t="s">
        <v>7697</v>
      </c>
      <c r="B535" s="192" t="s">
        <v>269</v>
      </c>
      <c r="C535" s="192" t="s">
        <v>8997</v>
      </c>
      <c r="D535" s="192" t="s">
        <v>8482</v>
      </c>
      <c r="E535" s="193">
        <v>258</v>
      </c>
      <c r="F535" s="193">
        <v>6</v>
      </c>
      <c r="K535" s="176">
        <v>8</v>
      </c>
      <c r="M535" s="197">
        <v>4.1500000000000004</v>
      </c>
      <c r="N535" s="198">
        <v>41822</v>
      </c>
      <c r="S535" s="176">
        <f>(AE535*BS535)/100</f>
        <v>13.715353072853071</v>
      </c>
      <c r="T535" s="198"/>
      <c r="U535" s="176">
        <v>16.2</v>
      </c>
      <c r="Y535" s="200">
        <f>(AE535*BU535)/100</f>
        <v>4.1742378917378922</v>
      </c>
      <c r="Z535" s="198"/>
      <c r="AA535" s="200"/>
      <c r="AB535" s="198"/>
      <c r="AC535" s="378">
        <f t="shared" si="8"/>
        <v>23.593518518518518</v>
      </c>
      <c r="AE535" s="176">
        <f>(M535/U535)*((100-CC535)/(100-9))*100</f>
        <v>25.926943426943428</v>
      </c>
      <c r="AF535" s="198">
        <v>41822</v>
      </c>
      <c r="AG535" s="176">
        <v>4.3</v>
      </c>
      <c r="AH535" s="196">
        <v>41927</v>
      </c>
      <c r="AI535" s="176">
        <v>150</v>
      </c>
      <c r="AM535" s="176">
        <v>89</v>
      </c>
      <c r="BG535" s="201">
        <v>23.8</v>
      </c>
      <c r="BI535" s="201">
        <v>4.4000000000000004</v>
      </c>
      <c r="BK535" s="201">
        <v>1.4</v>
      </c>
      <c r="BM535" s="201">
        <v>48.8</v>
      </c>
      <c r="BO535" s="201">
        <v>17.899999999999999</v>
      </c>
      <c r="BQ535" s="201">
        <v>5.7</v>
      </c>
      <c r="BS535" s="201">
        <v>52.9</v>
      </c>
      <c r="BU535" s="201">
        <v>16.100000000000001</v>
      </c>
      <c r="BW535" s="201">
        <v>5.0999999999999996</v>
      </c>
      <c r="BY535" s="178">
        <v>6.2999999999999972</v>
      </c>
      <c r="CC535" s="201">
        <v>7.9</v>
      </c>
      <c r="CD535" s="198">
        <v>41822</v>
      </c>
      <c r="CI535" s="174" t="s">
        <v>9354</v>
      </c>
      <c r="CL535" s="174">
        <v>1</v>
      </c>
    </row>
    <row r="536" spans="1:91">
      <c r="A536" s="191" t="s">
        <v>7628</v>
      </c>
      <c r="B536" s="192" t="s">
        <v>271</v>
      </c>
      <c r="C536" s="192" t="s">
        <v>8999</v>
      </c>
      <c r="D536" s="192" t="s">
        <v>8208</v>
      </c>
      <c r="E536" s="193">
        <v>258</v>
      </c>
      <c r="F536" s="193">
        <v>7</v>
      </c>
      <c r="I536" s="184"/>
      <c r="K536" s="176">
        <v>9</v>
      </c>
      <c r="M536" s="197">
        <v>2.65</v>
      </c>
      <c r="N536" s="198">
        <v>41822</v>
      </c>
      <c r="O536" s="179"/>
      <c r="S536" s="176">
        <f>(AE536*BS536)/100</f>
        <v>7.5166921041921038</v>
      </c>
      <c r="T536" s="198"/>
      <c r="U536" s="176">
        <v>16.2</v>
      </c>
      <c r="Y536" s="200">
        <f>(AE536*BU536)/100</f>
        <v>3.5691951566951561</v>
      </c>
      <c r="Z536" s="198"/>
      <c r="AA536" s="200"/>
      <c r="AB536" s="198"/>
      <c r="AC536" s="378">
        <f t="shared" si="8"/>
        <v>14.967592592592593</v>
      </c>
      <c r="AE536" s="176">
        <f>(M536/U536)*((100-CC536)/(100-9))*100</f>
        <v>16.447903947903946</v>
      </c>
      <c r="AF536" s="198">
        <v>41822</v>
      </c>
      <c r="AG536" s="176">
        <v>5.5</v>
      </c>
      <c r="AH536" s="196">
        <v>41927</v>
      </c>
      <c r="AI536" s="176">
        <v>110</v>
      </c>
      <c r="AM536" s="176">
        <v>91</v>
      </c>
      <c r="BG536" s="201">
        <v>43.7</v>
      </c>
      <c r="BI536" s="201">
        <v>4.0999999999999996</v>
      </c>
      <c r="BK536" s="201">
        <v>1.3</v>
      </c>
      <c r="BM536" s="201">
        <v>42</v>
      </c>
      <c r="BO536" s="201">
        <v>14.7</v>
      </c>
      <c r="BQ536" s="201">
        <v>7.6</v>
      </c>
      <c r="BS536" s="201">
        <v>45.7</v>
      </c>
      <c r="BU536" s="201">
        <v>21.7</v>
      </c>
      <c r="BW536" s="201">
        <v>70.7</v>
      </c>
      <c r="BY536" s="178">
        <v>7.2000000000000028</v>
      </c>
      <c r="CC536" s="201">
        <v>8.5</v>
      </c>
      <c r="CD536" s="198">
        <v>41822</v>
      </c>
      <c r="CI536" s="174" t="s">
        <v>9349</v>
      </c>
      <c r="CL536" s="174">
        <v>6</v>
      </c>
    </row>
    <row r="537" spans="1:91">
      <c r="A537" s="191" t="s">
        <v>7635</v>
      </c>
      <c r="B537" s="192" t="s">
        <v>271</v>
      </c>
      <c r="C537" s="192" t="s">
        <v>8999</v>
      </c>
      <c r="D537" s="192" t="s">
        <v>8236</v>
      </c>
      <c r="E537" s="193">
        <v>258</v>
      </c>
      <c r="F537" s="193">
        <v>8</v>
      </c>
      <c r="K537" s="176">
        <v>6</v>
      </c>
      <c r="M537" s="197">
        <v>0.55000000000000004</v>
      </c>
      <c r="N537" s="198">
        <v>41822</v>
      </c>
      <c r="S537" s="176">
        <f>(AE537*BS537)/100</f>
        <v>1.5668956043956044</v>
      </c>
      <c r="T537" s="198"/>
      <c r="U537" s="176">
        <v>16.2</v>
      </c>
      <c r="Y537" s="200">
        <f>(AE537*BU537)/100</f>
        <v>0.75101750101750098</v>
      </c>
      <c r="Z537" s="198"/>
      <c r="AA537" s="200"/>
      <c r="AB537" s="198"/>
      <c r="AC537" s="378">
        <f t="shared" si="8"/>
        <v>3.1064814814814818</v>
      </c>
      <c r="AE537" s="176">
        <f>(M537/U537)*((100-CC537)/(100-9))*100</f>
        <v>3.4137159137159139</v>
      </c>
      <c r="AF537" s="198">
        <v>41822</v>
      </c>
      <c r="AG537" s="176">
        <v>5.4</v>
      </c>
      <c r="AH537" s="196">
        <v>41927</v>
      </c>
      <c r="AI537" s="176">
        <v>100</v>
      </c>
      <c r="AM537" s="176">
        <v>84</v>
      </c>
      <c r="BG537" s="201">
        <v>21.5</v>
      </c>
      <c r="BI537" s="201">
        <v>4.0999999999999996</v>
      </c>
      <c r="BK537" s="201">
        <v>1.5</v>
      </c>
      <c r="BM537" s="201">
        <v>51</v>
      </c>
      <c r="BO537" s="201">
        <v>16</v>
      </c>
      <c r="BQ537" s="201">
        <v>9.9</v>
      </c>
      <c r="BS537" s="201">
        <v>45.9</v>
      </c>
      <c r="BU537" s="201">
        <v>22</v>
      </c>
      <c r="BW537" s="201">
        <v>62.9</v>
      </c>
      <c r="BY537" s="178">
        <v>7.2000000000000028</v>
      </c>
      <c r="CC537" s="201">
        <v>8.5</v>
      </c>
      <c r="CD537" s="198">
        <v>41822</v>
      </c>
      <c r="CI537" s="174" t="s">
        <v>9370</v>
      </c>
      <c r="CL537" s="174">
        <v>9</v>
      </c>
    </row>
    <row r="538" spans="1:91">
      <c r="A538" s="191" t="s">
        <v>9000</v>
      </c>
      <c r="B538" s="192" t="s">
        <v>271</v>
      </c>
      <c r="C538" s="192" t="s">
        <v>8999</v>
      </c>
      <c r="D538" s="192" t="s">
        <v>8300</v>
      </c>
      <c r="E538" s="193">
        <v>258</v>
      </c>
      <c r="F538" s="193">
        <v>9</v>
      </c>
      <c r="K538" s="176">
        <v>6</v>
      </c>
      <c r="M538" s="197">
        <v>5.3</v>
      </c>
      <c r="N538" s="198">
        <v>41822</v>
      </c>
      <c r="S538" s="176">
        <f>(AE538*BS538)/100</f>
        <v>17.463467643467641</v>
      </c>
      <c r="T538" s="198"/>
      <c r="U538" s="176">
        <v>16.2</v>
      </c>
      <c r="Y538" s="200">
        <f>(AE538*BU538)/100</f>
        <v>5.3323565323565321</v>
      </c>
      <c r="Z538" s="198"/>
      <c r="AA538" s="200"/>
      <c r="AB538" s="198"/>
      <c r="AC538" s="378">
        <f t="shared" si="8"/>
        <v>30.327777777777779</v>
      </c>
      <c r="AE538" s="176">
        <f>(M538/U538)*((100-CC538)/(100-9))*100</f>
        <v>33.327228327228326</v>
      </c>
      <c r="AF538" s="198">
        <v>41822</v>
      </c>
      <c r="AG538" s="176">
        <v>5</v>
      </c>
      <c r="AH538" s="196">
        <v>41927</v>
      </c>
      <c r="AI538" s="176">
        <v>160</v>
      </c>
      <c r="AM538" s="176">
        <v>86</v>
      </c>
      <c r="BG538" s="201">
        <v>0</v>
      </c>
      <c r="BI538" s="201">
        <v>4.9000000000000004</v>
      </c>
      <c r="BK538" s="201">
        <v>1.7</v>
      </c>
      <c r="BM538" s="201">
        <v>67.7</v>
      </c>
      <c r="BO538" s="201">
        <v>20.3</v>
      </c>
      <c r="BQ538" s="201">
        <v>6.1</v>
      </c>
      <c r="BS538" s="201">
        <v>52.4</v>
      </c>
      <c r="BU538" s="201">
        <v>16</v>
      </c>
      <c r="BW538" s="201">
        <v>12.2</v>
      </c>
      <c r="BY538" s="178">
        <v>6</v>
      </c>
      <c r="CC538" s="201">
        <v>7.3</v>
      </c>
      <c r="CD538" s="198">
        <v>41822</v>
      </c>
      <c r="CI538" s="174" t="s">
        <v>9358</v>
      </c>
      <c r="CL538" s="174">
        <v>1</v>
      </c>
    </row>
    <row r="539" spans="1:91">
      <c r="A539" s="191" t="s">
        <v>7723</v>
      </c>
      <c r="B539" s="192" t="s">
        <v>271</v>
      </c>
      <c r="C539" s="192" t="s">
        <v>8999</v>
      </c>
      <c r="D539" s="192" t="s">
        <v>8588</v>
      </c>
      <c r="E539" s="193">
        <v>258</v>
      </c>
      <c r="F539" s="193">
        <v>10</v>
      </c>
      <c r="K539" s="176">
        <v>7</v>
      </c>
      <c r="M539" s="197">
        <v>6</v>
      </c>
      <c r="N539" s="198">
        <v>41822</v>
      </c>
      <c r="S539" s="176">
        <f>(AE539*BS539)/100</f>
        <v>18.847049247049245</v>
      </c>
      <c r="T539" s="198"/>
      <c r="U539" s="176">
        <v>16.2</v>
      </c>
      <c r="Y539" s="200">
        <f>(AE539*BU539)/100</f>
        <v>6.8363044363044363</v>
      </c>
      <c r="Z539" s="198"/>
      <c r="AA539" s="200"/>
      <c r="AB539" s="198"/>
      <c r="AC539" s="378">
        <f t="shared" si="8"/>
        <v>34.370370370370374</v>
      </c>
      <c r="AE539" s="176">
        <f>(M539/U539)*((100-CC539)/(100-9))*100</f>
        <v>37.769637769637768</v>
      </c>
      <c r="AF539" s="198">
        <v>41822</v>
      </c>
      <c r="AG539" s="176">
        <v>4.9000000000000004</v>
      </c>
      <c r="AH539" s="196">
        <v>41927</v>
      </c>
      <c r="AI539" s="176">
        <v>160</v>
      </c>
      <c r="AM539" s="176">
        <v>80</v>
      </c>
      <c r="BG539" s="201">
        <v>5.7</v>
      </c>
      <c r="BI539" s="201">
        <v>4.3</v>
      </c>
      <c r="BK539" s="201">
        <v>1.6</v>
      </c>
      <c r="BM539" s="201">
        <v>65</v>
      </c>
      <c r="BO539" s="201">
        <v>19.2</v>
      </c>
      <c r="BQ539" s="201">
        <v>8.5</v>
      </c>
      <c r="BS539" s="201">
        <v>49.9</v>
      </c>
      <c r="BU539" s="201">
        <v>18.100000000000001</v>
      </c>
      <c r="BW539" s="201">
        <v>16.2</v>
      </c>
      <c r="BY539" s="178">
        <v>6.7000000000000028</v>
      </c>
      <c r="CC539" s="201">
        <v>7.2</v>
      </c>
      <c r="CD539" s="198">
        <v>41822</v>
      </c>
      <c r="CI539" s="174" t="s">
        <v>9352</v>
      </c>
      <c r="CL539" s="174">
        <v>1</v>
      </c>
    </row>
    <row r="540" spans="1:91">
      <c r="A540" s="191" t="s">
        <v>7698</v>
      </c>
      <c r="B540" s="192" t="s">
        <v>271</v>
      </c>
      <c r="C540" s="192" t="s">
        <v>8999</v>
      </c>
      <c r="D540" s="192" t="s">
        <v>8488</v>
      </c>
      <c r="E540" s="193">
        <v>258</v>
      </c>
      <c r="F540" s="193">
        <v>11</v>
      </c>
      <c r="K540" s="176">
        <v>7</v>
      </c>
      <c r="M540" s="197">
        <v>5.2</v>
      </c>
      <c r="N540" s="198">
        <v>41822</v>
      </c>
      <c r="S540" s="176">
        <f>(AE540*BS540)/100</f>
        <v>16.165925925925929</v>
      </c>
      <c r="T540" s="198"/>
      <c r="U540" s="176">
        <v>16.2</v>
      </c>
      <c r="Y540" s="200">
        <f>(AE540*BU540)/100</f>
        <v>5.6059259259259271</v>
      </c>
      <c r="Z540" s="198"/>
      <c r="AA540" s="200"/>
      <c r="AB540" s="198"/>
      <c r="AC540" s="378">
        <f t="shared" si="8"/>
        <v>29.659259259259265</v>
      </c>
      <c r="AE540" s="176">
        <f>(M540/U540)*((100-CC540)/(100-9))*100</f>
        <v>32.592592592592602</v>
      </c>
      <c r="AF540" s="198">
        <v>41822</v>
      </c>
      <c r="AG540" s="176">
        <v>5.6</v>
      </c>
      <c r="AH540" s="196">
        <v>41927</v>
      </c>
      <c r="AI540" s="176">
        <v>155</v>
      </c>
      <c r="AM540" s="176">
        <v>85</v>
      </c>
      <c r="BG540" s="201">
        <v>0</v>
      </c>
      <c r="BI540" s="201">
        <v>4.5999999999999996</v>
      </c>
      <c r="BK540" s="201">
        <v>1.7</v>
      </c>
      <c r="BM540" s="201">
        <v>62.3</v>
      </c>
      <c r="BO540" s="201">
        <v>20.399999999999999</v>
      </c>
      <c r="BQ540" s="201">
        <v>7.7</v>
      </c>
      <c r="BS540" s="201">
        <v>49.6</v>
      </c>
      <c r="BU540" s="201">
        <v>17.2</v>
      </c>
      <c r="BW540" s="201">
        <v>11</v>
      </c>
      <c r="BY540" s="178">
        <v>6.5999999999999943</v>
      </c>
      <c r="CC540" s="201">
        <v>7.6</v>
      </c>
      <c r="CD540" s="198">
        <v>41822</v>
      </c>
      <c r="CI540" s="174" t="s">
        <v>9347</v>
      </c>
      <c r="CL540" s="174">
        <v>1</v>
      </c>
    </row>
    <row r="541" spans="1:91">
      <c r="A541" s="191" t="s">
        <v>7618</v>
      </c>
      <c r="B541" s="192" t="s">
        <v>271</v>
      </c>
      <c r="C541" s="192" t="s">
        <v>8999</v>
      </c>
      <c r="D541" s="192" t="s">
        <v>8168</v>
      </c>
      <c r="E541" s="193">
        <v>258</v>
      </c>
      <c r="F541" s="193">
        <v>12</v>
      </c>
      <c r="I541" s="184"/>
      <c r="K541" s="176">
        <v>6</v>
      </c>
      <c r="M541" s="197">
        <v>0.95</v>
      </c>
      <c r="N541" s="198">
        <v>41822</v>
      </c>
      <c r="O541" s="179"/>
      <c r="S541" s="176">
        <f>(AE541*BS541)/100</f>
        <v>2.7717999592999591</v>
      </c>
      <c r="T541" s="198"/>
      <c r="U541" s="176">
        <v>16.2</v>
      </c>
      <c r="Y541" s="200">
        <f>(AE541*BU541)/100</f>
        <v>1.2279371862705195</v>
      </c>
      <c r="Z541" s="198"/>
      <c r="AA541" s="200"/>
      <c r="AB541" s="198"/>
      <c r="AC541" s="378">
        <f t="shared" si="8"/>
        <v>5.424382716049382</v>
      </c>
      <c r="AE541" s="176">
        <f>(M541/U541)*((100-CC541)/(100-9))*100</f>
        <v>5.9608601275267938</v>
      </c>
      <c r="AF541" s="198">
        <v>41822</v>
      </c>
      <c r="AG541" s="176">
        <v>4.8</v>
      </c>
      <c r="AH541" s="196">
        <v>41927</v>
      </c>
      <c r="AI541" s="176">
        <v>70</v>
      </c>
      <c r="AM541" s="176">
        <v>82</v>
      </c>
      <c r="BG541" s="201">
        <v>32.700000000000003</v>
      </c>
      <c r="BI541" s="201">
        <v>4.2</v>
      </c>
      <c r="BK541" s="201">
        <v>1.4</v>
      </c>
      <c r="BM541" s="201">
        <v>49.2</v>
      </c>
      <c r="BO541" s="201">
        <v>17</v>
      </c>
      <c r="BQ541" s="201">
        <v>7.3</v>
      </c>
      <c r="BS541" s="201">
        <v>46.5</v>
      </c>
      <c r="BU541" s="201">
        <v>20.6</v>
      </c>
      <c r="BW541" s="201">
        <v>55.5</v>
      </c>
      <c r="BY541" s="178">
        <v>6.7000000000000028</v>
      </c>
      <c r="CC541" s="201">
        <v>7.5</v>
      </c>
      <c r="CD541" s="198">
        <v>41822</v>
      </c>
      <c r="CI541" s="174" t="s">
        <v>9351</v>
      </c>
      <c r="CL541" s="174">
        <v>9</v>
      </c>
    </row>
    <row r="542" spans="1:91">
      <c r="A542" s="191" t="s">
        <v>7764</v>
      </c>
      <c r="B542" s="192" t="s">
        <v>269</v>
      </c>
      <c r="C542" s="192" t="s">
        <v>8997</v>
      </c>
      <c r="D542" s="192" t="s">
        <v>8750</v>
      </c>
      <c r="E542" s="193">
        <v>259</v>
      </c>
      <c r="F542" s="193">
        <v>1</v>
      </c>
      <c r="K542" s="176">
        <v>7</v>
      </c>
      <c r="M542" s="197">
        <v>5.2</v>
      </c>
      <c r="N542" s="198">
        <v>41822</v>
      </c>
      <c r="S542" s="176">
        <f>(AE542*BS542)/100</f>
        <v>16.000846560846561</v>
      </c>
      <c r="T542" s="198"/>
      <c r="U542" s="176">
        <v>16.2</v>
      </c>
      <c r="Y542" s="200">
        <f>(AE542*BU542)/100</f>
        <v>5.8539682539682545</v>
      </c>
      <c r="Z542" s="198"/>
      <c r="AA542" s="200"/>
      <c r="AB542" s="198"/>
      <c r="AC542" s="378">
        <f t="shared" si="8"/>
        <v>29.595061728395066</v>
      </c>
      <c r="AE542" s="176">
        <f>(M542/U542)*((100-CC542)/(100-9))*100</f>
        <v>32.52204585537919</v>
      </c>
      <c r="AF542" s="198">
        <v>41822</v>
      </c>
      <c r="AG542" s="176">
        <v>4.5999999999999996</v>
      </c>
      <c r="AH542" s="196">
        <v>41927</v>
      </c>
      <c r="AI542" s="176">
        <v>145</v>
      </c>
      <c r="AM542" s="176">
        <v>83</v>
      </c>
      <c r="BG542" s="201">
        <v>4.2</v>
      </c>
      <c r="BI542" s="201">
        <v>4.7</v>
      </c>
      <c r="BK542" s="201">
        <v>1.4</v>
      </c>
      <c r="BM542" s="201">
        <v>62.5</v>
      </c>
      <c r="BO542" s="201">
        <v>19.399999999999999</v>
      </c>
      <c r="BQ542" s="201">
        <v>10.199999999999999</v>
      </c>
      <c r="BS542" s="201">
        <v>49.2</v>
      </c>
      <c r="BU542" s="201">
        <v>18</v>
      </c>
      <c r="BW542" s="201">
        <v>20.2</v>
      </c>
      <c r="BY542" s="178">
        <v>7.2000000000000028</v>
      </c>
      <c r="CC542" s="201">
        <v>7.8</v>
      </c>
      <c r="CD542" s="198">
        <v>41822</v>
      </c>
      <c r="CI542" s="174" t="s">
        <v>9343</v>
      </c>
      <c r="CL542" s="174">
        <v>1</v>
      </c>
    </row>
    <row r="543" spans="1:91">
      <c r="A543" s="191" t="s">
        <v>7713</v>
      </c>
      <c r="B543" s="192" t="s">
        <v>269</v>
      </c>
      <c r="C543" s="192" t="s">
        <v>8997</v>
      </c>
      <c r="D543" s="192" t="s">
        <v>8546</v>
      </c>
      <c r="E543" s="193">
        <v>259</v>
      </c>
      <c r="F543" s="193">
        <v>2</v>
      </c>
      <c r="K543" s="176">
        <v>7</v>
      </c>
      <c r="M543" s="197">
        <v>3.5</v>
      </c>
      <c r="N543" s="198">
        <v>41822</v>
      </c>
      <c r="S543" s="176">
        <f>(AE543*BS543)/100</f>
        <v>11.353869895536564</v>
      </c>
      <c r="T543" s="198"/>
      <c r="U543" s="176">
        <v>16.2</v>
      </c>
      <c r="Y543" s="200">
        <f>(AE543*BU543)/100</f>
        <v>3.6674976258309595</v>
      </c>
      <c r="Z543" s="198"/>
      <c r="AA543" s="200"/>
      <c r="AB543" s="198"/>
      <c r="AC543" s="378">
        <f t="shared" si="8"/>
        <v>19.98456790123457</v>
      </c>
      <c r="AE543" s="176">
        <f>(M543/U543)*((100-CC543)/(100-9))*100</f>
        <v>21.961063627730297</v>
      </c>
      <c r="AF543" s="198">
        <v>41822</v>
      </c>
      <c r="AG543" s="176">
        <v>4.5999999999999996</v>
      </c>
      <c r="AH543" s="196">
        <v>41927</v>
      </c>
      <c r="AI543" s="176">
        <v>130</v>
      </c>
      <c r="AM543" s="176">
        <v>77</v>
      </c>
      <c r="BG543" s="201">
        <v>0</v>
      </c>
      <c r="BI543" s="201">
        <v>5</v>
      </c>
      <c r="BK543" s="201">
        <v>1.6</v>
      </c>
      <c r="BM543" s="201">
        <v>60.5</v>
      </c>
      <c r="BO543" s="201">
        <v>20.5</v>
      </c>
      <c r="BQ543" s="201">
        <v>9.6999999999999993</v>
      </c>
      <c r="BS543" s="201">
        <v>51.7</v>
      </c>
      <c r="BU543" s="201">
        <v>16.7</v>
      </c>
      <c r="BW543" s="201">
        <v>11</v>
      </c>
      <c r="BY543" s="178">
        <v>7</v>
      </c>
      <c r="CC543" s="201">
        <v>7.5</v>
      </c>
      <c r="CD543" s="198">
        <v>41822</v>
      </c>
      <c r="CI543" s="174" t="s">
        <v>9347</v>
      </c>
      <c r="CL543" s="174">
        <v>1</v>
      </c>
    </row>
    <row r="544" spans="1:91">
      <c r="A544" s="202" t="s">
        <v>7661</v>
      </c>
      <c r="B544" s="203" t="s">
        <v>269</v>
      </c>
      <c r="C544" s="203" t="s">
        <v>8997</v>
      </c>
      <c r="D544" s="203" t="s">
        <v>8338</v>
      </c>
      <c r="E544" s="204">
        <v>259</v>
      </c>
      <c r="F544" s="204">
        <v>3</v>
      </c>
      <c r="G544" s="204"/>
      <c r="H544" s="204"/>
      <c r="I544" s="206"/>
      <c r="J544" s="206"/>
      <c r="K544" s="177">
        <v>9</v>
      </c>
      <c r="L544" s="207"/>
      <c r="M544" s="208">
        <v>1.05</v>
      </c>
      <c r="N544" s="209">
        <v>41822</v>
      </c>
      <c r="O544" s="183"/>
      <c r="P544" s="210"/>
      <c r="Q544" s="183"/>
      <c r="R544" s="210"/>
      <c r="S544" s="177">
        <f>(AE544*BS544)/100</f>
        <v>3.1711538461538464</v>
      </c>
      <c r="T544" s="209"/>
      <c r="U544" s="177">
        <v>16.2</v>
      </c>
      <c r="V544" s="210"/>
      <c r="W544" s="183"/>
      <c r="X544" s="210"/>
      <c r="Y544" s="213">
        <f>(AE544*BU544)/100</f>
        <v>1.3600000000000003</v>
      </c>
      <c r="Z544" s="209"/>
      <c r="AA544" s="213"/>
      <c r="AB544" s="209"/>
      <c r="AC544" s="378">
        <f t="shared" si="8"/>
        <v>5.9500000000000011</v>
      </c>
      <c r="AD544" s="207"/>
      <c r="AE544" s="177">
        <f>(M544/U544)*((100-CC544)/(100-9))*100</f>
        <v>6.5384615384615392</v>
      </c>
      <c r="AF544" s="209">
        <v>41822</v>
      </c>
      <c r="AG544" s="177">
        <v>5.2</v>
      </c>
      <c r="AH544" s="207">
        <v>41927</v>
      </c>
      <c r="AI544" s="177">
        <v>50</v>
      </c>
      <c r="AJ544" s="207"/>
      <c r="AK544" s="183"/>
      <c r="AL544" s="210"/>
      <c r="AM544" s="177">
        <v>84</v>
      </c>
      <c r="AN544" s="210"/>
      <c r="AO544" s="183"/>
      <c r="AP544" s="183"/>
      <c r="AQ544" s="183"/>
      <c r="AR544" s="183"/>
      <c r="AS544" s="183"/>
      <c r="AT544" s="183"/>
      <c r="AU544" s="183"/>
      <c r="AV544" s="183"/>
      <c r="AW544" s="183"/>
      <c r="AX544" s="183"/>
      <c r="AY544" s="183"/>
      <c r="AZ544" s="183"/>
      <c r="BA544" s="183"/>
      <c r="BB544" s="183"/>
      <c r="BC544" s="183"/>
      <c r="BD544" s="183"/>
      <c r="BE544" s="182"/>
      <c r="BF544" s="182"/>
      <c r="BG544" s="211">
        <v>0.5</v>
      </c>
      <c r="BH544" s="181"/>
      <c r="BI544" s="211">
        <v>4.3</v>
      </c>
      <c r="BJ544" s="181"/>
      <c r="BK544" s="211">
        <v>1.5</v>
      </c>
      <c r="BL544" s="181"/>
      <c r="BM544" s="211">
        <v>60.3</v>
      </c>
      <c r="BN544" s="181"/>
      <c r="BO544" s="211">
        <v>18.399999999999999</v>
      </c>
      <c r="BP544" s="181"/>
      <c r="BQ544" s="211">
        <v>10.7</v>
      </c>
      <c r="BR544" s="181"/>
      <c r="BS544" s="211">
        <v>48.5</v>
      </c>
      <c r="BT544" s="181"/>
      <c r="BU544" s="211">
        <v>20.8</v>
      </c>
      <c r="BV544" s="181"/>
      <c r="BW544" s="211">
        <v>60.3</v>
      </c>
      <c r="BX544" s="181"/>
      <c r="BY544" s="181">
        <v>7.5</v>
      </c>
      <c r="BZ544" s="181"/>
      <c r="CA544" s="182"/>
      <c r="CB544" s="182"/>
      <c r="CC544" s="211">
        <v>8.1999999999999993</v>
      </c>
      <c r="CD544" s="209">
        <v>41822</v>
      </c>
      <c r="CE544" s="181"/>
      <c r="CF544" s="181"/>
      <c r="CG544" s="182"/>
      <c r="CH544" s="182"/>
      <c r="CI544" s="175" t="s">
        <v>9351</v>
      </c>
      <c r="CJ544" s="181"/>
      <c r="CK544" s="181"/>
      <c r="CL544" s="175">
        <v>9</v>
      </c>
      <c r="CM544" s="175"/>
    </row>
    <row r="545" spans="1:91">
      <c r="A545" s="191" t="s">
        <v>7676</v>
      </c>
      <c r="B545" s="192" t="s">
        <v>269</v>
      </c>
      <c r="C545" s="192" t="s">
        <v>8997</v>
      </c>
      <c r="D545" s="192" t="s">
        <v>8398</v>
      </c>
      <c r="E545" s="193">
        <v>259</v>
      </c>
      <c r="F545" s="193">
        <v>4</v>
      </c>
      <c r="K545" s="176">
        <v>7</v>
      </c>
      <c r="M545" s="197">
        <v>3.55</v>
      </c>
      <c r="N545" s="198">
        <v>41822</v>
      </c>
      <c r="S545" s="176">
        <f>(AE545*BS545)/100</f>
        <v>11.451025641025639</v>
      </c>
      <c r="T545" s="198"/>
      <c r="U545" s="176">
        <v>16.2</v>
      </c>
      <c r="Y545" s="200">
        <f>(AE545*BU545)/100</f>
        <v>3.7359523809523809</v>
      </c>
      <c r="Z545" s="198"/>
      <c r="AA545" s="200"/>
      <c r="AB545" s="198"/>
      <c r="AC545" s="378">
        <f t="shared" si="8"/>
        <v>20.116666666666667</v>
      </c>
      <c r="AE545" s="176">
        <f>(M545/U545)*((100-CC545)/(100-9))*100</f>
        <v>22.106227106227106</v>
      </c>
      <c r="AF545" s="198">
        <v>41822</v>
      </c>
      <c r="AG545" s="176">
        <v>5</v>
      </c>
      <c r="AH545" s="196">
        <v>41927</v>
      </c>
      <c r="AI545" s="176">
        <v>115</v>
      </c>
      <c r="AM545" s="176">
        <v>80</v>
      </c>
      <c r="BG545" s="201">
        <v>3.3</v>
      </c>
      <c r="BI545" s="201">
        <v>4.0999999999999996</v>
      </c>
      <c r="BK545" s="201">
        <v>1.7</v>
      </c>
      <c r="BM545" s="201">
        <v>61.9</v>
      </c>
      <c r="BO545" s="201">
        <v>19.3</v>
      </c>
      <c r="BQ545" s="201">
        <v>9.4</v>
      </c>
      <c r="BS545" s="201">
        <v>51.8</v>
      </c>
      <c r="BU545" s="201">
        <v>16.899999999999999</v>
      </c>
      <c r="BW545" s="201">
        <v>4.5999999999999996</v>
      </c>
      <c r="BY545" s="178">
        <v>7.5</v>
      </c>
      <c r="CC545" s="201">
        <v>8.1999999999999993</v>
      </c>
      <c r="CD545" s="198">
        <v>41822</v>
      </c>
      <c r="CI545" s="174" t="s">
        <v>9368</v>
      </c>
      <c r="CL545" s="174">
        <v>3</v>
      </c>
    </row>
    <row r="546" spans="1:91">
      <c r="A546" s="191" t="s">
        <v>7777</v>
      </c>
      <c r="B546" s="192" t="s">
        <v>269</v>
      </c>
      <c r="C546" s="192" t="s">
        <v>8997</v>
      </c>
      <c r="D546" s="192" t="s">
        <v>8802</v>
      </c>
      <c r="E546" s="193">
        <v>259</v>
      </c>
      <c r="F546" s="193">
        <v>5</v>
      </c>
      <c r="K546" s="176">
        <v>8</v>
      </c>
      <c r="M546" s="197">
        <v>5.35</v>
      </c>
      <c r="N546" s="198">
        <v>41822</v>
      </c>
      <c r="S546" s="176">
        <f>(AE546*BS546)/100</f>
        <v>18.253436440103101</v>
      </c>
      <c r="T546" s="198"/>
      <c r="U546" s="176">
        <v>16.2</v>
      </c>
      <c r="Y546" s="200">
        <f>(AE546*BU546)/100</f>
        <v>5.2200786867453521</v>
      </c>
      <c r="Z546" s="198"/>
      <c r="AA546" s="200"/>
      <c r="AB546" s="198"/>
      <c r="AC546" s="378">
        <f t="shared" si="8"/>
        <v>30.64691358024691</v>
      </c>
      <c r="AE546" s="176">
        <f>(M546/U546)*((100-CC546)/(100-9))*100</f>
        <v>33.677927011260337</v>
      </c>
      <c r="AF546" s="198">
        <v>41822</v>
      </c>
      <c r="AG546" s="176">
        <v>4.5</v>
      </c>
      <c r="AH546" s="196">
        <v>41927</v>
      </c>
      <c r="AI546" s="176">
        <v>150</v>
      </c>
      <c r="AM546" s="176">
        <v>77</v>
      </c>
      <c r="BG546" s="201">
        <v>3.5</v>
      </c>
      <c r="BI546" s="201">
        <v>4.8</v>
      </c>
      <c r="BK546" s="201">
        <v>1.5</v>
      </c>
      <c r="BM546" s="201">
        <v>63.3</v>
      </c>
      <c r="BO546" s="201">
        <v>18.899999999999999</v>
      </c>
      <c r="BQ546" s="201">
        <v>10.199999999999999</v>
      </c>
      <c r="BS546" s="201">
        <v>54.2</v>
      </c>
      <c r="BU546" s="201">
        <v>15.5</v>
      </c>
      <c r="BW546" s="201">
        <v>11.2</v>
      </c>
      <c r="BY546" s="178">
        <v>6.9000000000000057</v>
      </c>
      <c r="CC546" s="201">
        <v>7.2</v>
      </c>
      <c r="CD546" s="198">
        <v>41822</v>
      </c>
      <c r="CI546" s="174" t="s">
        <v>9347</v>
      </c>
      <c r="CL546" s="174">
        <v>1</v>
      </c>
    </row>
    <row r="547" spans="1:91">
      <c r="A547" s="191" t="s">
        <v>7736</v>
      </c>
      <c r="B547" s="192" t="s">
        <v>269</v>
      </c>
      <c r="C547" s="192" t="s">
        <v>8997</v>
      </c>
      <c r="D547" s="192" t="s">
        <v>8638</v>
      </c>
      <c r="E547" s="193">
        <v>259</v>
      </c>
      <c r="F547" s="193">
        <v>6</v>
      </c>
      <c r="K547" s="176">
        <v>7</v>
      </c>
      <c r="M547" s="197">
        <v>4.05</v>
      </c>
      <c r="N547" s="198">
        <v>41822</v>
      </c>
      <c r="S547" s="176">
        <f>(AE547*BS547)/100</f>
        <v>13.149230769230771</v>
      </c>
      <c r="T547" s="198"/>
      <c r="U547" s="176">
        <v>16.2</v>
      </c>
      <c r="Y547" s="200">
        <f>(AE547*BU547)/100</f>
        <v>4.0361538461538471</v>
      </c>
      <c r="Z547" s="198"/>
      <c r="AA547" s="200"/>
      <c r="AB547" s="198"/>
      <c r="AC547" s="378">
        <f t="shared" si="8"/>
        <v>23.1</v>
      </c>
      <c r="AE547" s="176">
        <f>(M547/U547)*((100-CC547)/(100-9))*100</f>
        <v>25.38461538461539</v>
      </c>
      <c r="AF547" s="198">
        <v>41822</v>
      </c>
      <c r="AG547" s="176">
        <v>4.3</v>
      </c>
      <c r="AH547" s="196">
        <v>41927</v>
      </c>
      <c r="AI547" s="176">
        <v>135</v>
      </c>
      <c r="AM547" s="176">
        <v>79</v>
      </c>
      <c r="BG547" s="201">
        <v>0</v>
      </c>
      <c r="BI547" s="201">
        <v>4.9000000000000004</v>
      </c>
      <c r="BK547" s="201">
        <v>1.6</v>
      </c>
      <c r="BM547" s="201">
        <v>62.3</v>
      </c>
      <c r="BO547" s="201">
        <v>21.6</v>
      </c>
      <c r="BQ547" s="201">
        <v>7.8</v>
      </c>
      <c r="BS547" s="201">
        <v>51.8</v>
      </c>
      <c r="BU547" s="201">
        <v>15.9</v>
      </c>
      <c r="BW547" s="201">
        <v>10.6</v>
      </c>
      <c r="BY547" s="178">
        <v>7</v>
      </c>
      <c r="CC547" s="201">
        <v>7.6</v>
      </c>
      <c r="CD547" s="198">
        <v>41822</v>
      </c>
      <c r="CI547" s="174" t="s">
        <v>9350</v>
      </c>
      <c r="CL547" s="174">
        <v>1</v>
      </c>
    </row>
    <row r="548" spans="1:91">
      <c r="A548" s="191" t="s">
        <v>7730</v>
      </c>
      <c r="B548" s="192" t="s">
        <v>271</v>
      </c>
      <c r="C548" s="192" t="s">
        <v>8999</v>
      </c>
      <c r="D548" s="192" t="s">
        <v>8616</v>
      </c>
      <c r="E548" s="193">
        <v>259</v>
      </c>
      <c r="F548" s="193">
        <v>7</v>
      </c>
      <c r="K548" s="176">
        <v>7</v>
      </c>
      <c r="M548" s="197">
        <v>5.7</v>
      </c>
      <c r="N548" s="198">
        <v>41822</v>
      </c>
      <c r="S548" s="176">
        <f>(AE548*BS548)/100</f>
        <v>17.736851851851849</v>
      </c>
      <c r="T548" s="198"/>
      <c r="U548" s="176">
        <v>16.2</v>
      </c>
      <c r="Y548" s="200">
        <f>(AE548*BU548)/100</f>
        <v>6.3881216931216924</v>
      </c>
      <c r="Z548" s="198"/>
      <c r="AA548" s="200"/>
      <c r="AB548" s="198"/>
      <c r="AC548" s="378">
        <f t="shared" si="8"/>
        <v>32.475925925925928</v>
      </c>
      <c r="AE548" s="176">
        <f>(M548/U548)*((100-CC548)/(100-9))*100</f>
        <v>35.687830687830683</v>
      </c>
      <c r="AF548" s="198">
        <v>41822</v>
      </c>
      <c r="AG548" s="176">
        <v>4.4000000000000004</v>
      </c>
      <c r="AH548" s="196">
        <v>41927</v>
      </c>
      <c r="AI548" s="176">
        <v>140</v>
      </c>
      <c r="AM548" s="176">
        <v>79</v>
      </c>
      <c r="BG548" s="201">
        <v>2.5</v>
      </c>
      <c r="BI548" s="201">
        <v>4.4000000000000004</v>
      </c>
      <c r="BK548" s="201">
        <v>1.7</v>
      </c>
      <c r="BM548" s="201">
        <v>64.2</v>
      </c>
      <c r="BO548" s="201">
        <v>19.5</v>
      </c>
      <c r="BQ548" s="201">
        <v>8.3000000000000007</v>
      </c>
      <c r="BS548" s="201">
        <v>49.7</v>
      </c>
      <c r="BU548" s="201">
        <v>17.899999999999999</v>
      </c>
      <c r="BW548" s="201">
        <v>15.9</v>
      </c>
      <c r="BY548" s="178">
        <v>6.5</v>
      </c>
      <c r="CC548" s="201">
        <v>7.7</v>
      </c>
      <c r="CD548" s="198">
        <v>41822</v>
      </c>
      <c r="CI548" s="174" t="s">
        <v>9355</v>
      </c>
      <c r="CL548" s="174">
        <v>3</v>
      </c>
    </row>
    <row r="549" spans="1:91">
      <c r="A549" s="191" t="s">
        <v>7776</v>
      </c>
      <c r="B549" s="192" t="s">
        <v>271</v>
      </c>
      <c r="C549" s="192" t="s">
        <v>8999</v>
      </c>
      <c r="D549" s="192" t="s">
        <v>8800</v>
      </c>
      <c r="E549" s="193">
        <v>259</v>
      </c>
      <c r="F549" s="193">
        <v>8</v>
      </c>
      <c r="K549" s="176">
        <v>7</v>
      </c>
      <c r="M549" s="197">
        <v>5.75</v>
      </c>
      <c r="N549" s="198">
        <v>41822</v>
      </c>
      <c r="S549" s="176">
        <f>(AE549*BS549)/100</f>
        <v>18.858065391398721</v>
      </c>
      <c r="T549" s="198"/>
      <c r="U549" s="176">
        <v>16.2</v>
      </c>
      <c r="Y549" s="200">
        <f>(AE549*BU549)/100</f>
        <v>5.9723239723239718</v>
      </c>
      <c r="Z549" s="198"/>
      <c r="AA549" s="200"/>
      <c r="AB549" s="198"/>
      <c r="AC549" s="378">
        <f t="shared" si="8"/>
        <v>32.938271604938272</v>
      </c>
      <c r="AE549" s="176">
        <f>(M549/U549)*((100-CC549)/(100-9))*100</f>
        <v>36.195902862569525</v>
      </c>
      <c r="AF549" s="198">
        <v>41822</v>
      </c>
      <c r="AG549" s="176">
        <v>5.3</v>
      </c>
      <c r="AH549" s="196">
        <v>41927</v>
      </c>
      <c r="AI549" s="176">
        <v>125</v>
      </c>
      <c r="AM549" s="176">
        <v>87</v>
      </c>
      <c r="BG549" s="201">
        <v>0</v>
      </c>
      <c r="BI549" s="201">
        <v>4.5999999999999996</v>
      </c>
      <c r="BK549" s="201">
        <v>1.6</v>
      </c>
      <c r="BM549" s="201">
        <v>65.2</v>
      </c>
      <c r="BO549" s="201">
        <v>20.8</v>
      </c>
      <c r="BQ549" s="201">
        <v>7.6</v>
      </c>
      <c r="BS549" s="201">
        <v>52.1</v>
      </c>
      <c r="BU549" s="201">
        <v>16.5</v>
      </c>
      <c r="BW549" s="201">
        <v>13.5</v>
      </c>
      <c r="BY549" s="178">
        <v>6.0999999999999943</v>
      </c>
      <c r="CC549" s="201">
        <v>7.2</v>
      </c>
      <c r="CD549" s="198">
        <v>41822</v>
      </c>
      <c r="CI549" s="174" t="s">
        <v>9346</v>
      </c>
      <c r="CL549" s="174" t="s">
        <v>9001</v>
      </c>
    </row>
    <row r="550" spans="1:91">
      <c r="A550" s="191" t="s">
        <v>7633</v>
      </c>
      <c r="B550" s="192" t="s">
        <v>271</v>
      </c>
      <c r="C550" s="192" t="s">
        <v>8999</v>
      </c>
      <c r="D550" s="192" t="s">
        <v>8228</v>
      </c>
      <c r="E550" s="193">
        <v>259</v>
      </c>
      <c r="F550" s="193">
        <v>9</v>
      </c>
      <c r="K550" s="176">
        <v>7</v>
      </c>
      <c r="M550" s="197">
        <v>4.95</v>
      </c>
      <c r="N550" s="198">
        <v>41822</v>
      </c>
      <c r="S550" s="176">
        <f>(AE550*BS550)/100</f>
        <v>15.050256410256409</v>
      </c>
      <c r="T550" s="198"/>
      <c r="U550" s="176">
        <v>16.2</v>
      </c>
      <c r="Y550" s="200">
        <f>(AE550*BU550)/100</f>
        <v>5.8269108669108665</v>
      </c>
      <c r="Z550" s="198"/>
      <c r="AA550" s="200"/>
      <c r="AB550" s="198"/>
      <c r="AC550" s="378">
        <f t="shared" si="8"/>
        <v>28.355555555555558</v>
      </c>
      <c r="AE550" s="176">
        <f>(M550/U550)*((100-CC550)/(100-9))*100</f>
        <v>31.159951159951159</v>
      </c>
      <c r="AF550" s="198">
        <v>41822</v>
      </c>
      <c r="AG550" s="176">
        <v>4.8</v>
      </c>
      <c r="AH550" s="196">
        <v>41927</v>
      </c>
      <c r="AI550" s="176">
        <v>165</v>
      </c>
      <c r="AM550" s="176">
        <v>88</v>
      </c>
      <c r="BG550" s="201">
        <v>44.6</v>
      </c>
      <c r="BI550" s="201">
        <v>4.5</v>
      </c>
      <c r="BK550" s="201">
        <v>1</v>
      </c>
      <c r="BM550" s="201">
        <v>31.3</v>
      </c>
      <c r="BO550" s="201">
        <v>15.9</v>
      </c>
      <c r="BQ550" s="201">
        <v>9.1999999999999993</v>
      </c>
      <c r="BS550" s="201">
        <v>48.3</v>
      </c>
      <c r="BU550" s="201">
        <v>18.7</v>
      </c>
      <c r="BW550" s="201">
        <v>69.900000000000006</v>
      </c>
      <c r="BY550" s="178">
        <v>6.5</v>
      </c>
      <c r="CC550" s="201">
        <v>7.2</v>
      </c>
      <c r="CD550" s="198">
        <v>41822</v>
      </c>
      <c r="CI550" s="174" t="s">
        <v>9357</v>
      </c>
      <c r="CL550" s="174">
        <v>3</v>
      </c>
    </row>
    <row r="551" spans="1:91">
      <c r="A551" s="191" t="s">
        <v>7659</v>
      </c>
      <c r="B551" s="192" t="s">
        <v>271</v>
      </c>
      <c r="C551" s="192" t="s">
        <v>8999</v>
      </c>
      <c r="D551" s="192" t="s">
        <v>8332</v>
      </c>
      <c r="E551" s="193">
        <v>259</v>
      </c>
      <c r="F551" s="193">
        <v>10</v>
      </c>
      <c r="K551" s="176">
        <v>7</v>
      </c>
      <c r="M551" s="197">
        <v>4.55</v>
      </c>
      <c r="N551" s="198">
        <v>41822</v>
      </c>
      <c r="S551" s="176">
        <f>(AE551*BS551)/100</f>
        <v>13.72037037037037</v>
      </c>
      <c r="T551" s="198"/>
      <c r="U551" s="176">
        <v>16.2</v>
      </c>
      <c r="Y551" s="200">
        <f>(AE551*BU551)/100</f>
        <v>5.5398148148148154</v>
      </c>
      <c r="Z551" s="198"/>
      <c r="AA551" s="200"/>
      <c r="AB551" s="198"/>
      <c r="AC551" s="378">
        <f t="shared" si="8"/>
        <v>26.120370370370374</v>
      </c>
      <c r="AE551" s="176">
        <f>(M551/U551)*((100-CC551)/(100-9))*100</f>
        <v>28.703703703703702</v>
      </c>
      <c r="AF551" s="198">
        <v>41822</v>
      </c>
      <c r="AG551" s="176">
        <v>5.6</v>
      </c>
      <c r="AH551" s="196">
        <v>41927</v>
      </c>
      <c r="AI551" s="176">
        <v>160</v>
      </c>
      <c r="AM551" s="176">
        <v>80</v>
      </c>
      <c r="BG551" s="201">
        <v>0</v>
      </c>
      <c r="BI551" s="201">
        <v>4.3</v>
      </c>
      <c r="BK551" s="201">
        <v>1.5</v>
      </c>
      <c r="BM551" s="201">
        <v>59</v>
      </c>
      <c r="BO551" s="201">
        <v>21</v>
      </c>
      <c r="BQ551" s="201">
        <v>11.1</v>
      </c>
      <c r="BS551" s="201">
        <v>47.8</v>
      </c>
      <c r="BU551" s="201">
        <v>19.3</v>
      </c>
      <c r="BW551" s="201">
        <v>22.9</v>
      </c>
      <c r="BY551" s="178">
        <v>5.9000000000000057</v>
      </c>
      <c r="CC551" s="201">
        <v>7</v>
      </c>
      <c r="CD551" s="198">
        <v>41822</v>
      </c>
      <c r="CI551" s="174" t="s">
        <v>9362</v>
      </c>
      <c r="CL551" s="174">
        <v>3</v>
      </c>
    </row>
    <row r="552" spans="1:91">
      <c r="A552" s="191" t="s">
        <v>7898</v>
      </c>
      <c r="B552" s="192" t="s">
        <v>271</v>
      </c>
      <c r="C552" s="192" t="s">
        <v>8999</v>
      </c>
      <c r="D552" s="192" t="s">
        <v>8988</v>
      </c>
      <c r="E552" s="193">
        <v>259</v>
      </c>
      <c r="F552" s="193">
        <v>11</v>
      </c>
      <c r="K552" s="176">
        <v>7</v>
      </c>
      <c r="M552" s="197">
        <v>7.8</v>
      </c>
      <c r="N552" s="198">
        <v>41822</v>
      </c>
      <c r="S552" s="176">
        <f>(AE552*BS552)/100</f>
        <v>25.581375661375663</v>
      </c>
      <c r="T552" s="198"/>
      <c r="U552" s="176">
        <v>16.2</v>
      </c>
      <c r="Y552" s="200">
        <f>(AE552*BU552)/100</f>
        <v>8.0524867724867715</v>
      </c>
      <c r="Z552" s="198"/>
      <c r="AA552" s="200"/>
      <c r="AB552" s="198"/>
      <c r="AC552" s="378">
        <f t="shared" si="8"/>
        <v>44.681481481481484</v>
      </c>
      <c r="AE552" s="176">
        <f>(M552/U552)*((100-CC552)/(100-9))*100</f>
        <v>49.100529100529101</v>
      </c>
      <c r="AF552" s="198">
        <v>41822</v>
      </c>
      <c r="AG552" s="176">
        <v>4.5999999999999996</v>
      </c>
      <c r="AH552" s="196">
        <v>41927</v>
      </c>
      <c r="AI552" s="176">
        <v>175</v>
      </c>
      <c r="AM552" s="176">
        <v>86</v>
      </c>
      <c r="BG552" s="201">
        <v>0</v>
      </c>
      <c r="BI552" s="201">
        <v>4.7</v>
      </c>
      <c r="BK552" s="201">
        <v>1.6</v>
      </c>
      <c r="BM552" s="201">
        <v>62.2</v>
      </c>
      <c r="BO552" s="201">
        <v>20.100000000000001</v>
      </c>
      <c r="BQ552" s="201">
        <v>9</v>
      </c>
      <c r="BS552" s="201">
        <v>52.1</v>
      </c>
      <c r="BU552" s="201">
        <v>16.399999999999999</v>
      </c>
      <c r="BW552" s="201">
        <v>15.1</v>
      </c>
      <c r="BY552" s="178">
        <v>6.2999999999999972</v>
      </c>
      <c r="CC552" s="201">
        <v>7.2</v>
      </c>
      <c r="CD552" s="198">
        <v>41822</v>
      </c>
      <c r="CI552" s="174" t="s">
        <v>9347</v>
      </c>
      <c r="CL552" s="174">
        <v>2</v>
      </c>
    </row>
    <row r="553" spans="1:91">
      <c r="A553" s="191" t="s">
        <v>7750</v>
      </c>
      <c r="B553" s="192" t="s">
        <v>271</v>
      </c>
      <c r="C553" s="192" t="s">
        <v>8999</v>
      </c>
      <c r="D553" s="192" t="s">
        <v>8696</v>
      </c>
      <c r="E553" s="193">
        <v>259</v>
      </c>
      <c r="F553" s="193">
        <v>12</v>
      </c>
      <c r="K553" s="176">
        <v>7</v>
      </c>
      <c r="M553" s="197">
        <v>2.75</v>
      </c>
      <c r="N553" s="198">
        <v>41822</v>
      </c>
      <c r="S553" s="176">
        <f>(AE553*BS553)/100</f>
        <v>8.2322598697598686</v>
      </c>
      <c r="T553" s="198"/>
      <c r="U553" s="176">
        <v>16.2</v>
      </c>
      <c r="Y553" s="200">
        <f>(AE553*BU553)/100</f>
        <v>3.6549145299145298</v>
      </c>
      <c r="Z553" s="198"/>
      <c r="AA553" s="200"/>
      <c r="AB553" s="198"/>
      <c r="AC553" s="378">
        <f t="shared" si="8"/>
        <v>15.837962962962964</v>
      </c>
      <c r="AE553" s="176">
        <f>(M553/U553)*((100-CC553)/(100-9))*100</f>
        <v>17.404354904354904</v>
      </c>
      <c r="AF553" s="198">
        <v>41822</v>
      </c>
      <c r="AG553" s="176">
        <v>4.0999999999999996</v>
      </c>
      <c r="AH553" s="196">
        <v>41927</v>
      </c>
      <c r="AI553" s="176">
        <v>90</v>
      </c>
      <c r="AM553" s="176">
        <v>83</v>
      </c>
      <c r="BG553" s="201">
        <v>51.6</v>
      </c>
      <c r="BI553" s="201">
        <v>3.8</v>
      </c>
      <c r="BK553" s="201">
        <v>0.7</v>
      </c>
      <c r="BM553" s="201">
        <v>22.4</v>
      </c>
      <c r="BO553" s="201">
        <v>13.3</v>
      </c>
      <c r="BQ553" s="201">
        <v>10.3</v>
      </c>
      <c r="BS553" s="201">
        <v>47.3</v>
      </c>
      <c r="BU553" s="201">
        <v>21</v>
      </c>
      <c r="BW553" s="201">
        <v>86.6</v>
      </c>
      <c r="BY553" s="178">
        <v>6.5</v>
      </c>
      <c r="CC553" s="201">
        <v>6.7</v>
      </c>
      <c r="CD553" s="198">
        <v>41822</v>
      </c>
      <c r="CI553" s="174" t="s">
        <v>9355</v>
      </c>
      <c r="CL553" s="174">
        <v>7</v>
      </c>
    </row>
    <row r="554" spans="1:91">
      <c r="A554" s="191" t="s">
        <v>7667</v>
      </c>
      <c r="B554" s="192" t="s">
        <v>269</v>
      </c>
      <c r="C554" s="192" t="s">
        <v>8997</v>
      </c>
      <c r="D554" s="192" t="s">
        <v>8362</v>
      </c>
      <c r="E554" s="193">
        <v>260</v>
      </c>
      <c r="F554" s="193">
        <v>1</v>
      </c>
      <c r="K554" s="176">
        <v>8</v>
      </c>
      <c r="M554" s="197">
        <v>3.35</v>
      </c>
      <c r="N554" s="198">
        <v>41822</v>
      </c>
      <c r="S554" s="176">
        <f>(AE554*BS554)/100</f>
        <v>9.9849633699633706</v>
      </c>
      <c r="T554" s="198"/>
      <c r="U554" s="176">
        <v>16.2</v>
      </c>
      <c r="Y554" s="200">
        <f>(AE554*BU554)/100</f>
        <v>3.7917582417582425</v>
      </c>
      <c r="Z554" s="198"/>
      <c r="AA554" s="200"/>
      <c r="AB554" s="198"/>
      <c r="AC554" s="378">
        <f t="shared" si="8"/>
        <v>19.169444444444444</v>
      </c>
      <c r="AE554" s="176">
        <f>(M554/U554)*((100-CC554)/(100-9))*100</f>
        <v>21.065323565323567</v>
      </c>
      <c r="AF554" s="198">
        <v>41822</v>
      </c>
      <c r="AG554" s="176">
        <v>4.2</v>
      </c>
      <c r="AH554" s="196">
        <v>41927</v>
      </c>
      <c r="AI554" s="176">
        <v>155</v>
      </c>
      <c r="AM554" s="176">
        <v>94</v>
      </c>
      <c r="BG554" s="201">
        <v>0</v>
      </c>
      <c r="BI554" s="201">
        <v>4.7</v>
      </c>
      <c r="BK554" s="201">
        <v>1.6</v>
      </c>
      <c r="BM554" s="201">
        <v>64.8</v>
      </c>
      <c r="BO554" s="201">
        <v>21.3</v>
      </c>
      <c r="BQ554" s="201">
        <v>8</v>
      </c>
      <c r="BS554" s="201">
        <v>47.4</v>
      </c>
      <c r="BU554" s="201">
        <v>18</v>
      </c>
      <c r="BW554" s="201">
        <v>11</v>
      </c>
      <c r="BY554" s="178">
        <v>6.9000000000000057</v>
      </c>
      <c r="CC554" s="201">
        <v>7.3</v>
      </c>
      <c r="CD554" s="198">
        <v>41822</v>
      </c>
      <c r="CI554" s="174" t="s">
        <v>9338</v>
      </c>
      <c r="CL554" s="174">
        <v>4</v>
      </c>
    </row>
    <row r="555" spans="1:91">
      <c r="A555" s="191" t="s">
        <v>7747</v>
      </c>
      <c r="B555" s="192" t="s">
        <v>269</v>
      </c>
      <c r="C555" s="192" t="s">
        <v>8997</v>
      </c>
      <c r="D555" s="192" t="s">
        <v>8682</v>
      </c>
      <c r="E555" s="193">
        <v>260</v>
      </c>
      <c r="F555" s="193">
        <v>2</v>
      </c>
      <c r="K555" s="176">
        <v>7</v>
      </c>
      <c r="M555" s="197">
        <v>1.3</v>
      </c>
      <c r="N555" s="198">
        <v>41822</v>
      </c>
      <c r="S555" s="176">
        <f>(AE555*BS555)/100</f>
        <v>3.8214814814814826</v>
      </c>
      <c r="T555" s="198"/>
      <c r="U555" s="176">
        <v>16.2</v>
      </c>
      <c r="Y555" s="200">
        <f>(AE555*BU555)/100</f>
        <v>1.6540740740740747</v>
      </c>
      <c r="Z555" s="198"/>
      <c r="AA555" s="200"/>
      <c r="AB555" s="198"/>
      <c r="AC555" s="378">
        <f t="shared" si="8"/>
        <v>7.4148148148148163</v>
      </c>
      <c r="AE555" s="176">
        <f>(M555/U555)*((100-CC555)/(100-9))*100</f>
        <v>8.1481481481481506</v>
      </c>
      <c r="AF555" s="198">
        <v>41822</v>
      </c>
      <c r="AG555" s="176">
        <v>4.5</v>
      </c>
      <c r="AH555" s="196">
        <v>41927</v>
      </c>
      <c r="AI555" s="176">
        <v>100</v>
      </c>
      <c r="AM555" s="176">
        <v>82</v>
      </c>
      <c r="BG555" s="201">
        <v>35.799999999999997</v>
      </c>
      <c r="BI555" s="201">
        <v>4.4000000000000004</v>
      </c>
      <c r="BK555" s="201">
        <v>1</v>
      </c>
      <c r="BM555" s="201">
        <v>36.6</v>
      </c>
      <c r="BO555" s="201">
        <v>15.2</v>
      </c>
      <c r="BQ555" s="201">
        <v>11.2</v>
      </c>
      <c r="BS555" s="201">
        <v>46.9</v>
      </c>
      <c r="BU555" s="201">
        <v>20.3</v>
      </c>
      <c r="BW555" s="201">
        <v>81.400000000000006</v>
      </c>
      <c r="BY555" s="178">
        <v>7</v>
      </c>
      <c r="CC555" s="201">
        <v>7.6</v>
      </c>
      <c r="CD555" s="198">
        <v>41822</v>
      </c>
      <c r="CI555" s="174" t="s">
        <v>9367</v>
      </c>
      <c r="CL555" s="174">
        <v>7</v>
      </c>
    </row>
    <row r="556" spans="1:91">
      <c r="A556" s="191" t="s">
        <v>7703</v>
      </c>
      <c r="B556" s="192" t="s">
        <v>269</v>
      </c>
      <c r="C556" s="192" t="s">
        <v>8997</v>
      </c>
      <c r="D556" s="192" t="s">
        <v>8506</v>
      </c>
      <c r="E556" s="193">
        <v>260</v>
      </c>
      <c r="F556" s="193">
        <v>3</v>
      </c>
      <c r="K556" s="176">
        <v>8</v>
      </c>
      <c r="M556" s="197">
        <v>3.25</v>
      </c>
      <c r="N556" s="198">
        <v>41822</v>
      </c>
      <c r="S556" s="176">
        <f>(AE556*BS556)/100</f>
        <v>10.248059964726631</v>
      </c>
      <c r="T556" s="198"/>
      <c r="U556" s="176">
        <v>16.2</v>
      </c>
      <c r="Y556" s="200">
        <f>(AE556*BU556)/100</f>
        <v>3.5521164021164013</v>
      </c>
      <c r="Z556" s="198"/>
      <c r="AA556" s="200"/>
      <c r="AB556" s="198"/>
      <c r="AC556" s="378">
        <f t="shared" si="8"/>
        <v>18.577160493827158</v>
      </c>
      <c r="AE556" s="176">
        <f>(M556/U556)*((100-CC556)/(100-9))*100</f>
        <v>20.414462081128747</v>
      </c>
      <c r="AF556" s="198">
        <v>41822</v>
      </c>
      <c r="AG556" s="176">
        <v>4.8</v>
      </c>
      <c r="AH556" s="196">
        <v>41927</v>
      </c>
      <c r="AI556" s="176">
        <v>125</v>
      </c>
      <c r="AM556" s="176">
        <v>84</v>
      </c>
      <c r="BG556" s="201">
        <v>0</v>
      </c>
      <c r="BI556" s="201">
        <v>4.7</v>
      </c>
      <c r="BK556" s="201">
        <v>1.6</v>
      </c>
      <c r="BM556" s="201">
        <v>64.400000000000006</v>
      </c>
      <c r="BO556" s="201">
        <v>20.8</v>
      </c>
      <c r="BQ556" s="201">
        <v>9.1</v>
      </c>
      <c r="BS556" s="201">
        <v>50.2</v>
      </c>
      <c r="BU556" s="201">
        <v>17.399999999999999</v>
      </c>
      <c r="BW556" s="201">
        <v>17.600000000000001</v>
      </c>
      <c r="BY556" s="178">
        <v>7.0999999999999943</v>
      </c>
      <c r="CC556" s="201">
        <v>7.4</v>
      </c>
      <c r="CD556" s="198">
        <v>41822</v>
      </c>
      <c r="CI556" s="174" t="s">
        <v>9362</v>
      </c>
      <c r="CL556" s="174">
        <v>3</v>
      </c>
    </row>
    <row r="557" spans="1:91">
      <c r="A557" s="191" t="s">
        <v>7709</v>
      </c>
      <c r="B557" s="192" t="s">
        <v>269</v>
      </c>
      <c r="C557" s="192" t="s">
        <v>8997</v>
      </c>
      <c r="D557" s="192" t="s">
        <v>8530</v>
      </c>
      <c r="E557" s="193">
        <v>260</v>
      </c>
      <c r="F557" s="193">
        <v>4</v>
      </c>
      <c r="K557" s="176">
        <v>7</v>
      </c>
      <c r="M557" s="197">
        <v>4.2</v>
      </c>
      <c r="N557" s="198">
        <v>41822</v>
      </c>
      <c r="S557" s="176">
        <f>(AE557*BS557)/100</f>
        <v>13.260085470085473</v>
      </c>
      <c r="T557" s="198"/>
      <c r="U557" s="176">
        <v>16.2</v>
      </c>
      <c r="Y557" s="200">
        <f>(AE557*BU557)/100</f>
        <v>4.7111680911680933</v>
      </c>
      <c r="Z557" s="198"/>
      <c r="AA557" s="200"/>
      <c r="AB557" s="198"/>
      <c r="AC557" s="378">
        <f t="shared" si="8"/>
        <v>24.085185185185189</v>
      </c>
      <c r="AE557" s="176">
        <f>(M557/U557)*((100-CC557)/(100-9))*100</f>
        <v>26.467236467236475</v>
      </c>
      <c r="AF557" s="198">
        <v>41822</v>
      </c>
      <c r="AG557" s="176">
        <v>5</v>
      </c>
      <c r="AH557" s="196">
        <v>41927</v>
      </c>
      <c r="AI557" s="176">
        <v>140</v>
      </c>
      <c r="AM557" s="176">
        <v>79</v>
      </c>
      <c r="BG557" s="201">
        <v>0.4</v>
      </c>
      <c r="BI557" s="201">
        <v>4.5</v>
      </c>
      <c r="BK557" s="201">
        <v>1.5</v>
      </c>
      <c r="BM557" s="201">
        <v>63</v>
      </c>
      <c r="BO557" s="201">
        <v>19.8</v>
      </c>
      <c r="BQ557" s="201">
        <v>9.3000000000000007</v>
      </c>
      <c r="BS557" s="201">
        <v>50.1</v>
      </c>
      <c r="BU557" s="201">
        <v>17.8</v>
      </c>
      <c r="BW557" s="201">
        <v>17</v>
      </c>
      <c r="BY557" s="178">
        <v>6.7000000000000028</v>
      </c>
      <c r="CC557" s="201">
        <v>7.1</v>
      </c>
      <c r="CD557" s="198">
        <v>41822</v>
      </c>
      <c r="CI557" s="174" t="s">
        <v>9373</v>
      </c>
      <c r="CL557" s="174">
        <v>3</v>
      </c>
    </row>
    <row r="558" spans="1:91">
      <c r="A558" s="191" t="s">
        <v>7625</v>
      </c>
      <c r="B558" s="192" t="s">
        <v>269</v>
      </c>
      <c r="C558" s="192" t="s">
        <v>8997</v>
      </c>
      <c r="D558" s="192" t="s">
        <v>8194</v>
      </c>
      <c r="E558" s="193">
        <v>260</v>
      </c>
      <c r="F558" s="193">
        <v>5</v>
      </c>
      <c r="I558" s="184"/>
      <c r="K558" s="176">
        <v>6</v>
      </c>
      <c r="M558" s="197">
        <v>2.5</v>
      </c>
      <c r="N558" s="198">
        <v>41822</v>
      </c>
      <c r="O558" s="179"/>
      <c r="S558" s="176">
        <f>(AE558*BS558)/100</f>
        <v>7.3730158730158744</v>
      </c>
      <c r="T558" s="198"/>
      <c r="U558" s="176">
        <v>16.2</v>
      </c>
      <c r="Y558" s="200">
        <f>(AE558*BU558)/100</f>
        <v>2.9933184099850774</v>
      </c>
      <c r="Z558" s="198"/>
      <c r="AA558" s="200"/>
      <c r="AB558" s="198"/>
      <c r="AC558" s="378">
        <f t="shared" si="8"/>
        <v>14.336419753086423</v>
      </c>
      <c r="AE558" s="176">
        <f>(M558/U558)*((100-CC558)/(100-9))*100</f>
        <v>15.754307420974092</v>
      </c>
      <c r="AF558" s="198">
        <v>41822</v>
      </c>
      <c r="AG558" s="176">
        <v>5.0999999999999996</v>
      </c>
      <c r="AH558" s="196">
        <v>41927</v>
      </c>
      <c r="AI558" s="176">
        <v>120</v>
      </c>
      <c r="AM558" s="176">
        <v>80</v>
      </c>
      <c r="BG558" s="201">
        <v>49.8</v>
      </c>
      <c r="BI558" s="201">
        <v>4.5999999999999996</v>
      </c>
      <c r="BK558" s="201">
        <v>0.7</v>
      </c>
      <c r="BM558" s="201">
        <v>26.9</v>
      </c>
      <c r="BO558" s="201">
        <v>18.100000000000001</v>
      </c>
      <c r="BQ558" s="201">
        <v>11.8</v>
      </c>
      <c r="BS558" s="201">
        <v>46.8</v>
      </c>
      <c r="BU558" s="201">
        <v>19</v>
      </c>
      <c r="BW558" s="201">
        <v>86.6</v>
      </c>
      <c r="BY558" s="178">
        <v>7.0999999999999943</v>
      </c>
      <c r="CC558" s="201">
        <v>7.1</v>
      </c>
      <c r="CD558" s="198">
        <v>41822</v>
      </c>
      <c r="CI558" s="174" t="s">
        <v>9383</v>
      </c>
      <c r="CL558" s="174">
        <v>3</v>
      </c>
    </row>
    <row r="559" spans="1:91">
      <c r="A559" s="191" t="s">
        <v>7802</v>
      </c>
      <c r="B559" s="192" t="s">
        <v>269</v>
      </c>
      <c r="C559" s="192" t="s">
        <v>8997</v>
      </c>
      <c r="D559" s="192" t="s">
        <v>8902</v>
      </c>
      <c r="E559" s="193">
        <v>260</v>
      </c>
      <c r="F559" s="193">
        <v>6</v>
      </c>
      <c r="K559" s="176">
        <v>8</v>
      </c>
      <c r="M559" s="197">
        <v>4.3499999999999996</v>
      </c>
      <c r="N559" s="198">
        <v>41822</v>
      </c>
      <c r="S559" s="176">
        <f>(AE559*BS559)/100</f>
        <v>14.55948717948718</v>
      </c>
      <c r="T559" s="198"/>
      <c r="U559" s="176">
        <v>16.2</v>
      </c>
      <c r="Y559" s="200">
        <f>(AE559*BU559)/100</f>
        <v>4.3351282051282052</v>
      </c>
      <c r="Z559" s="198"/>
      <c r="AA559" s="200"/>
      <c r="AB559" s="198"/>
      <c r="AC559" s="378">
        <f t="shared" si="8"/>
        <v>24.81111111111111</v>
      </c>
      <c r="AE559" s="176">
        <f>(M559/U559)*((100-CC559)/(100-9))*100</f>
        <v>27.264957264957268</v>
      </c>
      <c r="AF559" s="198">
        <v>41822</v>
      </c>
      <c r="AG559" s="176">
        <v>5.2</v>
      </c>
      <c r="AH559" s="196">
        <v>41927</v>
      </c>
      <c r="AI559" s="176">
        <v>145</v>
      </c>
      <c r="AM559" s="176">
        <v>80</v>
      </c>
      <c r="BG559" s="201">
        <v>0</v>
      </c>
      <c r="BI559" s="201">
        <v>4.7</v>
      </c>
      <c r="BK559" s="201">
        <v>1.6</v>
      </c>
      <c r="BM559" s="201">
        <v>63</v>
      </c>
      <c r="BO559" s="201">
        <v>20</v>
      </c>
      <c r="BQ559" s="201">
        <v>9.9</v>
      </c>
      <c r="BS559" s="201">
        <v>53.4</v>
      </c>
      <c r="BU559" s="201">
        <v>15.9</v>
      </c>
      <c r="BW559" s="201">
        <v>9.1999999999999993</v>
      </c>
      <c r="BY559" s="178">
        <v>6.7000000000000028</v>
      </c>
      <c r="CC559" s="201">
        <v>7.6</v>
      </c>
      <c r="CD559" s="198">
        <v>41822</v>
      </c>
      <c r="CI559" s="174" t="s">
        <v>9377</v>
      </c>
      <c r="CL559" s="174">
        <v>1</v>
      </c>
    </row>
    <row r="560" spans="1:91">
      <c r="A560" s="202" t="s">
        <v>7754</v>
      </c>
      <c r="B560" s="203" t="s">
        <v>271</v>
      </c>
      <c r="C560" s="203" t="s">
        <v>8999</v>
      </c>
      <c r="D560" s="203" t="s">
        <v>8712</v>
      </c>
      <c r="E560" s="204">
        <v>260</v>
      </c>
      <c r="F560" s="204">
        <v>7</v>
      </c>
      <c r="G560" s="204"/>
      <c r="H560" s="204"/>
      <c r="I560" s="206"/>
      <c r="J560" s="206"/>
      <c r="K560" s="177">
        <v>8</v>
      </c>
      <c r="L560" s="207"/>
      <c r="M560" s="208">
        <v>1.1000000000000001</v>
      </c>
      <c r="N560" s="209">
        <v>41822</v>
      </c>
      <c r="O560" s="183"/>
      <c r="P560" s="210"/>
      <c r="Q560" s="183"/>
      <c r="R560" s="210"/>
      <c r="S560" s="177">
        <f>(AE560*BS560)/100</f>
        <v>3.1646452313118982</v>
      </c>
      <c r="T560" s="209"/>
      <c r="U560" s="177">
        <v>16.2</v>
      </c>
      <c r="V560" s="210"/>
      <c r="W560" s="183"/>
      <c r="X560" s="210"/>
      <c r="Y560" s="213">
        <f>(AE560*BU560)/100</f>
        <v>1.5135259801926468</v>
      </c>
      <c r="Z560" s="209"/>
      <c r="AA560" s="213"/>
      <c r="AB560" s="209"/>
      <c r="AC560" s="378">
        <f t="shared" si="8"/>
        <v>6.2604938271604951</v>
      </c>
      <c r="AD560" s="207"/>
      <c r="AE560" s="177">
        <f>(M560/U560)*((100-CC560)/(100-9))*100</f>
        <v>6.8796635463302138</v>
      </c>
      <c r="AF560" s="209">
        <v>41822</v>
      </c>
      <c r="AG560" s="177">
        <v>3.7</v>
      </c>
      <c r="AH560" s="207">
        <v>41927</v>
      </c>
      <c r="AI560" s="177">
        <v>140</v>
      </c>
      <c r="AJ560" s="207"/>
      <c r="AK560" s="183"/>
      <c r="AL560" s="210"/>
      <c r="AM560" s="177">
        <v>90</v>
      </c>
      <c r="AN560" s="210"/>
      <c r="AO560" s="183"/>
      <c r="AP560" s="183"/>
      <c r="AQ560" s="183"/>
      <c r="AR560" s="183"/>
      <c r="AS560" s="183"/>
      <c r="AT560" s="183"/>
      <c r="AU560" s="183"/>
      <c r="AV560" s="183"/>
      <c r="AW560" s="183"/>
      <c r="AX560" s="183"/>
      <c r="AY560" s="183"/>
      <c r="AZ560" s="183"/>
      <c r="BA560" s="183"/>
      <c r="BB560" s="183"/>
      <c r="BC560" s="183"/>
      <c r="BD560" s="183"/>
      <c r="BE560" s="182"/>
      <c r="BF560" s="182"/>
      <c r="BG560" s="211">
        <v>36.200000000000003</v>
      </c>
      <c r="BH560" s="181"/>
      <c r="BI560" s="211">
        <v>4.2</v>
      </c>
      <c r="BJ560" s="181"/>
      <c r="BK560" s="211">
        <v>1.2</v>
      </c>
      <c r="BL560" s="181"/>
      <c r="BM560" s="211">
        <v>37.299999999999997</v>
      </c>
      <c r="BN560" s="181"/>
      <c r="BO560" s="211">
        <v>16.399999999999999</v>
      </c>
      <c r="BP560" s="181"/>
      <c r="BQ560" s="211">
        <v>10</v>
      </c>
      <c r="BR560" s="181"/>
      <c r="BS560" s="211">
        <v>46</v>
      </c>
      <c r="BT560" s="181"/>
      <c r="BU560" s="211">
        <v>22</v>
      </c>
      <c r="BV560" s="181"/>
      <c r="BW560" s="211">
        <v>53.7</v>
      </c>
      <c r="BX560" s="181"/>
      <c r="BY560" s="181">
        <v>6.7999999999999972</v>
      </c>
      <c r="BZ560" s="181"/>
      <c r="CA560" s="182"/>
      <c r="CB560" s="182"/>
      <c r="CC560" s="211">
        <v>7.8</v>
      </c>
      <c r="CD560" s="209">
        <v>41822</v>
      </c>
      <c r="CE560" s="181"/>
      <c r="CF560" s="181"/>
      <c r="CG560" s="182"/>
      <c r="CH560" s="182"/>
      <c r="CI560" s="175" t="s">
        <v>9349</v>
      </c>
      <c r="CJ560" s="181"/>
      <c r="CK560" s="181"/>
      <c r="CL560" s="175">
        <v>8</v>
      </c>
      <c r="CM560" s="175"/>
    </row>
    <row r="561" spans="1:91">
      <c r="A561" s="202" t="s">
        <v>7620</v>
      </c>
      <c r="B561" s="203" t="s">
        <v>271</v>
      </c>
      <c r="C561" s="203" t="s">
        <v>8999</v>
      </c>
      <c r="D561" s="203" t="s">
        <v>8176</v>
      </c>
      <c r="E561" s="204">
        <v>260</v>
      </c>
      <c r="F561" s="204">
        <v>8</v>
      </c>
      <c r="G561" s="204"/>
      <c r="H561" s="204"/>
      <c r="I561" s="185"/>
      <c r="J561" s="206"/>
      <c r="K561" s="177">
        <v>7</v>
      </c>
      <c r="L561" s="207"/>
      <c r="M561" s="208">
        <v>1.3</v>
      </c>
      <c r="N561" s="209">
        <v>41822</v>
      </c>
      <c r="O561" s="182"/>
      <c r="P561" s="210"/>
      <c r="Q561" s="183"/>
      <c r="R561" s="210"/>
      <c r="S561" s="177">
        <f>(AE561*BS561)/100</f>
        <v>3.9270370370370369</v>
      </c>
      <c r="T561" s="209"/>
      <c r="U561" s="177">
        <v>16.2</v>
      </c>
      <c r="V561" s="210"/>
      <c r="W561" s="183"/>
      <c r="X561" s="210"/>
      <c r="Y561" s="213">
        <f>(AE561*BU561)/100</f>
        <v>1.561058201058201</v>
      </c>
      <c r="Z561" s="209"/>
      <c r="AA561" s="213"/>
      <c r="AB561" s="209"/>
      <c r="AC561" s="378">
        <f t="shared" si="8"/>
        <v>7.3987654320987666</v>
      </c>
      <c r="AD561" s="207"/>
      <c r="AE561" s="177">
        <f>(M561/U561)*((100-CC561)/(100-9))*100</f>
        <v>8.1305114638447975</v>
      </c>
      <c r="AF561" s="209">
        <v>41822</v>
      </c>
      <c r="AG561" s="177">
        <v>4.3</v>
      </c>
      <c r="AH561" s="207">
        <v>41927</v>
      </c>
      <c r="AI561" s="177">
        <v>20</v>
      </c>
      <c r="AJ561" s="207"/>
      <c r="AK561" s="183"/>
      <c r="AL561" s="210"/>
      <c r="AM561" s="177">
        <v>85</v>
      </c>
      <c r="AN561" s="210"/>
      <c r="AO561" s="183"/>
      <c r="AP561" s="183"/>
      <c r="AQ561" s="183"/>
      <c r="AR561" s="183"/>
      <c r="AS561" s="183"/>
      <c r="AT561" s="183"/>
      <c r="AU561" s="183"/>
      <c r="AV561" s="183"/>
      <c r="AW561" s="183"/>
      <c r="AX561" s="183"/>
      <c r="AY561" s="183"/>
      <c r="AZ561" s="183"/>
      <c r="BA561" s="183"/>
      <c r="BB561" s="183"/>
      <c r="BC561" s="183"/>
      <c r="BD561" s="183"/>
      <c r="BE561" s="182"/>
      <c r="BF561" s="182"/>
      <c r="BG561" s="211">
        <v>25.8</v>
      </c>
      <c r="BH561" s="181"/>
      <c r="BI561" s="211">
        <v>4.4000000000000004</v>
      </c>
      <c r="BJ561" s="181"/>
      <c r="BK561" s="211">
        <v>1.3</v>
      </c>
      <c r="BL561" s="181"/>
      <c r="BM561" s="211">
        <v>44.8</v>
      </c>
      <c r="BN561" s="181"/>
      <c r="BO561" s="211">
        <v>17.2</v>
      </c>
      <c r="BP561" s="181"/>
      <c r="BQ561" s="211">
        <v>8.1999999999999993</v>
      </c>
      <c r="BR561" s="181"/>
      <c r="BS561" s="211">
        <v>48.3</v>
      </c>
      <c r="BT561" s="181"/>
      <c r="BU561" s="211">
        <v>19.2</v>
      </c>
      <c r="BV561" s="181"/>
      <c r="BW561" s="211">
        <v>51.5</v>
      </c>
      <c r="BX561" s="181"/>
      <c r="BY561" s="181">
        <v>6.2999999999999972</v>
      </c>
      <c r="BZ561" s="181"/>
      <c r="CA561" s="182"/>
      <c r="CB561" s="182"/>
      <c r="CC561" s="211">
        <v>7.8</v>
      </c>
      <c r="CD561" s="209">
        <v>41822</v>
      </c>
      <c r="CE561" s="181"/>
      <c r="CF561" s="181"/>
      <c r="CG561" s="182"/>
      <c r="CH561" s="182"/>
      <c r="CI561" s="175" t="s">
        <v>9367</v>
      </c>
      <c r="CJ561" s="181"/>
      <c r="CK561" s="181"/>
      <c r="CL561" s="175">
        <v>9</v>
      </c>
      <c r="CM561" s="175"/>
    </row>
    <row r="562" spans="1:91">
      <c r="A562" s="191" t="s">
        <v>7786</v>
      </c>
      <c r="B562" s="192" t="s">
        <v>271</v>
      </c>
      <c r="C562" s="192" t="s">
        <v>8999</v>
      </c>
      <c r="D562" s="192" t="s">
        <v>8828</v>
      </c>
      <c r="E562" s="193">
        <v>260</v>
      </c>
      <c r="F562" s="193">
        <v>9</v>
      </c>
      <c r="K562" s="176">
        <v>6</v>
      </c>
      <c r="M562" s="197">
        <v>4.95</v>
      </c>
      <c r="N562" s="198">
        <v>41822</v>
      </c>
      <c r="S562" s="176">
        <f>(AE562*BS562)/100</f>
        <v>16.0785347985348</v>
      </c>
      <c r="T562" s="198"/>
      <c r="U562" s="176">
        <v>16.2</v>
      </c>
      <c r="Y562" s="200">
        <f>(AE562*BU562)/100</f>
        <v>5.3283516483516484</v>
      </c>
      <c r="Z562" s="198"/>
      <c r="AA562" s="200"/>
      <c r="AB562" s="198"/>
      <c r="AC562" s="378">
        <f t="shared" si="8"/>
        <v>28.355555555555558</v>
      </c>
      <c r="AE562" s="176">
        <f>(M562/U562)*((100-CC562)/(100-9))*100</f>
        <v>31.159951159951159</v>
      </c>
      <c r="AF562" s="198">
        <v>41822</v>
      </c>
      <c r="AG562" s="176">
        <v>4.9000000000000004</v>
      </c>
      <c r="AH562" s="196">
        <v>41927</v>
      </c>
      <c r="AI562" s="176">
        <v>155</v>
      </c>
      <c r="AM562" s="176">
        <v>85</v>
      </c>
      <c r="BG562" s="201">
        <v>0</v>
      </c>
      <c r="BI562" s="201">
        <v>4.7</v>
      </c>
      <c r="BK562" s="201">
        <v>1.6</v>
      </c>
      <c r="BM562" s="201">
        <v>66.5</v>
      </c>
      <c r="BO562" s="201">
        <v>20.2</v>
      </c>
      <c r="BQ562" s="201">
        <v>7.6</v>
      </c>
      <c r="BS562" s="201">
        <v>51.6</v>
      </c>
      <c r="BU562" s="201">
        <v>17.100000000000001</v>
      </c>
      <c r="BW562" s="201">
        <v>14.4</v>
      </c>
      <c r="BY562" s="178">
        <v>6.2999999999999972</v>
      </c>
      <c r="CC562" s="201">
        <v>7.2</v>
      </c>
      <c r="CD562" s="198">
        <v>41822</v>
      </c>
      <c r="CI562" s="174" t="s">
        <v>9350</v>
      </c>
      <c r="CL562" s="174">
        <v>1</v>
      </c>
    </row>
    <row r="563" spans="1:91">
      <c r="A563" s="191" t="s">
        <v>7751</v>
      </c>
      <c r="B563" s="192" t="s">
        <v>271</v>
      </c>
      <c r="C563" s="192" t="s">
        <v>8999</v>
      </c>
      <c r="D563" s="192" t="s">
        <v>8700</v>
      </c>
      <c r="E563" s="193">
        <v>260</v>
      </c>
      <c r="F563" s="193">
        <v>10</v>
      </c>
      <c r="K563" s="176">
        <v>7</v>
      </c>
      <c r="M563" s="197">
        <v>2.5499999999999998</v>
      </c>
      <c r="N563" s="198">
        <v>41822</v>
      </c>
      <c r="S563" s="176">
        <f>(AE563*BS563)/100</f>
        <v>7.2242735042735067</v>
      </c>
      <c r="T563" s="198"/>
      <c r="U563" s="176">
        <v>16.2</v>
      </c>
      <c r="Y563" s="200">
        <f>(AE563*BU563)/100</f>
        <v>3.3564102564102569</v>
      </c>
      <c r="Z563" s="198"/>
      <c r="AA563" s="200"/>
      <c r="AB563" s="198"/>
      <c r="AC563" s="378">
        <f t="shared" si="8"/>
        <v>14.544444444444446</v>
      </c>
      <c r="AE563" s="176">
        <f>(M563/U563)*((100-CC563)/(100-9))*100</f>
        <v>15.982905982905987</v>
      </c>
      <c r="AF563" s="198">
        <v>41822</v>
      </c>
      <c r="AG563" s="176">
        <v>4.8</v>
      </c>
      <c r="AH563" s="196">
        <v>41927</v>
      </c>
      <c r="AI563" s="176">
        <v>115</v>
      </c>
      <c r="AM563" s="176">
        <v>85</v>
      </c>
      <c r="BG563" s="201">
        <v>44.1</v>
      </c>
      <c r="BI563" s="201">
        <v>4.5</v>
      </c>
      <c r="BK563" s="201">
        <v>0.9</v>
      </c>
      <c r="BM563" s="201">
        <v>35.6</v>
      </c>
      <c r="BO563" s="201">
        <v>17.100000000000001</v>
      </c>
      <c r="BQ563" s="201">
        <v>9.3000000000000007</v>
      </c>
      <c r="BS563" s="201">
        <v>45.2</v>
      </c>
      <c r="BU563" s="201">
        <v>21</v>
      </c>
      <c r="BW563" s="201">
        <v>81.599999999999994</v>
      </c>
      <c r="BY563" s="178">
        <v>6.5999999999999943</v>
      </c>
      <c r="CC563" s="201">
        <v>7.6</v>
      </c>
      <c r="CD563" s="198">
        <v>41822</v>
      </c>
      <c r="CI563" s="174" t="s">
        <v>9367</v>
      </c>
      <c r="CL563" s="174">
        <v>5</v>
      </c>
    </row>
    <row r="564" spans="1:91">
      <c r="A564" s="191" t="s">
        <v>7645</v>
      </c>
      <c r="B564" s="192" t="s">
        <v>271</v>
      </c>
      <c r="C564" s="192" t="s">
        <v>8999</v>
      </c>
      <c r="D564" s="192" t="s">
        <v>8276</v>
      </c>
      <c r="E564" s="193">
        <v>260</v>
      </c>
      <c r="F564" s="193">
        <v>11</v>
      </c>
      <c r="K564" s="176">
        <v>6</v>
      </c>
      <c r="M564" s="197">
        <v>3.5</v>
      </c>
      <c r="N564" s="198">
        <v>41822</v>
      </c>
      <c r="S564" s="176">
        <f>(AE564*BS564)/100</f>
        <v>11.0059591642925</v>
      </c>
      <c r="T564" s="198"/>
      <c r="U564" s="176">
        <v>16.2</v>
      </c>
      <c r="Y564" s="200">
        <f>(AE564*BU564)/100</f>
        <v>3.7274691358024699</v>
      </c>
      <c r="Z564" s="198"/>
      <c r="AA564" s="200"/>
      <c r="AB564" s="198"/>
      <c r="AC564" s="378">
        <f t="shared" si="8"/>
        <v>20.070987654320991</v>
      </c>
      <c r="AE564" s="176">
        <f>(M564/U564)*((100-CC564)/(100-9))*100</f>
        <v>22.05603038936373</v>
      </c>
      <c r="AF564" s="198">
        <v>41822</v>
      </c>
      <c r="AG564" s="176">
        <v>3.9</v>
      </c>
      <c r="AH564" s="196">
        <v>41927</v>
      </c>
      <c r="AI564" s="176">
        <v>150</v>
      </c>
      <c r="AM564" s="176">
        <v>82</v>
      </c>
      <c r="BG564" s="201">
        <v>4.3</v>
      </c>
      <c r="BI564" s="201">
        <v>4.8</v>
      </c>
      <c r="BK564" s="201">
        <v>1.5</v>
      </c>
      <c r="BM564" s="201">
        <v>64.3</v>
      </c>
      <c r="BO564" s="201">
        <v>20.2</v>
      </c>
      <c r="BQ564" s="201">
        <v>9.6</v>
      </c>
      <c r="BS564" s="201">
        <v>49.9</v>
      </c>
      <c r="BU564" s="201">
        <v>16.899999999999999</v>
      </c>
      <c r="BW564" s="201">
        <v>53</v>
      </c>
      <c r="BY564" s="178">
        <v>6.5</v>
      </c>
      <c r="CC564" s="201">
        <v>7.1</v>
      </c>
      <c r="CD564" s="198">
        <v>41822</v>
      </c>
      <c r="CI564" s="174" t="s">
        <v>9358</v>
      </c>
      <c r="CL564" s="174">
        <v>1</v>
      </c>
    </row>
    <row r="565" spans="1:91">
      <c r="A565" s="191" t="s">
        <v>7703</v>
      </c>
      <c r="B565" s="192" t="s">
        <v>271</v>
      </c>
      <c r="C565" s="192" t="s">
        <v>8999</v>
      </c>
      <c r="D565" s="192" t="s">
        <v>8508</v>
      </c>
      <c r="E565" s="193">
        <v>260</v>
      </c>
      <c r="F565" s="193">
        <v>12</v>
      </c>
      <c r="K565" s="176">
        <v>8</v>
      </c>
      <c r="M565" s="197">
        <v>4.45</v>
      </c>
      <c r="N565" s="198">
        <v>41822</v>
      </c>
      <c r="S565" s="176">
        <f>(AE565*BS565)/100</f>
        <v>13.151226088726089</v>
      </c>
      <c r="T565" s="198"/>
      <c r="U565" s="176">
        <v>16.2</v>
      </c>
      <c r="Y565" s="200">
        <f>(AE565*BU565)/100</f>
        <v>5.5564628272961603</v>
      </c>
      <c r="Z565" s="198"/>
      <c r="AA565" s="200"/>
      <c r="AB565" s="198"/>
      <c r="AC565" s="378">
        <f t="shared" si="8"/>
        <v>25.408950617283949</v>
      </c>
      <c r="AE565" s="176">
        <f>(M565/U565)*((100-CC565)/(100-9))*100</f>
        <v>27.92192375525709</v>
      </c>
      <c r="AF565" s="198">
        <v>41822</v>
      </c>
      <c r="AG565" s="176">
        <v>4.0999999999999996</v>
      </c>
      <c r="AH565" s="196">
        <v>41927</v>
      </c>
      <c r="AI565" s="176">
        <v>150</v>
      </c>
      <c r="AM565" s="176">
        <v>87</v>
      </c>
      <c r="BG565" s="201">
        <v>0</v>
      </c>
      <c r="BI565" s="201">
        <v>4.0999999999999996</v>
      </c>
      <c r="BK565" s="201">
        <v>1.6</v>
      </c>
      <c r="BM565" s="201">
        <v>62.5</v>
      </c>
      <c r="BO565" s="201">
        <v>19.100000000000001</v>
      </c>
      <c r="BQ565" s="201">
        <v>9</v>
      </c>
      <c r="BS565" s="201">
        <v>47.1</v>
      </c>
      <c r="BU565" s="201">
        <v>19.899999999999999</v>
      </c>
      <c r="BW565" s="201">
        <v>16.600000000000001</v>
      </c>
      <c r="BY565" s="178">
        <v>6.7000000000000028</v>
      </c>
      <c r="CC565" s="201">
        <v>7.5</v>
      </c>
      <c r="CD565" s="198">
        <v>41822</v>
      </c>
      <c r="CI565" s="174" t="s">
        <v>9383</v>
      </c>
      <c r="CL565" s="174">
        <v>4</v>
      </c>
    </row>
    <row r="566" spans="1:91">
      <c r="A566" s="191" t="s">
        <v>7775</v>
      </c>
      <c r="B566" s="192" t="s">
        <v>269</v>
      </c>
      <c r="C566" s="192" t="s">
        <v>8997</v>
      </c>
      <c r="D566" s="192" t="s">
        <v>8794</v>
      </c>
      <c r="E566" s="193">
        <v>261</v>
      </c>
      <c r="F566" s="193">
        <v>1</v>
      </c>
      <c r="K566" s="176">
        <v>8</v>
      </c>
      <c r="M566" s="197">
        <v>5.6</v>
      </c>
      <c r="N566" s="198">
        <v>41822</v>
      </c>
      <c r="S566" s="176">
        <f>(AE566*BS566)/100</f>
        <v>17.374358974358973</v>
      </c>
      <c r="T566" s="198"/>
      <c r="U566" s="176">
        <v>16.2</v>
      </c>
      <c r="Y566" s="200">
        <f>(AE566*BU566)/100</f>
        <v>6.2126495726495712</v>
      </c>
      <c r="Z566" s="198"/>
      <c r="AA566" s="200"/>
      <c r="AB566" s="198"/>
      <c r="AC566" s="378">
        <f t="shared" si="8"/>
        <v>31.94074074074074</v>
      </c>
      <c r="AE566" s="176">
        <f>(M566/U566)*((100-CC566)/(100-9))*100</f>
        <v>35.099715099715098</v>
      </c>
      <c r="AF566" s="198">
        <v>41822</v>
      </c>
      <c r="AG566" s="176">
        <v>4.7</v>
      </c>
      <c r="AH566" s="196">
        <v>41927</v>
      </c>
      <c r="AI566" s="176">
        <v>130</v>
      </c>
      <c r="AM566" s="176">
        <v>84</v>
      </c>
      <c r="BG566" s="201">
        <v>0</v>
      </c>
      <c r="BI566" s="201">
        <v>4.2</v>
      </c>
      <c r="BK566" s="201">
        <v>1.6</v>
      </c>
      <c r="BM566" s="201">
        <v>61</v>
      </c>
      <c r="BO566" s="201">
        <v>18.5</v>
      </c>
      <c r="BQ566" s="201">
        <v>10.3</v>
      </c>
      <c r="BS566" s="201">
        <v>49.5</v>
      </c>
      <c r="BU566" s="201">
        <v>17.7</v>
      </c>
      <c r="BW566" s="201">
        <v>11.5</v>
      </c>
      <c r="BY566" s="178">
        <v>7.0999999999999943</v>
      </c>
      <c r="CC566" s="201">
        <v>7.6</v>
      </c>
      <c r="CD566" s="198">
        <v>41822</v>
      </c>
      <c r="CI566" s="174" t="s">
        <v>9335</v>
      </c>
      <c r="CL566" s="174">
        <v>2</v>
      </c>
    </row>
    <row r="567" spans="1:91">
      <c r="A567" s="191" t="s">
        <v>7706</v>
      </c>
      <c r="B567" s="192" t="s">
        <v>269</v>
      </c>
      <c r="C567" s="192" t="s">
        <v>8997</v>
      </c>
      <c r="D567" s="192" t="s">
        <v>8518</v>
      </c>
      <c r="E567" s="193">
        <v>261</v>
      </c>
      <c r="F567" s="193">
        <v>2</v>
      </c>
      <c r="K567" s="176">
        <v>7</v>
      </c>
      <c r="M567" s="197">
        <v>3.2</v>
      </c>
      <c r="N567" s="198">
        <v>41822</v>
      </c>
      <c r="S567" s="176">
        <f>(AE567*BS567)/100</f>
        <v>10.133984533984535</v>
      </c>
      <c r="T567" s="198"/>
      <c r="U567" s="176">
        <v>16.2</v>
      </c>
      <c r="Y567" s="200">
        <f>(AE567*BU567)/100</f>
        <v>3.5731379731379729</v>
      </c>
      <c r="Z567" s="198"/>
      <c r="AA567" s="200"/>
      <c r="AB567" s="198"/>
      <c r="AC567" s="378">
        <f t="shared" si="8"/>
        <v>18.37037037037037</v>
      </c>
      <c r="AE567" s="176">
        <f>(M567/U567)*((100-CC567)/(100-9))*100</f>
        <v>20.187220187220188</v>
      </c>
      <c r="AF567" s="198">
        <v>41822</v>
      </c>
      <c r="AG567" s="176">
        <v>4.5999999999999996</v>
      </c>
      <c r="AH567" s="196">
        <v>41927</v>
      </c>
      <c r="AI567" s="176">
        <v>140</v>
      </c>
      <c r="AM567" s="176">
        <v>84</v>
      </c>
      <c r="BG567" s="201">
        <v>0</v>
      </c>
      <c r="BI567" s="201">
        <v>4.4000000000000004</v>
      </c>
      <c r="BK567" s="201">
        <v>1.6</v>
      </c>
      <c r="BM567" s="201">
        <v>64.2</v>
      </c>
      <c r="BO567" s="201">
        <v>18.7</v>
      </c>
      <c r="BQ567" s="201">
        <v>8.3000000000000007</v>
      </c>
      <c r="BS567" s="201">
        <v>50.2</v>
      </c>
      <c r="BU567" s="201">
        <v>17.7</v>
      </c>
      <c r="BW567" s="201">
        <v>15</v>
      </c>
      <c r="BY567" s="178">
        <v>6.7999999999999972</v>
      </c>
      <c r="CC567" s="201">
        <v>7</v>
      </c>
      <c r="CD567" s="198">
        <v>41822</v>
      </c>
      <c r="CI567" s="174" t="s">
        <v>9368</v>
      </c>
      <c r="CL567" s="174">
        <v>3</v>
      </c>
    </row>
    <row r="568" spans="1:91">
      <c r="A568" s="191" t="s">
        <v>7758</v>
      </c>
      <c r="B568" s="192" t="s">
        <v>269</v>
      </c>
      <c r="C568" s="192" t="s">
        <v>8997</v>
      </c>
      <c r="D568" s="192" t="s">
        <v>8726</v>
      </c>
      <c r="E568" s="193">
        <v>261</v>
      </c>
      <c r="F568" s="193">
        <v>3</v>
      </c>
      <c r="K568" s="176">
        <v>8</v>
      </c>
      <c r="M568" s="197">
        <v>3.2</v>
      </c>
      <c r="N568" s="198">
        <v>41822</v>
      </c>
      <c r="S568" s="176">
        <f>(AE568*BS568)/100</f>
        <v>10.380681047347714</v>
      </c>
      <c r="T568" s="198"/>
      <c r="U568" s="176">
        <v>16.2</v>
      </c>
      <c r="Y568" s="200">
        <f>(AE568*BU568)/100</f>
        <v>3.2929046262379593</v>
      </c>
      <c r="Z568" s="198"/>
      <c r="AA568" s="200"/>
      <c r="AB568" s="198"/>
      <c r="AC568" s="378">
        <f t="shared" si="8"/>
        <v>18.271604938271608</v>
      </c>
      <c r="AE568" s="176">
        <f>(M568/U568)*((100-CC568)/(100-9))*100</f>
        <v>20.078686745353412</v>
      </c>
      <c r="AF568" s="198">
        <v>41822</v>
      </c>
      <c r="AG568" s="176">
        <v>4.8</v>
      </c>
      <c r="AH568" s="196">
        <v>41927</v>
      </c>
      <c r="AI568" s="176">
        <v>150</v>
      </c>
      <c r="AM568" s="176">
        <v>78</v>
      </c>
      <c r="BG568" s="201">
        <v>0</v>
      </c>
      <c r="BI568" s="201">
        <v>4.9000000000000004</v>
      </c>
      <c r="BK568" s="201">
        <v>1.5</v>
      </c>
      <c r="BM568" s="201">
        <v>62.6</v>
      </c>
      <c r="BO568" s="201">
        <v>21.6</v>
      </c>
      <c r="BQ568" s="201">
        <v>8.4</v>
      </c>
      <c r="BS568" s="201">
        <v>51.7</v>
      </c>
      <c r="BU568" s="201">
        <v>16.399999999999999</v>
      </c>
      <c r="BW568" s="201">
        <v>17.600000000000001</v>
      </c>
      <c r="BY568" s="178">
        <v>6.7000000000000028</v>
      </c>
      <c r="CC568" s="201">
        <v>7.5</v>
      </c>
      <c r="CD568" s="198">
        <v>41822</v>
      </c>
      <c r="CI568" s="174" t="s">
        <v>9353</v>
      </c>
      <c r="CL568" s="174">
        <v>3</v>
      </c>
    </row>
    <row r="569" spans="1:91">
      <c r="A569" s="191" t="s">
        <v>7774</v>
      </c>
      <c r="B569" s="192" t="s">
        <v>269</v>
      </c>
      <c r="C569" s="192" t="s">
        <v>8997</v>
      </c>
      <c r="D569" s="192" t="s">
        <v>8790</v>
      </c>
      <c r="E569" s="193">
        <v>261</v>
      </c>
      <c r="F569" s="193">
        <v>4</v>
      </c>
      <c r="K569" s="176">
        <v>7</v>
      </c>
      <c r="M569" s="197">
        <v>4.45</v>
      </c>
      <c r="N569" s="198">
        <v>41822</v>
      </c>
      <c r="S569" s="176">
        <f>(AE569*BS569)/100</f>
        <v>14.460145502645503</v>
      </c>
      <c r="T569" s="198"/>
      <c r="U569" s="176">
        <v>16.2</v>
      </c>
      <c r="Y569" s="200">
        <f>(AE569*BU569)/100</f>
        <v>4.7921869488536153</v>
      </c>
      <c r="Z569" s="198"/>
      <c r="AA569" s="200"/>
      <c r="AB569" s="198"/>
      <c r="AC569" s="378">
        <f t="shared" si="8"/>
        <v>25.35401234567901</v>
      </c>
      <c r="AE569" s="176">
        <f>(M569/U569)*((100-CC569)/(100-9))*100</f>
        <v>27.861552028218696</v>
      </c>
      <c r="AF569" s="198">
        <v>41822</v>
      </c>
      <c r="AG569" s="176">
        <v>5.0999999999999996</v>
      </c>
      <c r="AH569" s="196">
        <v>41927</v>
      </c>
      <c r="AI569" s="176">
        <v>130</v>
      </c>
      <c r="AM569" s="176">
        <v>84</v>
      </c>
      <c r="BG569" s="201">
        <v>1.7</v>
      </c>
      <c r="BI569" s="201">
        <v>4.4000000000000004</v>
      </c>
      <c r="BK569" s="201">
        <v>1.6</v>
      </c>
      <c r="BM569" s="201">
        <v>64.5</v>
      </c>
      <c r="BO569" s="201">
        <v>18</v>
      </c>
      <c r="BQ569" s="201">
        <v>9.1999999999999993</v>
      </c>
      <c r="BS569" s="201">
        <v>51.9</v>
      </c>
      <c r="BU569" s="201">
        <v>17.2</v>
      </c>
      <c r="BW569" s="201">
        <v>18</v>
      </c>
      <c r="BY569" s="178">
        <v>7.2000000000000028</v>
      </c>
      <c r="CC569" s="201">
        <v>7.7</v>
      </c>
      <c r="CD569" s="198">
        <v>41822</v>
      </c>
      <c r="CI569" s="174" t="s">
        <v>9344</v>
      </c>
      <c r="CL569" s="174">
        <v>4</v>
      </c>
    </row>
    <row r="570" spans="1:91">
      <c r="A570" s="202" t="s">
        <v>7737</v>
      </c>
      <c r="B570" s="203" t="s">
        <v>269</v>
      </c>
      <c r="C570" s="203" t="s">
        <v>8997</v>
      </c>
      <c r="D570" s="203" t="s">
        <v>8642</v>
      </c>
      <c r="E570" s="204">
        <v>261</v>
      </c>
      <c r="F570" s="204">
        <v>5</v>
      </c>
      <c r="G570" s="204"/>
      <c r="H570" s="204"/>
      <c r="I570" s="206"/>
      <c r="J570" s="206"/>
      <c r="K570" s="177">
        <v>9</v>
      </c>
      <c r="L570" s="207"/>
      <c r="M570" s="208">
        <v>0.45</v>
      </c>
      <c r="N570" s="209">
        <v>41822</v>
      </c>
      <c r="O570" s="183"/>
      <c r="P570" s="210"/>
      <c r="Q570" s="183"/>
      <c r="R570" s="210"/>
      <c r="S570" s="177">
        <f>(AE570*BS570)/100</f>
        <v>1.3529670329670334</v>
      </c>
      <c r="T570" s="209"/>
      <c r="U570" s="177">
        <v>16.2</v>
      </c>
      <c r="V570" s="210"/>
      <c r="W570" s="183"/>
      <c r="X570" s="210"/>
      <c r="Y570" s="213">
        <f>(AE570*BU570)/100</f>
        <v>0.55677655677655691</v>
      </c>
      <c r="Z570" s="209"/>
      <c r="AA570" s="213"/>
      <c r="AB570" s="209"/>
      <c r="AC570" s="378">
        <f t="shared" si="8"/>
        <v>2.5333333333333337</v>
      </c>
      <c r="AD570" s="207"/>
      <c r="AE570" s="177">
        <f>(M570/U570)*((100-CC570)/(100-9))*100</f>
        <v>2.7838827838827842</v>
      </c>
      <c r="AF570" s="209">
        <v>41822</v>
      </c>
      <c r="AG570" s="177">
        <v>4.8</v>
      </c>
      <c r="AH570" s="207">
        <v>41927</v>
      </c>
      <c r="AI570" s="177">
        <v>10</v>
      </c>
      <c r="AJ570" s="207"/>
      <c r="AK570" s="183"/>
      <c r="AL570" s="210"/>
      <c r="AM570" s="177">
        <v>77</v>
      </c>
      <c r="AN570" s="210"/>
      <c r="AO570" s="183"/>
      <c r="AP570" s="183"/>
      <c r="AQ570" s="183"/>
      <c r="AR570" s="183"/>
      <c r="AS570" s="183"/>
      <c r="AT570" s="183"/>
      <c r="AU570" s="183"/>
      <c r="AV570" s="183"/>
      <c r="AW570" s="183"/>
      <c r="AX570" s="183"/>
      <c r="AY570" s="183"/>
      <c r="AZ570" s="183"/>
      <c r="BA570" s="183"/>
      <c r="BB570" s="183"/>
      <c r="BC570" s="183"/>
      <c r="BD570" s="183"/>
      <c r="BE570" s="182"/>
      <c r="BF570" s="182"/>
      <c r="BG570" s="211">
        <v>8.6</v>
      </c>
      <c r="BH570" s="181"/>
      <c r="BI570" s="211">
        <v>4.5999999999999996</v>
      </c>
      <c r="BJ570" s="181"/>
      <c r="BK570" s="211">
        <v>1.4</v>
      </c>
      <c r="BL570" s="181"/>
      <c r="BM570" s="211">
        <v>55.7</v>
      </c>
      <c r="BN570" s="181"/>
      <c r="BO570" s="211">
        <v>18.3</v>
      </c>
      <c r="BP570" s="181"/>
      <c r="BQ570" s="211">
        <v>10</v>
      </c>
      <c r="BR570" s="181"/>
      <c r="BS570" s="211">
        <v>48.6</v>
      </c>
      <c r="BT570" s="181"/>
      <c r="BU570" s="211">
        <v>20</v>
      </c>
      <c r="BV570" s="181"/>
      <c r="BW570" s="211">
        <v>16.7</v>
      </c>
      <c r="BX570" s="181"/>
      <c r="BY570" s="181">
        <v>8</v>
      </c>
      <c r="BZ570" s="181"/>
      <c r="CA570" s="182"/>
      <c r="CB570" s="182"/>
      <c r="CC570" s="211">
        <v>8.8000000000000007</v>
      </c>
      <c r="CD570" s="209">
        <v>41822</v>
      </c>
      <c r="CE570" s="181"/>
      <c r="CF570" s="181"/>
      <c r="CG570" s="182"/>
      <c r="CH570" s="182"/>
      <c r="CI570" s="175" t="s">
        <v>9373</v>
      </c>
      <c r="CJ570" s="181"/>
      <c r="CK570" s="181"/>
      <c r="CL570" s="175">
        <v>9</v>
      </c>
      <c r="CM570" s="175"/>
    </row>
    <row r="571" spans="1:91">
      <c r="A571" s="191" t="s">
        <v>7804</v>
      </c>
      <c r="B571" s="192" t="s">
        <v>269</v>
      </c>
      <c r="C571" s="192" t="s">
        <v>8997</v>
      </c>
      <c r="D571" s="192" t="s">
        <v>8910</v>
      </c>
      <c r="E571" s="193">
        <v>261</v>
      </c>
      <c r="F571" s="193">
        <v>6</v>
      </c>
      <c r="K571" s="176">
        <v>7</v>
      </c>
      <c r="M571" s="197">
        <v>4.6500000000000004</v>
      </c>
      <c r="N571" s="198">
        <v>41822</v>
      </c>
      <c r="S571" s="176">
        <f>(AE571*BS571)/100</f>
        <v>14.974627594627599</v>
      </c>
      <c r="T571" s="198"/>
      <c r="U571" s="176">
        <v>16.2</v>
      </c>
      <c r="Y571" s="200">
        <f>(AE571*BU571)/100</f>
        <v>4.6295604395604402</v>
      </c>
      <c r="Z571" s="198"/>
      <c r="AA571" s="200"/>
      <c r="AB571" s="198"/>
      <c r="AC571" s="378">
        <f t="shared" si="8"/>
        <v>26.00555555555556</v>
      </c>
      <c r="AE571" s="176">
        <f>(M571/U571)*((100-CC571)/(100-9))*100</f>
        <v>28.577533577533583</v>
      </c>
      <c r="AF571" s="198">
        <v>41822</v>
      </c>
      <c r="AG571" s="176">
        <v>5</v>
      </c>
      <c r="AH571" s="196">
        <v>41927</v>
      </c>
      <c r="AI571" s="176">
        <v>145</v>
      </c>
      <c r="AM571" s="176">
        <v>84</v>
      </c>
      <c r="BG571" s="201">
        <v>0</v>
      </c>
      <c r="BI571" s="201">
        <v>4.5</v>
      </c>
      <c r="BK571" s="201">
        <v>1.6</v>
      </c>
      <c r="BM571" s="201">
        <v>63.3</v>
      </c>
      <c r="BO571" s="201">
        <v>18.600000000000001</v>
      </c>
      <c r="BQ571" s="201">
        <v>8.8000000000000007</v>
      </c>
      <c r="BS571" s="201">
        <v>52.4</v>
      </c>
      <c r="BU571" s="201">
        <v>16.2</v>
      </c>
      <c r="BW571" s="201">
        <v>10.5</v>
      </c>
      <c r="BY571" s="178">
        <v>7.5</v>
      </c>
      <c r="CC571" s="201">
        <v>9.4</v>
      </c>
      <c r="CD571" s="198">
        <v>41822</v>
      </c>
      <c r="CI571" s="174" t="s">
        <v>9366</v>
      </c>
      <c r="CL571" s="174">
        <v>1</v>
      </c>
    </row>
    <row r="572" spans="1:91">
      <c r="A572" s="191" t="s">
        <v>7662</v>
      </c>
      <c r="B572" s="192" t="s">
        <v>271</v>
      </c>
      <c r="C572" s="192" t="s">
        <v>8999</v>
      </c>
      <c r="D572" s="192" t="s">
        <v>8344</v>
      </c>
      <c r="E572" s="193">
        <v>261</v>
      </c>
      <c r="F572" s="193">
        <v>7</v>
      </c>
      <c r="K572" s="176">
        <v>8</v>
      </c>
      <c r="M572" s="197">
        <v>5.4</v>
      </c>
      <c r="N572" s="198">
        <v>41822</v>
      </c>
      <c r="S572" s="176">
        <f>(AE572*BS572)/100</f>
        <v>17.434578754578755</v>
      </c>
      <c r="T572" s="198"/>
      <c r="U572" s="176">
        <v>16.2</v>
      </c>
      <c r="Y572" s="200">
        <f>(AE572*BU572)/100</f>
        <v>5.6645421245421241</v>
      </c>
      <c r="Z572" s="198"/>
      <c r="AA572" s="200"/>
      <c r="AB572" s="198"/>
      <c r="AC572" s="378">
        <f t="shared" si="8"/>
        <v>30.866666666666667</v>
      </c>
      <c r="AE572" s="176">
        <f>(M572/U572)*((100-CC572)/(100-9))*100</f>
        <v>33.91941391941392</v>
      </c>
      <c r="AF572" s="198">
        <v>41822</v>
      </c>
      <c r="AG572" s="176">
        <v>5.0999999999999996</v>
      </c>
      <c r="AH572" s="196">
        <v>41927</v>
      </c>
      <c r="AI572" s="176">
        <v>150</v>
      </c>
      <c r="AM572" s="176">
        <v>88</v>
      </c>
      <c r="BG572" s="201">
        <v>3.9</v>
      </c>
      <c r="BI572" s="201">
        <v>4.9000000000000004</v>
      </c>
      <c r="BK572" s="201">
        <v>1.6</v>
      </c>
      <c r="BM572" s="201">
        <v>67.900000000000006</v>
      </c>
      <c r="BO572" s="201">
        <v>20.9</v>
      </c>
      <c r="BQ572" s="201">
        <v>6.4</v>
      </c>
      <c r="BS572" s="201">
        <v>51.4</v>
      </c>
      <c r="BU572" s="201">
        <v>16.7</v>
      </c>
      <c r="BW572" s="201">
        <v>14.5</v>
      </c>
      <c r="BY572" s="178">
        <v>6</v>
      </c>
      <c r="CC572" s="201">
        <v>7.4</v>
      </c>
      <c r="CD572" s="198">
        <v>41822</v>
      </c>
      <c r="CI572" s="174" t="s">
        <v>9397</v>
      </c>
      <c r="CL572" s="174">
        <v>2</v>
      </c>
    </row>
    <row r="573" spans="1:91">
      <c r="A573" s="191" t="s">
        <v>7690</v>
      </c>
      <c r="B573" s="192" t="s">
        <v>271</v>
      </c>
      <c r="C573" s="192" t="s">
        <v>8999</v>
      </c>
      <c r="D573" s="192" t="s">
        <v>8456</v>
      </c>
      <c r="E573" s="193">
        <v>261</v>
      </c>
      <c r="F573" s="193">
        <v>8</v>
      </c>
      <c r="K573" s="176">
        <v>8</v>
      </c>
      <c r="M573" s="197">
        <v>6.25</v>
      </c>
      <c r="N573" s="198">
        <v>41822</v>
      </c>
      <c r="S573" s="176">
        <f>(AE573*BS573)/100</f>
        <v>19.359228734228733</v>
      </c>
      <c r="T573" s="198"/>
      <c r="U573" s="176">
        <v>16.2</v>
      </c>
      <c r="Y573" s="200">
        <f>(AE573*BU573)/100</f>
        <v>7.1759259259259247</v>
      </c>
      <c r="Z573" s="198"/>
      <c r="AA573" s="200"/>
      <c r="AB573" s="198"/>
      <c r="AC573" s="378">
        <f t="shared" si="8"/>
        <v>35.879629629629626</v>
      </c>
      <c r="AE573" s="176">
        <f>(M573/U573)*((100-CC573)/(100-9))*100</f>
        <v>39.428164428164422</v>
      </c>
      <c r="AF573" s="198">
        <v>41822</v>
      </c>
      <c r="AG573" s="176">
        <v>4.8</v>
      </c>
      <c r="AH573" s="196">
        <v>41927</v>
      </c>
      <c r="AI573" s="176">
        <v>150</v>
      </c>
      <c r="AM573" s="176">
        <v>83</v>
      </c>
      <c r="BG573" s="201">
        <v>9.3000000000000007</v>
      </c>
      <c r="BI573" s="201">
        <v>4.3</v>
      </c>
      <c r="BK573" s="201">
        <v>1.5</v>
      </c>
      <c r="BM573" s="201">
        <v>63.4</v>
      </c>
      <c r="BO573" s="201">
        <v>20.5</v>
      </c>
      <c r="BQ573" s="201">
        <v>8.4</v>
      </c>
      <c r="BS573" s="201">
        <v>49.1</v>
      </c>
      <c r="BU573" s="201">
        <v>18.2</v>
      </c>
      <c r="BW573" s="201">
        <v>20.7</v>
      </c>
      <c r="BY573" s="178">
        <v>6.4000000000000057</v>
      </c>
      <c r="CC573" s="201">
        <v>7</v>
      </c>
      <c r="CD573" s="198">
        <v>41822</v>
      </c>
      <c r="CI573" s="174" t="s">
        <v>9398</v>
      </c>
      <c r="CL573" s="174">
        <v>3</v>
      </c>
    </row>
    <row r="574" spans="1:91">
      <c r="A574" s="191" t="s">
        <v>7688</v>
      </c>
      <c r="B574" s="192" t="s">
        <v>271</v>
      </c>
      <c r="C574" s="192" t="s">
        <v>8999</v>
      </c>
      <c r="D574" s="192" t="s">
        <v>8448</v>
      </c>
      <c r="E574" s="193">
        <v>261</v>
      </c>
      <c r="F574" s="193">
        <v>9</v>
      </c>
      <c r="K574" s="176">
        <v>7</v>
      </c>
      <c r="M574" s="197">
        <v>6.65</v>
      </c>
      <c r="N574" s="198">
        <v>41822</v>
      </c>
      <c r="S574" s="176">
        <f>(AE574*BS574)/100</f>
        <v>20.891880341880341</v>
      </c>
      <c r="T574" s="198"/>
      <c r="U574" s="176">
        <v>16.2</v>
      </c>
      <c r="Y574" s="200">
        <f>(AE574*BU574)/100</f>
        <v>7.3415242165242169</v>
      </c>
      <c r="Z574" s="198"/>
      <c r="AA574" s="200"/>
      <c r="AB574" s="198"/>
      <c r="AC574" s="378">
        <f t="shared" si="8"/>
        <v>38.175925925925931</v>
      </c>
      <c r="AE574" s="176">
        <f>(M574/U574)*((100-CC574)/(100-9))*100</f>
        <v>41.951566951566953</v>
      </c>
      <c r="AF574" s="198">
        <v>41822</v>
      </c>
      <c r="AG574" s="176">
        <v>4</v>
      </c>
      <c r="AH574" s="196">
        <v>41927</v>
      </c>
      <c r="AI574" s="176">
        <v>160</v>
      </c>
      <c r="AM574" s="176">
        <v>78</v>
      </c>
      <c r="BG574" s="201">
        <v>0</v>
      </c>
      <c r="BI574" s="201">
        <v>4.5</v>
      </c>
      <c r="BK574" s="201">
        <v>1.6</v>
      </c>
      <c r="BM574" s="201">
        <v>61.9</v>
      </c>
      <c r="BO574" s="201">
        <v>21.2</v>
      </c>
      <c r="BQ574" s="201">
        <v>8.4</v>
      </c>
      <c r="BS574" s="201">
        <v>49.8</v>
      </c>
      <c r="BU574" s="201">
        <v>17.5</v>
      </c>
      <c r="BW574" s="201">
        <v>13.9</v>
      </c>
      <c r="BY574" s="178">
        <v>6.4000000000000057</v>
      </c>
      <c r="CC574" s="201">
        <v>7</v>
      </c>
      <c r="CD574" s="198">
        <v>41822</v>
      </c>
      <c r="CI574" s="174" t="s">
        <v>9383</v>
      </c>
      <c r="CL574" s="174">
        <v>1</v>
      </c>
    </row>
    <row r="575" spans="1:91">
      <c r="A575" s="191" t="s">
        <v>7725</v>
      </c>
      <c r="B575" s="192" t="s">
        <v>271</v>
      </c>
      <c r="C575" s="192" t="s">
        <v>8999</v>
      </c>
      <c r="D575" s="192" t="s">
        <v>8596</v>
      </c>
      <c r="E575" s="193">
        <v>261</v>
      </c>
      <c r="F575" s="193">
        <v>10</v>
      </c>
      <c r="K575" s="176">
        <v>7</v>
      </c>
      <c r="M575" s="197">
        <v>4.8499999999999996</v>
      </c>
      <c r="N575" s="198">
        <v>41822</v>
      </c>
      <c r="S575" s="176">
        <f>(AE575*BS575)/100</f>
        <v>14.625010175010173</v>
      </c>
      <c r="T575" s="198"/>
      <c r="U575" s="176">
        <v>16.2</v>
      </c>
      <c r="Y575" s="200">
        <f>(AE575*BU575)/100</f>
        <v>5.7214997964997965</v>
      </c>
      <c r="Z575" s="198"/>
      <c r="AA575" s="200"/>
      <c r="AB575" s="198"/>
      <c r="AC575" s="378">
        <f t="shared" si="8"/>
        <v>27.842592592592592</v>
      </c>
      <c r="AE575" s="176">
        <f>(M575/U575)*((100-CC575)/(100-9))*100</f>
        <v>30.596255596255595</v>
      </c>
      <c r="AF575" s="198">
        <v>41822</v>
      </c>
      <c r="AG575" s="176">
        <v>4.5999999999999996</v>
      </c>
      <c r="AH575" s="196">
        <v>41927</v>
      </c>
      <c r="AI575" s="176">
        <v>130</v>
      </c>
      <c r="AM575" s="176">
        <v>85</v>
      </c>
      <c r="BG575" s="201">
        <v>0.5</v>
      </c>
      <c r="BI575" s="201">
        <v>4.3</v>
      </c>
      <c r="BK575" s="201">
        <v>1.5</v>
      </c>
      <c r="BM575" s="201">
        <v>64.7</v>
      </c>
      <c r="BO575" s="201">
        <v>19.8</v>
      </c>
      <c r="BQ575" s="201">
        <v>8.6</v>
      </c>
      <c r="BS575" s="201">
        <v>47.8</v>
      </c>
      <c r="BU575" s="201">
        <v>18.7</v>
      </c>
      <c r="BW575" s="201">
        <v>18.8</v>
      </c>
      <c r="BY575" s="178">
        <v>6.2999999999999972</v>
      </c>
      <c r="CC575" s="201">
        <v>7</v>
      </c>
      <c r="CD575" s="198">
        <v>41822</v>
      </c>
      <c r="CI575" s="174" t="s">
        <v>9368</v>
      </c>
      <c r="CL575" s="174">
        <v>2</v>
      </c>
    </row>
    <row r="576" spans="1:91">
      <c r="A576" s="191" t="s">
        <v>7729</v>
      </c>
      <c r="B576" s="192" t="s">
        <v>271</v>
      </c>
      <c r="C576" s="192" t="s">
        <v>8999</v>
      </c>
      <c r="D576" s="192" t="s">
        <v>8612</v>
      </c>
      <c r="E576" s="193">
        <v>261</v>
      </c>
      <c r="F576" s="193">
        <v>11</v>
      </c>
      <c r="K576" s="176">
        <v>7</v>
      </c>
      <c r="M576" s="197">
        <v>5.95</v>
      </c>
      <c r="N576" s="198">
        <v>41822</v>
      </c>
      <c r="S576" s="176">
        <f>(AE576*BS576)/100</f>
        <v>18.370534188034188</v>
      </c>
      <c r="T576" s="198"/>
      <c r="U576" s="176">
        <v>16.2</v>
      </c>
      <c r="Y576" s="200">
        <f>(AE576*BU576)/100</f>
        <v>6.7346153846153847</v>
      </c>
      <c r="Z576" s="198"/>
      <c r="AA576" s="200"/>
      <c r="AB576" s="198"/>
      <c r="AC576" s="378">
        <f t="shared" si="8"/>
        <v>34.047222222222224</v>
      </c>
      <c r="AE576" s="176">
        <f>(M576/U576)*((100-CC576)/(100-9))*100</f>
        <v>37.414529914529915</v>
      </c>
      <c r="AF576" s="198">
        <v>41822</v>
      </c>
      <c r="AG576" s="176">
        <v>4.8</v>
      </c>
      <c r="AH576" s="196">
        <v>41927</v>
      </c>
      <c r="AI576" s="176">
        <v>160</v>
      </c>
      <c r="AM576" s="176">
        <v>88</v>
      </c>
      <c r="BG576" s="201">
        <v>0</v>
      </c>
      <c r="BI576" s="201">
        <v>4.5</v>
      </c>
      <c r="BK576" s="201">
        <v>1.5</v>
      </c>
      <c r="BM576" s="201">
        <v>60.7</v>
      </c>
      <c r="BO576" s="201">
        <v>20.7</v>
      </c>
      <c r="BQ576" s="201">
        <v>9.6</v>
      </c>
      <c r="BS576" s="201">
        <v>49.1</v>
      </c>
      <c r="BU576" s="201">
        <v>18</v>
      </c>
      <c r="BW576" s="201">
        <v>14.7</v>
      </c>
      <c r="BY576" s="178">
        <v>6.2999999999999972</v>
      </c>
      <c r="CC576" s="201">
        <v>7.3</v>
      </c>
      <c r="CD576" s="198">
        <v>41822</v>
      </c>
      <c r="CI576" s="174" t="s">
        <v>9355</v>
      </c>
      <c r="CL576" s="174">
        <v>2</v>
      </c>
    </row>
    <row r="577" spans="1:90">
      <c r="A577" s="191" t="s">
        <v>7810</v>
      </c>
      <c r="B577" s="192" t="s">
        <v>271</v>
      </c>
      <c r="C577" s="192" t="s">
        <v>8999</v>
      </c>
      <c r="D577" s="192" t="s">
        <v>8936</v>
      </c>
      <c r="E577" s="193">
        <v>261</v>
      </c>
      <c r="F577" s="193">
        <v>12</v>
      </c>
      <c r="K577" s="176">
        <v>7</v>
      </c>
      <c r="M577" s="197">
        <v>6.55</v>
      </c>
      <c r="N577" s="198">
        <v>41822</v>
      </c>
      <c r="S577" s="176">
        <f>(AE577*BS577)/100</f>
        <v>20.828706756206756</v>
      </c>
      <c r="T577" s="198"/>
      <c r="U577" s="176">
        <v>16.2</v>
      </c>
      <c r="Y577" s="200">
        <f>(AE577*BU577)/100</f>
        <v>6.9974633699633708</v>
      </c>
      <c r="Z577" s="198"/>
      <c r="AA577" s="200"/>
      <c r="AB577" s="198"/>
      <c r="AC577" s="378">
        <f t="shared" si="8"/>
        <v>37.23796296296296</v>
      </c>
      <c r="AE577" s="176">
        <f>(M577/U577)*((100-CC577)/(100-9))*100</f>
        <v>40.920838420838422</v>
      </c>
      <c r="AF577" s="198">
        <v>41822</v>
      </c>
      <c r="AG577" s="176">
        <v>4.3</v>
      </c>
      <c r="AH577" s="196">
        <v>41927</v>
      </c>
      <c r="AI577" s="176">
        <v>160</v>
      </c>
      <c r="AM577" s="176">
        <v>87</v>
      </c>
      <c r="BG577" s="201">
        <v>1.3</v>
      </c>
      <c r="BI577" s="201">
        <v>4.5999999999999996</v>
      </c>
      <c r="BK577" s="201">
        <v>1.6</v>
      </c>
      <c r="BM577" s="201">
        <v>63.7</v>
      </c>
      <c r="BO577" s="201">
        <v>19.5</v>
      </c>
      <c r="BQ577" s="201">
        <v>8.9</v>
      </c>
      <c r="BS577" s="201">
        <v>50.9</v>
      </c>
      <c r="BU577" s="201">
        <v>17.100000000000001</v>
      </c>
      <c r="BW577" s="201">
        <v>12.4</v>
      </c>
      <c r="BY577" s="178">
        <v>6.7999999999999972</v>
      </c>
      <c r="CC577" s="201">
        <v>7.9</v>
      </c>
      <c r="CD577" s="198">
        <v>41822</v>
      </c>
      <c r="CI577" s="174" t="s">
        <v>9375</v>
      </c>
      <c r="CL577" s="174">
        <v>7</v>
      </c>
    </row>
    <row r="578" spans="1:90">
      <c r="A578" s="191" t="s">
        <v>7690</v>
      </c>
      <c r="B578" s="192" t="s">
        <v>269</v>
      </c>
      <c r="C578" s="192" t="s">
        <v>8997</v>
      </c>
      <c r="D578" s="192" t="s">
        <v>8454</v>
      </c>
      <c r="E578" s="193">
        <v>262</v>
      </c>
      <c r="F578" s="193">
        <v>1</v>
      </c>
      <c r="K578" s="176">
        <v>8</v>
      </c>
      <c r="M578" s="197">
        <v>4.7</v>
      </c>
      <c r="N578" s="198">
        <v>41822</v>
      </c>
      <c r="S578" s="176">
        <f>(AE578*BS578)/100</f>
        <v>14.617439967439964</v>
      </c>
      <c r="T578" s="198"/>
      <c r="U578" s="176">
        <v>16.2</v>
      </c>
      <c r="Y578" s="200">
        <f>(AE578*BU578)/100</f>
        <v>5.277696377696377</v>
      </c>
      <c r="Z578" s="198"/>
      <c r="AA578" s="200"/>
      <c r="AB578" s="198"/>
      <c r="AC578" s="378">
        <f t="shared" si="8"/>
        <v>26.981481481481481</v>
      </c>
      <c r="AE578" s="176">
        <f>(M578/U578)*((100-CC578)/(100-9))*100</f>
        <v>29.649979649979645</v>
      </c>
      <c r="AF578" s="198">
        <v>41822</v>
      </c>
      <c r="AG578" s="176">
        <v>5.2</v>
      </c>
      <c r="AH578" s="196">
        <v>41927</v>
      </c>
      <c r="AI578" s="176">
        <v>135</v>
      </c>
      <c r="AM578" s="176">
        <v>86</v>
      </c>
      <c r="BG578" s="201">
        <v>0</v>
      </c>
      <c r="BI578" s="201">
        <v>4.8</v>
      </c>
      <c r="BK578" s="201">
        <v>1.6</v>
      </c>
      <c r="BM578" s="201">
        <v>64.099999999999994</v>
      </c>
      <c r="BO578" s="201">
        <v>20.6</v>
      </c>
      <c r="BQ578" s="201">
        <v>8.3000000000000007</v>
      </c>
      <c r="BS578" s="201">
        <v>49.3</v>
      </c>
      <c r="BU578" s="201">
        <v>17.8</v>
      </c>
      <c r="BW578" s="201">
        <v>21.3</v>
      </c>
      <c r="BY578" s="178">
        <v>6.5</v>
      </c>
      <c r="CC578" s="201">
        <v>7</v>
      </c>
      <c r="CD578" s="198">
        <v>41822</v>
      </c>
      <c r="CI578" s="174" t="s">
        <v>9343</v>
      </c>
      <c r="CL578" s="174">
        <v>1</v>
      </c>
    </row>
    <row r="579" spans="1:90">
      <c r="A579" s="191" t="s">
        <v>7691</v>
      </c>
      <c r="B579" s="192" t="s">
        <v>269</v>
      </c>
      <c r="C579" s="192" t="s">
        <v>8997</v>
      </c>
      <c r="D579" s="192" t="s">
        <v>8458</v>
      </c>
      <c r="E579" s="193">
        <v>262</v>
      </c>
      <c r="F579" s="193">
        <v>2</v>
      </c>
      <c r="K579" s="176">
        <v>6</v>
      </c>
      <c r="M579" s="197">
        <v>3.35</v>
      </c>
      <c r="N579" s="198">
        <v>41822</v>
      </c>
      <c r="S579" s="176">
        <f>(AE579*BS579)/100</f>
        <v>10.467897842897841</v>
      </c>
      <c r="T579" s="198"/>
      <c r="U579" s="176">
        <v>16.2</v>
      </c>
      <c r="Y579" s="200">
        <f>(AE579*BU579)/100</f>
        <v>3.6784781576448244</v>
      </c>
      <c r="Z579" s="198"/>
      <c r="AA579" s="200"/>
      <c r="AB579" s="198"/>
      <c r="AC579" s="378">
        <f t="shared" ref="AC579:AC642" si="9">(M579/16.2)*(100-CC579)</f>
        <v>19.128086419753085</v>
      </c>
      <c r="AE579" s="176">
        <f>(M579/U579)*((100-CC579)/(100-9))*100</f>
        <v>21.019875186541853</v>
      </c>
      <c r="AF579" s="198">
        <v>41822</v>
      </c>
      <c r="AG579" s="176">
        <v>4.9000000000000004</v>
      </c>
      <c r="AH579" s="196">
        <v>41927</v>
      </c>
      <c r="AI579" s="176">
        <v>140</v>
      </c>
      <c r="AM579" s="176">
        <v>78</v>
      </c>
      <c r="BG579" s="201">
        <v>2.7</v>
      </c>
      <c r="BI579" s="201">
        <v>4.4000000000000004</v>
      </c>
      <c r="BK579" s="201">
        <v>1.6</v>
      </c>
      <c r="BM579" s="201">
        <v>64.3</v>
      </c>
      <c r="BO579" s="201">
        <v>18.3</v>
      </c>
      <c r="BQ579" s="201">
        <v>7.9</v>
      </c>
      <c r="BS579" s="201">
        <v>49.8</v>
      </c>
      <c r="BU579" s="201">
        <v>17.5</v>
      </c>
      <c r="BW579" s="201">
        <v>18.2</v>
      </c>
      <c r="BY579" s="178">
        <v>7</v>
      </c>
      <c r="CC579" s="201">
        <v>7.5</v>
      </c>
      <c r="CD579" s="198">
        <v>41822</v>
      </c>
      <c r="CI579" s="174" t="s">
        <v>9347</v>
      </c>
      <c r="CL579" s="174">
        <v>3</v>
      </c>
    </row>
    <row r="580" spans="1:90">
      <c r="A580" s="191" t="s">
        <v>7646</v>
      </c>
      <c r="B580" s="192" t="s">
        <v>269</v>
      </c>
      <c r="C580" s="192" t="s">
        <v>8997</v>
      </c>
      <c r="D580" s="192" t="s">
        <v>8278</v>
      </c>
      <c r="E580" s="193">
        <v>262</v>
      </c>
      <c r="F580" s="193">
        <v>3</v>
      </c>
      <c r="K580" s="176">
        <v>8</v>
      </c>
      <c r="M580" s="197">
        <v>1.1499999999999999</v>
      </c>
      <c r="N580" s="198">
        <v>41822</v>
      </c>
      <c r="S580" s="176">
        <f>(AE580*BS580)/100</f>
        <v>3.5519413919413916</v>
      </c>
      <c r="T580" s="198"/>
      <c r="U580" s="176">
        <v>16.2</v>
      </c>
      <c r="Y580" s="200">
        <f>(AE580*BU580)/100</f>
        <v>1.3033333333333332</v>
      </c>
      <c r="Z580" s="198"/>
      <c r="AA580" s="200"/>
      <c r="AB580" s="198"/>
      <c r="AC580" s="378">
        <f t="shared" si="9"/>
        <v>6.5166666666666657</v>
      </c>
      <c r="AE580" s="176">
        <f>(M580/U580)*((100-CC580)/(100-9))*100</f>
        <v>7.1611721611721606</v>
      </c>
      <c r="AF580" s="198">
        <v>41822</v>
      </c>
      <c r="AG580" s="176">
        <v>5</v>
      </c>
      <c r="AH580" s="196">
        <v>41927</v>
      </c>
      <c r="AI580" s="176">
        <v>100</v>
      </c>
      <c r="AM580" s="176">
        <v>78</v>
      </c>
      <c r="BG580" s="201">
        <v>2.6</v>
      </c>
      <c r="BI580" s="201">
        <v>4.4000000000000004</v>
      </c>
      <c r="BK580" s="201">
        <v>1.5</v>
      </c>
      <c r="BM580" s="201">
        <v>62.9</v>
      </c>
      <c r="BO580" s="201">
        <v>18.399999999999999</v>
      </c>
      <c r="BQ580" s="201">
        <v>10.1</v>
      </c>
      <c r="BS580" s="201">
        <v>49.6</v>
      </c>
      <c r="BU580" s="201">
        <v>18.2</v>
      </c>
      <c r="BW580" s="201">
        <v>49.2</v>
      </c>
      <c r="BY580" s="178">
        <v>7.4000000000000057</v>
      </c>
      <c r="CC580" s="201">
        <v>8.1999999999999993</v>
      </c>
      <c r="CD580" s="198">
        <v>41822</v>
      </c>
      <c r="CI580" s="174" t="s">
        <v>9370</v>
      </c>
      <c r="CL580" s="174">
        <v>9</v>
      </c>
    </row>
    <row r="581" spans="1:90">
      <c r="A581" s="191" t="s">
        <v>7751</v>
      </c>
      <c r="B581" s="192" t="s">
        <v>269</v>
      </c>
      <c r="C581" s="192" t="s">
        <v>8997</v>
      </c>
      <c r="D581" s="192" t="s">
        <v>8698</v>
      </c>
      <c r="E581" s="193">
        <v>262</v>
      </c>
      <c r="F581" s="193">
        <v>4</v>
      </c>
      <c r="K581" s="176">
        <v>7</v>
      </c>
      <c r="M581" s="197">
        <v>1.4</v>
      </c>
      <c r="N581" s="198">
        <v>41822</v>
      </c>
      <c r="S581" s="176">
        <f>(AE581*BS581)/100</f>
        <v>4.0931718898385556</v>
      </c>
      <c r="T581" s="198"/>
      <c r="U581" s="176">
        <v>16.2</v>
      </c>
      <c r="Y581" s="200">
        <f>(AE581*BU581)/100</f>
        <v>1.7018518518518517</v>
      </c>
      <c r="Z581" s="198"/>
      <c r="AA581" s="200"/>
      <c r="AB581" s="198"/>
      <c r="AC581" s="378">
        <f t="shared" si="9"/>
        <v>7.9419753086419753</v>
      </c>
      <c r="AE581" s="176">
        <f>(M581/U581)*((100-CC581)/(100-9))*100</f>
        <v>8.7274453941120598</v>
      </c>
      <c r="AF581" s="198">
        <v>41822</v>
      </c>
      <c r="AG581" s="176">
        <v>4.8</v>
      </c>
      <c r="AH581" s="196">
        <v>41927</v>
      </c>
      <c r="AI581" s="176">
        <v>90</v>
      </c>
      <c r="AM581" s="176">
        <v>80</v>
      </c>
      <c r="BG581" s="201">
        <v>34.299999999999997</v>
      </c>
      <c r="BI581" s="201">
        <v>4.8</v>
      </c>
      <c r="BK581" s="201">
        <v>1</v>
      </c>
      <c r="BM581" s="201">
        <v>43</v>
      </c>
      <c r="BO581" s="201">
        <v>18.100000000000001</v>
      </c>
      <c r="BQ581" s="201">
        <v>10.1</v>
      </c>
      <c r="BS581" s="201">
        <v>46.9</v>
      </c>
      <c r="BU581" s="201">
        <v>19.5</v>
      </c>
      <c r="BW581" s="201">
        <v>71.599999999999994</v>
      </c>
      <c r="BY581" s="178">
        <v>6.9000000000000057</v>
      </c>
      <c r="CC581" s="201">
        <v>8.1</v>
      </c>
      <c r="CD581" s="198">
        <v>41822</v>
      </c>
      <c r="CI581" s="174" t="s">
        <v>9351</v>
      </c>
      <c r="CL581" s="174">
        <v>7</v>
      </c>
    </row>
    <row r="582" spans="1:90">
      <c r="A582" s="191" t="s">
        <v>7650</v>
      </c>
      <c r="B582" s="192" t="s">
        <v>269</v>
      </c>
      <c r="C582" s="192" t="s">
        <v>8997</v>
      </c>
      <c r="D582" s="192" t="s">
        <v>8294</v>
      </c>
      <c r="E582" s="193">
        <v>262</v>
      </c>
      <c r="F582" s="193">
        <v>5</v>
      </c>
      <c r="K582" s="176">
        <v>9</v>
      </c>
      <c r="M582" s="197">
        <v>2.2000000000000002</v>
      </c>
      <c r="N582" s="198">
        <v>41822</v>
      </c>
      <c r="S582" s="176">
        <f>(AE582*BS582)/100</f>
        <v>6.2399592999593008</v>
      </c>
      <c r="T582" s="198"/>
      <c r="U582" s="176">
        <v>16.2</v>
      </c>
      <c r="Y582" s="200">
        <f>(AE582*BU582)/100</f>
        <v>2.7763695563695565</v>
      </c>
      <c r="Z582" s="198"/>
      <c r="AA582" s="200"/>
      <c r="AB582" s="198"/>
      <c r="AC582" s="378">
        <f t="shared" si="9"/>
        <v>12.507407407407408</v>
      </c>
      <c r="AE582" s="176">
        <f>(M582/U582)*((100-CC582)/(100-9))*100</f>
        <v>13.744403744403746</v>
      </c>
      <c r="AF582" s="198">
        <v>41822</v>
      </c>
      <c r="AG582" s="176">
        <v>5.5</v>
      </c>
      <c r="AH582" s="196">
        <v>41927</v>
      </c>
      <c r="AI582" s="176">
        <v>110</v>
      </c>
      <c r="AM582" s="176">
        <v>78</v>
      </c>
      <c r="BG582" s="201">
        <v>0</v>
      </c>
      <c r="BI582" s="201">
        <v>4.5</v>
      </c>
      <c r="BK582" s="201">
        <v>1.5</v>
      </c>
      <c r="BM582" s="201">
        <v>58.5</v>
      </c>
      <c r="BO582" s="201">
        <v>21</v>
      </c>
      <c r="BQ582" s="201">
        <v>10.8</v>
      </c>
      <c r="BS582" s="201">
        <v>45.4</v>
      </c>
      <c r="BU582" s="201">
        <v>20.2</v>
      </c>
      <c r="BW582" s="201">
        <v>18.5</v>
      </c>
      <c r="BY582" s="178">
        <v>6.9000000000000057</v>
      </c>
      <c r="CC582" s="201">
        <v>7.9</v>
      </c>
      <c r="CD582" s="198">
        <v>41822</v>
      </c>
      <c r="CI582" s="174" t="s">
        <v>9355</v>
      </c>
      <c r="CL582" s="174">
        <v>8</v>
      </c>
    </row>
    <row r="583" spans="1:90">
      <c r="A583" s="191" t="s">
        <v>7793</v>
      </c>
      <c r="B583" s="192" t="s">
        <v>269</v>
      </c>
      <c r="C583" s="192" t="s">
        <v>8997</v>
      </c>
      <c r="D583" s="192" t="s">
        <v>8866</v>
      </c>
      <c r="E583" s="193">
        <v>262</v>
      </c>
      <c r="F583" s="193">
        <v>6</v>
      </c>
      <c r="K583" s="176">
        <v>7</v>
      </c>
      <c r="M583" s="197">
        <v>4.45</v>
      </c>
      <c r="N583" s="198">
        <v>41822</v>
      </c>
      <c r="S583" s="176">
        <f>(AE583*BS583)/100</f>
        <v>14.451240672907341</v>
      </c>
      <c r="T583" s="198"/>
      <c r="U583" s="176">
        <v>16.2</v>
      </c>
      <c r="Y583" s="200">
        <f>(AE583*BU583)/100</f>
        <v>4.6400501967168637</v>
      </c>
      <c r="Z583" s="198"/>
      <c r="AA583" s="200"/>
      <c r="AB583" s="198"/>
      <c r="AC583" s="378">
        <f t="shared" si="9"/>
        <v>25.436419753086419</v>
      </c>
      <c r="AE583" s="176">
        <f>(M583/U583)*((100-CC583)/(100-9))*100</f>
        <v>27.952109618776284</v>
      </c>
      <c r="AF583" s="198">
        <v>41822</v>
      </c>
      <c r="AG583" s="176">
        <v>5.3</v>
      </c>
      <c r="AH583" s="196">
        <v>41927</v>
      </c>
      <c r="AI583" s="176">
        <v>135</v>
      </c>
      <c r="AM583" s="176">
        <v>78</v>
      </c>
      <c r="BG583" s="201">
        <v>0</v>
      </c>
      <c r="BI583" s="201">
        <v>4.5999999999999996</v>
      </c>
      <c r="BK583" s="201">
        <v>1.6</v>
      </c>
      <c r="BM583" s="201">
        <v>61.6</v>
      </c>
      <c r="BO583" s="201">
        <v>19.600000000000001</v>
      </c>
      <c r="BQ583" s="201">
        <v>9.4</v>
      </c>
      <c r="BS583" s="201">
        <v>51.7</v>
      </c>
      <c r="BU583" s="201">
        <v>16.600000000000001</v>
      </c>
      <c r="BW583" s="201">
        <v>13.3</v>
      </c>
      <c r="BY583" s="178">
        <v>6.7000000000000028</v>
      </c>
      <c r="CC583" s="201">
        <v>7.4</v>
      </c>
      <c r="CD583" s="198">
        <v>41822</v>
      </c>
      <c r="CI583" s="174" t="s">
        <v>9360</v>
      </c>
      <c r="CL583" s="174">
        <v>1</v>
      </c>
    </row>
    <row r="584" spans="1:90">
      <c r="A584" s="191" t="s">
        <v>7758</v>
      </c>
      <c r="B584" s="192" t="s">
        <v>271</v>
      </c>
      <c r="C584" s="192" t="s">
        <v>8999</v>
      </c>
      <c r="D584" s="192" t="s">
        <v>8728</v>
      </c>
      <c r="E584" s="193">
        <v>262</v>
      </c>
      <c r="F584" s="193">
        <v>7</v>
      </c>
      <c r="K584" s="176">
        <v>8</v>
      </c>
      <c r="M584" s="197">
        <v>5.85</v>
      </c>
      <c r="N584" s="198">
        <v>41822</v>
      </c>
      <c r="S584" s="176">
        <f>(AE584*BS584)/100</f>
        <v>19.227380952380951</v>
      </c>
      <c r="T584" s="198"/>
      <c r="U584" s="176">
        <v>16.2</v>
      </c>
      <c r="Y584" s="200">
        <f>(AE584*BU584)/100</f>
        <v>5.9047619047619033</v>
      </c>
      <c r="Z584" s="198"/>
      <c r="AA584" s="200"/>
      <c r="AB584" s="198"/>
      <c r="AC584" s="378">
        <f t="shared" si="9"/>
        <v>33.583333333333336</v>
      </c>
      <c r="AE584" s="176">
        <f>(M584/U584)*((100-CC584)/(100-9))*100</f>
        <v>36.904761904761898</v>
      </c>
      <c r="AF584" s="198">
        <v>41822</v>
      </c>
      <c r="AG584" s="176">
        <v>4.5</v>
      </c>
      <c r="AH584" s="196">
        <v>41927</v>
      </c>
      <c r="AI584" s="176">
        <v>160</v>
      </c>
      <c r="AM584" s="176">
        <v>79</v>
      </c>
      <c r="BG584" s="201">
        <v>0</v>
      </c>
      <c r="BI584" s="201">
        <v>4.8</v>
      </c>
      <c r="BK584" s="201">
        <v>1.6</v>
      </c>
      <c r="BM584" s="201">
        <v>64.400000000000006</v>
      </c>
      <c r="BO584" s="201">
        <v>22.1</v>
      </c>
      <c r="BQ584" s="201">
        <v>7.4</v>
      </c>
      <c r="BS584" s="201">
        <v>52.1</v>
      </c>
      <c r="BU584" s="201">
        <v>16</v>
      </c>
      <c r="BW584" s="201">
        <v>13.4</v>
      </c>
      <c r="BY584" s="178">
        <v>5.9000000000000057</v>
      </c>
      <c r="CC584" s="201">
        <v>7</v>
      </c>
      <c r="CD584" s="198">
        <v>41822</v>
      </c>
      <c r="CI584" s="174" t="s">
        <v>9349</v>
      </c>
      <c r="CL584" s="174">
        <v>1</v>
      </c>
    </row>
    <row r="585" spans="1:90">
      <c r="A585" s="191" t="s">
        <v>7689</v>
      </c>
      <c r="B585" s="192" t="s">
        <v>271</v>
      </c>
      <c r="C585" s="192" t="s">
        <v>8999</v>
      </c>
      <c r="D585" s="192" t="s">
        <v>8452</v>
      </c>
      <c r="E585" s="193">
        <v>262</v>
      </c>
      <c r="F585" s="193">
        <v>8</v>
      </c>
      <c r="K585" s="176">
        <v>8</v>
      </c>
      <c r="M585" s="197">
        <v>4.25</v>
      </c>
      <c r="N585" s="198">
        <v>41822</v>
      </c>
      <c r="S585" s="176">
        <f>(AE585*BS585)/100</f>
        <v>13.709752747252747</v>
      </c>
      <c r="T585" s="198"/>
      <c r="U585" s="176">
        <v>16.2</v>
      </c>
      <c r="Y585" s="200">
        <f>(AE585*BU585)/100</f>
        <v>4.4897435897435898</v>
      </c>
      <c r="Z585" s="198"/>
      <c r="AA585" s="200"/>
      <c r="AB585" s="198"/>
      <c r="AC585" s="378">
        <f t="shared" si="9"/>
        <v>24.319444444444446</v>
      </c>
      <c r="AE585" s="176">
        <f>(M585/U585)*((100-CC585)/(100-9))*100</f>
        <v>26.724664224664224</v>
      </c>
      <c r="AF585" s="198">
        <v>41822</v>
      </c>
      <c r="AG585" s="176">
        <v>4.8</v>
      </c>
      <c r="AH585" s="196">
        <v>41927</v>
      </c>
      <c r="AI585" s="176">
        <v>140</v>
      </c>
      <c r="AM585" s="176">
        <v>80</v>
      </c>
      <c r="BG585" s="201">
        <v>2.2999999999999998</v>
      </c>
      <c r="BI585" s="201">
        <v>4.5</v>
      </c>
      <c r="BK585" s="201">
        <v>1.7</v>
      </c>
      <c r="BM585" s="201">
        <v>63.2</v>
      </c>
      <c r="BO585" s="201">
        <v>19.2</v>
      </c>
      <c r="BQ585" s="201">
        <v>8.1</v>
      </c>
      <c r="BS585" s="201">
        <v>51.3</v>
      </c>
      <c r="BU585" s="201">
        <v>16.8</v>
      </c>
      <c r="BW585" s="201">
        <v>15</v>
      </c>
      <c r="BY585" s="178">
        <v>6.5</v>
      </c>
      <c r="CC585" s="201">
        <v>7.3</v>
      </c>
      <c r="CD585" s="198">
        <v>41822</v>
      </c>
      <c r="CI585" s="174" t="s">
        <v>9375</v>
      </c>
      <c r="CL585" s="174">
        <v>1</v>
      </c>
    </row>
    <row r="586" spans="1:90">
      <c r="A586" s="191" t="s">
        <v>7614</v>
      </c>
      <c r="B586" s="192" t="s">
        <v>271</v>
      </c>
      <c r="C586" s="192" t="s">
        <v>8999</v>
      </c>
      <c r="D586" s="192" t="s">
        <v>8152</v>
      </c>
      <c r="E586" s="193">
        <v>262</v>
      </c>
      <c r="F586" s="193">
        <v>9</v>
      </c>
      <c r="I586" s="184"/>
      <c r="K586" s="176">
        <v>9</v>
      </c>
      <c r="M586" s="197">
        <v>5.25</v>
      </c>
      <c r="N586" s="198">
        <v>41822</v>
      </c>
      <c r="O586" s="179"/>
      <c r="S586" s="176">
        <f>(AE586*BS586)/100</f>
        <v>16.413888888888888</v>
      </c>
      <c r="T586" s="198"/>
      <c r="U586" s="176">
        <v>16.2</v>
      </c>
      <c r="Y586" s="200">
        <f>(AE586*BU586)/100</f>
        <v>6.1801282051282058</v>
      </c>
      <c r="Z586" s="198"/>
      <c r="AA586" s="200"/>
      <c r="AB586" s="198"/>
      <c r="AC586" s="378">
        <f t="shared" si="9"/>
        <v>30.236111111111111</v>
      </c>
      <c r="AE586" s="176">
        <f>(M586/U586)*((100-CC586)/(100-9))*100</f>
        <v>33.226495726495727</v>
      </c>
      <c r="AF586" s="198">
        <v>41822</v>
      </c>
      <c r="AG586" s="176">
        <v>5.0999999999999996</v>
      </c>
      <c r="AH586" s="196">
        <v>41927</v>
      </c>
      <c r="AI586" s="176">
        <v>150</v>
      </c>
      <c r="AM586" s="176">
        <v>87</v>
      </c>
      <c r="BG586" s="201">
        <v>54.2</v>
      </c>
      <c r="BI586" s="201">
        <v>4.7</v>
      </c>
      <c r="BK586" s="201">
        <v>0.8</v>
      </c>
      <c r="BM586" s="201">
        <v>28.9</v>
      </c>
      <c r="BO586" s="201">
        <v>17.399999999999999</v>
      </c>
      <c r="BQ586" s="201">
        <v>8.1999999999999993</v>
      </c>
      <c r="BS586" s="201">
        <v>49.4</v>
      </c>
      <c r="BU586" s="201">
        <v>18.600000000000001</v>
      </c>
      <c r="BW586" s="201">
        <v>79.2</v>
      </c>
      <c r="BY586" s="178">
        <v>6</v>
      </c>
      <c r="CC586" s="201">
        <v>6.7</v>
      </c>
      <c r="CD586" s="198">
        <v>41822</v>
      </c>
      <c r="CI586" s="174" t="s">
        <v>9360</v>
      </c>
      <c r="CL586" s="174">
        <v>1</v>
      </c>
    </row>
    <row r="587" spans="1:90">
      <c r="A587" s="191" t="s">
        <v>7721</v>
      </c>
      <c r="B587" s="192" t="s">
        <v>271</v>
      </c>
      <c r="C587" s="192" t="s">
        <v>8999</v>
      </c>
      <c r="D587" s="192" t="s">
        <v>8580</v>
      </c>
      <c r="E587" s="193">
        <v>262</v>
      </c>
      <c r="F587" s="193">
        <v>10</v>
      </c>
      <c r="K587" s="176">
        <v>6</v>
      </c>
      <c r="M587" s="197">
        <v>5.6</v>
      </c>
      <c r="N587" s="198">
        <v>41822</v>
      </c>
      <c r="S587" s="176">
        <f>(AE587*BS587)/100</f>
        <v>17.487179487179482</v>
      </c>
      <c r="T587" s="198"/>
      <c r="U587" s="176">
        <v>16.2</v>
      </c>
      <c r="Y587" s="200">
        <f>(AE587*BU587)/100</f>
        <v>5.8643874643874643</v>
      </c>
      <c r="Z587" s="198"/>
      <c r="AA587" s="200"/>
      <c r="AB587" s="198"/>
      <c r="AC587" s="378">
        <f t="shared" si="9"/>
        <v>32.148148148148145</v>
      </c>
      <c r="AE587" s="176">
        <f>(M587/U587)*((100-CC587)/(100-9))*100</f>
        <v>35.327635327635321</v>
      </c>
      <c r="AF587" s="198">
        <v>41822</v>
      </c>
      <c r="AG587" s="176">
        <v>4.7</v>
      </c>
      <c r="AH587" s="196">
        <v>41927</v>
      </c>
      <c r="AI587" s="176">
        <v>165</v>
      </c>
      <c r="AM587" s="176">
        <v>85</v>
      </c>
      <c r="BG587" s="201">
        <v>0</v>
      </c>
      <c r="BI587" s="201">
        <v>4.9000000000000004</v>
      </c>
      <c r="BK587" s="201">
        <v>1.6</v>
      </c>
      <c r="BM587" s="201">
        <v>61.9</v>
      </c>
      <c r="BO587" s="201">
        <v>21.7</v>
      </c>
      <c r="BQ587" s="201">
        <v>9.3000000000000007</v>
      </c>
      <c r="BS587" s="201">
        <v>49.5</v>
      </c>
      <c r="BU587" s="201">
        <v>16.600000000000001</v>
      </c>
      <c r="BW587" s="201">
        <v>10.6</v>
      </c>
      <c r="BY587" s="178">
        <v>6.2000000000000028</v>
      </c>
      <c r="CC587" s="201">
        <v>7</v>
      </c>
      <c r="CD587" s="198">
        <v>41822</v>
      </c>
      <c r="CI587" s="174" t="s">
        <v>9355</v>
      </c>
      <c r="CL587" s="174">
        <v>2</v>
      </c>
    </row>
    <row r="588" spans="1:90">
      <c r="A588" s="191" t="s">
        <v>7686</v>
      </c>
      <c r="B588" s="192" t="s">
        <v>271</v>
      </c>
      <c r="C588" s="192" t="s">
        <v>8999</v>
      </c>
      <c r="D588" s="192" t="s">
        <v>8440</v>
      </c>
      <c r="E588" s="193">
        <v>262</v>
      </c>
      <c r="F588" s="193">
        <v>11</v>
      </c>
      <c r="K588" s="176">
        <v>7</v>
      </c>
      <c r="M588" s="197">
        <v>4.8499999999999996</v>
      </c>
      <c r="N588" s="198">
        <v>41822</v>
      </c>
      <c r="S588" s="176">
        <f>(AE588*BS588)/100</f>
        <v>14.73032051282051</v>
      </c>
      <c r="T588" s="198"/>
      <c r="U588" s="176">
        <v>16.2</v>
      </c>
      <c r="Y588" s="200">
        <f>(AE588*BU588)/100</f>
        <v>5.6725457875457872</v>
      </c>
      <c r="Z588" s="198"/>
      <c r="AA588" s="200"/>
      <c r="AB588" s="198"/>
      <c r="AC588" s="378">
        <f t="shared" si="9"/>
        <v>27.75277777777778</v>
      </c>
      <c r="AE588" s="176">
        <f>(M588/U588)*((100-CC588)/(100-9))*100</f>
        <v>30.497557997557994</v>
      </c>
      <c r="AF588" s="198">
        <v>41822</v>
      </c>
      <c r="AG588" s="176">
        <v>5</v>
      </c>
      <c r="AH588" s="196">
        <v>41927</v>
      </c>
      <c r="AI588" s="176">
        <v>150</v>
      </c>
      <c r="AM588" s="176">
        <v>88</v>
      </c>
      <c r="BG588" s="201">
        <v>2.8</v>
      </c>
      <c r="BI588" s="201">
        <v>4.4000000000000004</v>
      </c>
      <c r="BK588" s="201">
        <v>1.5</v>
      </c>
      <c r="BM588" s="201">
        <v>64.2</v>
      </c>
      <c r="BO588" s="201">
        <v>19.600000000000001</v>
      </c>
      <c r="BQ588" s="201">
        <v>8.6999999999999993</v>
      </c>
      <c r="BS588" s="201">
        <v>48.3</v>
      </c>
      <c r="BU588" s="201">
        <v>18.600000000000001</v>
      </c>
      <c r="BW588" s="201">
        <v>25.8</v>
      </c>
      <c r="BY588" s="178">
        <v>6.5999999999999943</v>
      </c>
      <c r="CC588" s="201">
        <v>7.3</v>
      </c>
      <c r="CD588" s="198">
        <v>41822</v>
      </c>
      <c r="CI588" s="174" t="s">
        <v>9362</v>
      </c>
      <c r="CL588" s="174">
        <v>3</v>
      </c>
    </row>
    <row r="589" spans="1:90">
      <c r="A589" s="191" t="s">
        <v>7747</v>
      </c>
      <c r="B589" s="192" t="s">
        <v>271</v>
      </c>
      <c r="C589" s="192" t="s">
        <v>8999</v>
      </c>
      <c r="D589" s="192" t="s">
        <v>8684</v>
      </c>
      <c r="E589" s="193">
        <v>262</v>
      </c>
      <c r="F589" s="193">
        <v>12</v>
      </c>
      <c r="K589" s="176">
        <v>7</v>
      </c>
      <c r="M589" s="197">
        <v>2.9</v>
      </c>
      <c r="N589" s="198">
        <v>41822</v>
      </c>
      <c r="S589" s="176">
        <f>(AE589*BS589)/100</f>
        <v>8.3789580789580764</v>
      </c>
      <c r="T589" s="198"/>
      <c r="U589" s="176">
        <v>16.2</v>
      </c>
      <c r="Y589" s="200">
        <f>(AE589*BU589)/100</f>
        <v>3.7504070004069998</v>
      </c>
      <c r="Z589" s="198"/>
      <c r="AA589" s="200"/>
      <c r="AB589" s="198"/>
      <c r="AC589" s="378">
        <f t="shared" si="9"/>
        <v>16.648148148148149</v>
      </c>
      <c r="AE589" s="176">
        <f>(M589/U589)*((100-CC589)/(100-9))*100</f>
        <v>18.294668294668291</v>
      </c>
      <c r="AF589" s="198">
        <v>41822</v>
      </c>
      <c r="AG589" s="176">
        <v>4.4000000000000004</v>
      </c>
      <c r="AH589" s="196">
        <v>41927</v>
      </c>
      <c r="AI589" s="176">
        <v>145</v>
      </c>
      <c r="AM589" s="176">
        <v>84</v>
      </c>
      <c r="BG589" s="201">
        <v>48.9</v>
      </c>
      <c r="BI589" s="201">
        <v>3.8</v>
      </c>
      <c r="BK589" s="201">
        <v>0.9</v>
      </c>
      <c r="BM589" s="201">
        <v>31</v>
      </c>
      <c r="BO589" s="201">
        <v>13.9</v>
      </c>
      <c r="BQ589" s="201">
        <v>10.5</v>
      </c>
      <c r="BS589" s="201">
        <v>45.8</v>
      </c>
      <c r="BU589" s="201">
        <v>20.5</v>
      </c>
      <c r="BW589" s="201">
        <v>94.7</v>
      </c>
      <c r="BY589" s="178">
        <v>6.5999999999999943</v>
      </c>
      <c r="CC589" s="201">
        <v>7</v>
      </c>
      <c r="CD589" s="198">
        <v>41822</v>
      </c>
      <c r="CI589" s="174" t="s">
        <v>9375</v>
      </c>
      <c r="CL589" s="174">
        <v>2</v>
      </c>
    </row>
    <row r="590" spans="1:90">
      <c r="A590" s="191" t="s">
        <v>7645</v>
      </c>
      <c r="B590" s="192" t="s">
        <v>269</v>
      </c>
      <c r="C590" s="192" t="s">
        <v>8997</v>
      </c>
      <c r="D590" s="192" t="s">
        <v>8274</v>
      </c>
      <c r="E590" s="193">
        <v>263</v>
      </c>
      <c r="F590" s="193">
        <v>1</v>
      </c>
      <c r="K590" s="176">
        <v>4</v>
      </c>
      <c r="M590" s="197">
        <v>2.2000000000000002</v>
      </c>
      <c r="N590" s="198">
        <v>41822</v>
      </c>
      <c r="S590" s="176">
        <f>(AE590*BS590)/100</f>
        <v>6.9254782254782254</v>
      </c>
      <c r="T590" s="198"/>
      <c r="U590" s="176">
        <v>16.2</v>
      </c>
      <c r="Y590" s="200">
        <f>(AE590*BU590)/100</f>
        <v>2.3593813593813597</v>
      </c>
      <c r="Z590" s="198"/>
      <c r="AA590" s="200"/>
      <c r="AB590" s="198"/>
      <c r="AC590" s="378">
        <f t="shared" si="9"/>
        <v>12.629629629629632</v>
      </c>
      <c r="AE590" s="176">
        <f>(M590/U590)*((100-CC590)/(100-9))*100</f>
        <v>13.87871387871388</v>
      </c>
      <c r="AF590" s="198">
        <v>41822</v>
      </c>
      <c r="AG590" s="176">
        <v>4.3</v>
      </c>
      <c r="AH590" s="196">
        <v>41927</v>
      </c>
      <c r="AI590" s="176">
        <v>120</v>
      </c>
      <c r="AM590" s="176">
        <v>79</v>
      </c>
      <c r="BG590" s="201">
        <v>1.7</v>
      </c>
      <c r="BI590" s="201">
        <v>4.9000000000000004</v>
      </c>
      <c r="BK590" s="201">
        <v>1.5</v>
      </c>
      <c r="BM590" s="201">
        <v>62.9</v>
      </c>
      <c r="BO590" s="201">
        <v>20.2</v>
      </c>
      <c r="BQ590" s="201">
        <v>9.4</v>
      </c>
      <c r="BS590" s="201">
        <v>49.9</v>
      </c>
      <c r="BU590" s="201">
        <v>17</v>
      </c>
      <c r="BW590" s="201">
        <v>48.9</v>
      </c>
      <c r="BY590" s="178">
        <v>6.9000000000000057</v>
      </c>
      <c r="CC590" s="201">
        <v>7</v>
      </c>
      <c r="CD590" s="198">
        <v>41822</v>
      </c>
      <c r="CI590" s="174" t="s">
        <v>9337</v>
      </c>
      <c r="CL590" s="174">
        <v>3</v>
      </c>
    </row>
    <row r="591" spans="1:90">
      <c r="A591" s="191" t="s">
        <v>7622</v>
      </c>
      <c r="B591" s="192" t="s">
        <v>269</v>
      </c>
      <c r="C591" s="192" t="s">
        <v>8997</v>
      </c>
      <c r="D591" s="192" t="s">
        <v>8182</v>
      </c>
      <c r="E591" s="193">
        <v>263</v>
      </c>
      <c r="F591" s="193">
        <v>2</v>
      </c>
      <c r="I591" s="184"/>
      <c r="K591" s="176">
        <v>7</v>
      </c>
      <c r="M591" s="197">
        <v>2.25</v>
      </c>
      <c r="N591" s="198">
        <v>41822</v>
      </c>
      <c r="O591" s="179"/>
      <c r="S591" s="176">
        <f>(AE591*BS591)/100</f>
        <v>6.8909340659340668</v>
      </c>
      <c r="T591" s="198"/>
      <c r="U591" s="176">
        <v>16.2</v>
      </c>
      <c r="Y591" s="200">
        <f>(AE591*BU591)/100</f>
        <v>2.7932387057387063</v>
      </c>
      <c r="Z591" s="198"/>
      <c r="AA591" s="200"/>
      <c r="AB591" s="198"/>
      <c r="AC591" s="378">
        <f t="shared" si="9"/>
        <v>12.902777777777779</v>
      </c>
      <c r="AE591" s="176">
        <f>(M591/U591)*((100-CC591)/(100-9))*100</f>
        <v>14.178876678876682</v>
      </c>
      <c r="AF591" s="198">
        <v>41822</v>
      </c>
      <c r="AG591" s="176">
        <v>4.8</v>
      </c>
      <c r="AH591" s="196">
        <v>41927</v>
      </c>
      <c r="AI591" s="176">
        <v>100</v>
      </c>
      <c r="AM591" s="176">
        <v>80</v>
      </c>
      <c r="BG591" s="201">
        <v>44.6</v>
      </c>
      <c r="BI591" s="201">
        <v>4.4000000000000004</v>
      </c>
      <c r="BK591" s="201">
        <v>0.9</v>
      </c>
      <c r="BM591" s="201">
        <v>31.4</v>
      </c>
      <c r="BO591" s="201">
        <v>14.3</v>
      </c>
      <c r="BQ591" s="201">
        <v>10.5</v>
      </c>
      <c r="BS591" s="201">
        <v>48.6</v>
      </c>
      <c r="BU591" s="201">
        <v>19.7</v>
      </c>
      <c r="BW591" s="201">
        <v>78.2</v>
      </c>
      <c r="BY591" s="178">
        <v>6.5</v>
      </c>
      <c r="CC591" s="201">
        <v>7.1</v>
      </c>
      <c r="CD591" s="198">
        <v>41822</v>
      </c>
      <c r="CI591" s="174" t="s">
        <v>9351</v>
      </c>
      <c r="CL591" s="174">
        <v>5</v>
      </c>
    </row>
    <row r="592" spans="1:90">
      <c r="A592" s="191" t="s">
        <v>7809</v>
      </c>
      <c r="B592" s="192" t="s">
        <v>269</v>
      </c>
      <c r="C592" s="192" t="s">
        <v>8997</v>
      </c>
      <c r="D592" s="192" t="s">
        <v>8930</v>
      </c>
      <c r="E592" s="193">
        <v>263</v>
      </c>
      <c r="F592" s="193">
        <v>3</v>
      </c>
      <c r="K592" s="176">
        <v>7</v>
      </c>
      <c r="M592" s="197">
        <v>4.1500000000000004</v>
      </c>
      <c r="N592" s="198">
        <v>41822</v>
      </c>
      <c r="S592" s="176">
        <f>(AE592*BS592)/100</f>
        <v>13.659473612806948</v>
      </c>
      <c r="T592" s="198"/>
      <c r="U592" s="176">
        <v>16.2</v>
      </c>
      <c r="Y592" s="200">
        <f>(AE592*BU592)/100</f>
        <v>4.249034730701398</v>
      </c>
      <c r="Z592" s="198"/>
      <c r="AA592" s="200"/>
      <c r="AB592" s="198"/>
      <c r="AC592" s="378">
        <f t="shared" si="9"/>
        <v>23.721604938271607</v>
      </c>
      <c r="AE592" s="176">
        <f>(M592/U592)*((100-CC592)/(100-9))*100</f>
        <v>26.067697734364405</v>
      </c>
      <c r="AF592" s="198">
        <v>41822</v>
      </c>
      <c r="AG592" s="176">
        <v>4.3</v>
      </c>
      <c r="AH592" s="196">
        <v>41927</v>
      </c>
      <c r="AI592" s="176">
        <v>140</v>
      </c>
      <c r="AM592" s="176">
        <v>80</v>
      </c>
      <c r="BG592" s="201">
        <v>6.9</v>
      </c>
      <c r="BI592" s="201">
        <v>4.7</v>
      </c>
      <c r="BK592" s="201">
        <v>1.5</v>
      </c>
      <c r="BM592" s="201">
        <v>62.8</v>
      </c>
      <c r="BO592" s="201">
        <v>20.399999999999999</v>
      </c>
      <c r="BQ592" s="201">
        <v>9.6</v>
      </c>
      <c r="BS592" s="201">
        <v>52.4</v>
      </c>
      <c r="BU592" s="201">
        <v>16.3</v>
      </c>
      <c r="BW592" s="201">
        <v>18.7</v>
      </c>
      <c r="BY592" s="178">
        <v>6.9000000000000057</v>
      </c>
      <c r="CC592" s="201">
        <v>7.4</v>
      </c>
      <c r="CD592" s="198">
        <v>41822</v>
      </c>
      <c r="CI592" s="174" t="s">
        <v>9347</v>
      </c>
      <c r="CL592" s="174">
        <v>1</v>
      </c>
    </row>
    <row r="593" spans="1:90">
      <c r="A593" s="191" t="s">
        <v>7702</v>
      </c>
      <c r="B593" s="192" t="s">
        <v>269</v>
      </c>
      <c r="C593" s="192" t="s">
        <v>8997</v>
      </c>
      <c r="D593" s="192" t="s">
        <v>8502</v>
      </c>
      <c r="E593" s="193">
        <v>263</v>
      </c>
      <c r="F593" s="193">
        <v>4</v>
      </c>
      <c r="K593" s="176">
        <v>7</v>
      </c>
      <c r="M593" s="197">
        <v>4.05</v>
      </c>
      <c r="N593" s="198">
        <v>41822</v>
      </c>
      <c r="S593" s="176">
        <f>(AE593*BS593)/100</f>
        <v>12.577142857142855</v>
      </c>
      <c r="T593" s="198"/>
      <c r="U593" s="176">
        <v>16.2</v>
      </c>
      <c r="Y593" s="200">
        <f>(AE593*BU593)/100</f>
        <v>4.0824999999999996</v>
      </c>
      <c r="Z593" s="198"/>
      <c r="AA593" s="200"/>
      <c r="AB593" s="198"/>
      <c r="AC593" s="378">
        <f t="shared" si="9"/>
        <v>23.074999999999999</v>
      </c>
      <c r="AE593" s="176">
        <f>(M593/U593)*((100-CC593)/(100-9))*100</f>
        <v>25.357142857142854</v>
      </c>
      <c r="AF593" s="198">
        <v>41822</v>
      </c>
      <c r="AG593" s="176">
        <v>5.0999999999999996</v>
      </c>
      <c r="AH593" s="196">
        <v>41927</v>
      </c>
      <c r="AI593" s="176">
        <v>135</v>
      </c>
      <c r="AM593" s="176">
        <v>77</v>
      </c>
      <c r="BG593" s="201">
        <v>6</v>
      </c>
      <c r="BI593" s="201">
        <v>4.7</v>
      </c>
      <c r="BK593" s="201">
        <v>1.5</v>
      </c>
      <c r="BM593" s="201">
        <v>58</v>
      </c>
      <c r="BO593" s="201">
        <v>19.7</v>
      </c>
      <c r="BQ593" s="201">
        <v>10.5</v>
      </c>
      <c r="BS593" s="201">
        <v>49.6</v>
      </c>
      <c r="BU593" s="201">
        <v>16.100000000000001</v>
      </c>
      <c r="BW593" s="201">
        <v>14.3</v>
      </c>
      <c r="BY593" s="178">
        <v>7.5999999999999943</v>
      </c>
      <c r="CC593" s="201">
        <v>7.7</v>
      </c>
      <c r="CD593" s="198">
        <v>41822</v>
      </c>
      <c r="CI593" s="174" t="s">
        <v>9349</v>
      </c>
      <c r="CL593" s="174">
        <v>3</v>
      </c>
    </row>
    <row r="594" spans="1:90">
      <c r="A594" s="191" t="s">
        <v>7649</v>
      </c>
      <c r="B594" s="192" t="s">
        <v>269</v>
      </c>
      <c r="C594" s="192" t="s">
        <v>8997</v>
      </c>
      <c r="D594" s="192" t="s">
        <v>8290</v>
      </c>
      <c r="E594" s="193">
        <v>263</v>
      </c>
      <c r="F594" s="193">
        <v>5</v>
      </c>
      <c r="K594" s="176">
        <v>8</v>
      </c>
      <c r="M594" s="197">
        <v>2.0499999999999998</v>
      </c>
      <c r="N594" s="198">
        <v>41822</v>
      </c>
      <c r="S594" s="176">
        <f>(AE594*BS594)/100</f>
        <v>6.0069783611450278</v>
      </c>
      <c r="T594" s="198"/>
      <c r="U594" s="176">
        <v>16.2</v>
      </c>
      <c r="Y594" s="200">
        <f>(AE594*BU594)/100</f>
        <v>2.4053639261972593</v>
      </c>
      <c r="Z594" s="198"/>
      <c r="AA594" s="200"/>
      <c r="AB594" s="198"/>
      <c r="AC594" s="378">
        <f t="shared" si="9"/>
        <v>11.705246913580247</v>
      </c>
      <c r="AE594" s="176">
        <f>(M594/U594)*((100-CC594)/(100-9))*100</f>
        <v>12.862908696242028</v>
      </c>
      <c r="AF594" s="198">
        <v>41822</v>
      </c>
      <c r="AG594" s="176">
        <v>5.4</v>
      </c>
      <c r="AH594" s="196">
        <v>41927</v>
      </c>
      <c r="AI594" s="176">
        <v>120</v>
      </c>
      <c r="AM594" s="176">
        <v>80</v>
      </c>
      <c r="BG594" s="201">
        <v>5.3</v>
      </c>
      <c r="BI594" s="201">
        <v>4.5999999999999996</v>
      </c>
      <c r="BK594" s="201">
        <v>1.3</v>
      </c>
      <c r="BM594" s="201">
        <v>60.5</v>
      </c>
      <c r="BO594" s="201">
        <v>19.8</v>
      </c>
      <c r="BQ594" s="201">
        <v>10.4</v>
      </c>
      <c r="BS594" s="201">
        <v>46.7</v>
      </c>
      <c r="BU594" s="201">
        <v>18.7</v>
      </c>
      <c r="BW594" s="201">
        <v>65.400000000000006</v>
      </c>
      <c r="BY594" s="178">
        <v>7.4000000000000057</v>
      </c>
      <c r="CC594" s="201">
        <v>7.5</v>
      </c>
      <c r="CD594" s="198">
        <v>41822</v>
      </c>
      <c r="CI594" s="174" t="s">
        <v>9349</v>
      </c>
      <c r="CL594" s="174">
        <v>7</v>
      </c>
    </row>
    <row r="595" spans="1:90">
      <c r="A595" s="191" t="s">
        <v>7790</v>
      </c>
      <c r="B595" s="192" t="s">
        <v>269</v>
      </c>
      <c r="C595" s="192" t="s">
        <v>8997</v>
      </c>
      <c r="D595" s="192" t="s">
        <v>8854</v>
      </c>
      <c r="E595" s="193">
        <v>263</v>
      </c>
      <c r="F595" s="193">
        <v>6</v>
      </c>
      <c r="K595" s="176">
        <v>8</v>
      </c>
      <c r="M595" s="197">
        <v>5.15</v>
      </c>
      <c r="N595" s="198">
        <v>41822</v>
      </c>
      <c r="S595" s="176">
        <f>(AE595*BS595)/100</f>
        <v>16.964921652421648</v>
      </c>
      <c r="T595" s="198"/>
      <c r="U595" s="176">
        <v>16.2</v>
      </c>
      <c r="Y595" s="200">
        <f>(AE595*BU595)/100</f>
        <v>5.3641466558133217</v>
      </c>
      <c r="Z595" s="198"/>
      <c r="AA595" s="200"/>
      <c r="AB595" s="198"/>
      <c r="AC595" s="378">
        <f t="shared" si="9"/>
        <v>29.405864197530867</v>
      </c>
      <c r="AE595" s="176">
        <f>(M595/U595)*((100-CC595)/(100-9))*100</f>
        <v>32.314136480803143</v>
      </c>
      <c r="AF595" s="198">
        <v>41822</v>
      </c>
      <c r="AG595" s="176">
        <v>4.7</v>
      </c>
      <c r="AH595" s="196">
        <v>41927</v>
      </c>
      <c r="AI595" s="176">
        <v>135</v>
      </c>
      <c r="AM595" s="176">
        <v>82</v>
      </c>
      <c r="BG595" s="201">
        <v>0</v>
      </c>
      <c r="BI595" s="201">
        <v>4.3</v>
      </c>
      <c r="BK595" s="201">
        <v>1.6</v>
      </c>
      <c r="BM595" s="201">
        <v>64.2</v>
      </c>
      <c r="BO595" s="201">
        <v>18.399999999999999</v>
      </c>
      <c r="BQ595" s="201">
        <v>8</v>
      </c>
      <c r="BS595" s="201">
        <v>52.5</v>
      </c>
      <c r="BU595" s="201">
        <v>16.600000000000001</v>
      </c>
      <c r="BW595" s="201">
        <v>12.5</v>
      </c>
      <c r="BY595" s="178">
        <v>7.2000000000000028</v>
      </c>
      <c r="CC595" s="201">
        <v>7.5</v>
      </c>
      <c r="CD595" s="198">
        <v>41822</v>
      </c>
      <c r="CI595" s="174" t="s">
        <v>9390</v>
      </c>
      <c r="CL595" s="174">
        <v>1</v>
      </c>
    </row>
    <row r="596" spans="1:90">
      <c r="A596" s="191" t="s">
        <v>7805</v>
      </c>
      <c r="B596" s="192" t="s">
        <v>271</v>
      </c>
      <c r="C596" s="192" t="s">
        <v>8999</v>
      </c>
      <c r="D596" s="192" t="s">
        <v>8916</v>
      </c>
      <c r="E596" s="193">
        <v>263</v>
      </c>
      <c r="F596" s="193">
        <v>7</v>
      </c>
      <c r="K596" s="176">
        <v>8</v>
      </c>
      <c r="M596" s="197">
        <v>4.95</v>
      </c>
      <c r="N596" s="198">
        <v>41822</v>
      </c>
      <c r="S596" s="176">
        <f>(AE596*BS596)/100</f>
        <v>15.519871794871795</v>
      </c>
      <c r="T596" s="198"/>
      <c r="U596" s="176">
        <v>16.2</v>
      </c>
      <c r="Y596" s="200">
        <f>(AE596*BU596)/100</f>
        <v>5.4959706959706969</v>
      </c>
      <c r="Z596" s="198"/>
      <c r="AA596" s="200"/>
      <c r="AB596" s="198"/>
      <c r="AC596" s="378">
        <f t="shared" si="9"/>
        <v>28.416666666666668</v>
      </c>
      <c r="AE596" s="176">
        <f>(M596/U596)*((100-CC596)/(100-9))*100</f>
        <v>31.227106227106226</v>
      </c>
      <c r="AF596" s="198">
        <v>41822</v>
      </c>
      <c r="AG596" s="176">
        <v>5</v>
      </c>
      <c r="AH596" s="196">
        <v>41927</v>
      </c>
      <c r="AI596" s="176">
        <v>145</v>
      </c>
      <c r="AM596" s="176">
        <v>77</v>
      </c>
      <c r="BG596" s="201">
        <v>0</v>
      </c>
      <c r="BI596" s="201">
        <v>4.3</v>
      </c>
      <c r="BK596" s="201">
        <v>1.7</v>
      </c>
      <c r="BM596" s="201">
        <v>64.2</v>
      </c>
      <c r="BO596" s="201">
        <v>19.899999999999999</v>
      </c>
      <c r="BQ596" s="201">
        <v>7.3</v>
      </c>
      <c r="BS596" s="201">
        <v>49.7</v>
      </c>
      <c r="BU596" s="201">
        <v>17.600000000000001</v>
      </c>
      <c r="BW596" s="201">
        <v>12.3</v>
      </c>
      <c r="BY596" s="178">
        <v>6.5999999999999943</v>
      </c>
      <c r="CC596" s="201">
        <v>7</v>
      </c>
      <c r="CD596" s="198">
        <v>41822</v>
      </c>
      <c r="CI596" s="174" t="s">
        <v>9355</v>
      </c>
      <c r="CL596" s="174">
        <v>1</v>
      </c>
    </row>
    <row r="597" spans="1:90">
      <c r="A597" s="191" t="s">
        <v>7692</v>
      </c>
      <c r="B597" s="192" t="s">
        <v>271</v>
      </c>
      <c r="C597" s="192" t="s">
        <v>8999</v>
      </c>
      <c r="D597" s="192" t="s">
        <v>8464</v>
      </c>
      <c r="E597" s="193">
        <v>263</v>
      </c>
      <c r="F597" s="193">
        <v>8</v>
      </c>
      <c r="K597" s="176">
        <v>9</v>
      </c>
      <c r="M597" s="197">
        <v>5.7</v>
      </c>
      <c r="N597" s="198">
        <v>41822</v>
      </c>
      <c r="S597" s="176">
        <f>(AE597*BS597)/100</f>
        <v>17.744391534391539</v>
      </c>
      <c r="T597" s="198"/>
      <c r="U597" s="176">
        <v>16.2</v>
      </c>
      <c r="Y597" s="200">
        <f>(AE597*BU597)/100</f>
        <v>6.2859686609686625</v>
      </c>
      <c r="Z597" s="198"/>
      <c r="AA597" s="200"/>
      <c r="AB597" s="198"/>
      <c r="AC597" s="378">
        <f t="shared" si="9"/>
        <v>32.687037037037037</v>
      </c>
      <c r="AE597" s="176">
        <f>(M597/U597)*((100-CC597)/(100-9))*100</f>
        <v>35.919820919820928</v>
      </c>
      <c r="AF597" s="198">
        <v>41822</v>
      </c>
      <c r="AG597" s="176">
        <v>4.0999999999999996</v>
      </c>
      <c r="AH597" s="196">
        <v>41927</v>
      </c>
      <c r="AI597" s="176">
        <v>135</v>
      </c>
      <c r="AM597" s="176">
        <v>83</v>
      </c>
      <c r="BG597" s="201">
        <v>0</v>
      </c>
      <c r="BI597" s="201">
        <v>4.5</v>
      </c>
      <c r="BK597" s="201">
        <v>1.7</v>
      </c>
      <c r="BM597" s="201">
        <v>63.5</v>
      </c>
      <c r="BO597" s="201">
        <v>19.7</v>
      </c>
      <c r="BQ597" s="201">
        <v>7.5</v>
      </c>
      <c r="BS597" s="201">
        <v>49.4</v>
      </c>
      <c r="BU597" s="201">
        <v>17.5</v>
      </c>
      <c r="BW597" s="201">
        <v>21.3</v>
      </c>
      <c r="BY597" s="178">
        <v>6.5999999999999943</v>
      </c>
      <c r="CC597" s="201">
        <v>7.1</v>
      </c>
      <c r="CD597" s="198">
        <v>41822</v>
      </c>
      <c r="CI597" s="174" t="s">
        <v>9399</v>
      </c>
      <c r="CL597" s="174">
        <v>1</v>
      </c>
    </row>
    <row r="598" spans="1:90">
      <c r="A598" s="191" t="s">
        <v>7777</v>
      </c>
      <c r="B598" s="192" t="s">
        <v>271</v>
      </c>
      <c r="C598" s="192" t="s">
        <v>8999</v>
      </c>
      <c r="D598" s="192" t="s">
        <v>8804</v>
      </c>
      <c r="E598" s="193">
        <v>263</v>
      </c>
      <c r="F598" s="193">
        <v>9</v>
      </c>
      <c r="K598" s="176">
        <v>8</v>
      </c>
      <c r="M598" s="197">
        <v>7.15</v>
      </c>
      <c r="N598" s="198">
        <v>41822</v>
      </c>
      <c r="S598" s="176">
        <f>(AE598*BS598)/100</f>
        <v>23.74520723104057</v>
      </c>
      <c r="T598" s="198"/>
      <c r="U598" s="176">
        <v>16.2</v>
      </c>
      <c r="Y598" s="200">
        <f>(AE598*BU598)/100</f>
        <v>7.3443430335097029</v>
      </c>
      <c r="Z598" s="198"/>
      <c r="AA598" s="200"/>
      <c r="AB598" s="198"/>
      <c r="AC598" s="378">
        <f t="shared" si="9"/>
        <v>41.002160493827162</v>
      </c>
      <c r="AE598" s="176">
        <f>(M598/U598)*((100-CC598)/(100-9))*100</f>
        <v>45.0573192239859</v>
      </c>
      <c r="AF598" s="198">
        <v>41822</v>
      </c>
      <c r="AG598" s="176">
        <v>4.0999999999999996</v>
      </c>
      <c r="AH598" s="196">
        <v>41927</v>
      </c>
      <c r="AI598" s="176">
        <v>160</v>
      </c>
      <c r="AM598" s="176">
        <v>78</v>
      </c>
      <c r="BG598" s="201">
        <v>0</v>
      </c>
      <c r="BI598" s="201">
        <v>4.7</v>
      </c>
      <c r="BK598" s="201">
        <v>1.6</v>
      </c>
      <c r="BM598" s="201">
        <v>63.5</v>
      </c>
      <c r="BO598" s="201">
        <v>19.5</v>
      </c>
      <c r="BQ598" s="201">
        <v>9.1</v>
      </c>
      <c r="BS598" s="201">
        <v>52.7</v>
      </c>
      <c r="BU598" s="201">
        <v>16.3</v>
      </c>
      <c r="BW598" s="201">
        <v>11.4</v>
      </c>
      <c r="BY598" s="178">
        <v>6.5999999999999943</v>
      </c>
      <c r="CC598" s="201">
        <v>7.1</v>
      </c>
      <c r="CD598" s="198">
        <v>41822</v>
      </c>
      <c r="CI598" s="174" t="s">
        <v>9362</v>
      </c>
      <c r="CL598" s="174">
        <v>1</v>
      </c>
    </row>
    <row r="599" spans="1:90">
      <c r="A599" s="191" t="s">
        <v>7657</v>
      </c>
      <c r="B599" s="192" t="s">
        <v>271</v>
      </c>
      <c r="C599" s="192" t="s">
        <v>8999</v>
      </c>
      <c r="D599" s="192" t="s">
        <v>8324</v>
      </c>
      <c r="E599" s="193">
        <v>263</v>
      </c>
      <c r="F599" s="193">
        <v>10</v>
      </c>
      <c r="K599" s="176">
        <v>8</v>
      </c>
      <c r="M599" s="197">
        <v>1.35</v>
      </c>
      <c r="N599" s="198">
        <v>41822</v>
      </c>
      <c r="S599" s="176">
        <f>(AE599*BS599)/100</f>
        <v>3.8838827838827843</v>
      </c>
      <c r="T599" s="198"/>
      <c r="U599" s="176">
        <v>16.2</v>
      </c>
      <c r="Y599" s="200">
        <f>(AE599*BU599)/100</f>
        <v>1.6934065934065936</v>
      </c>
      <c r="Z599" s="198"/>
      <c r="AA599" s="200"/>
      <c r="AB599" s="198"/>
      <c r="AC599" s="378">
        <f t="shared" si="9"/>
        <v>7.6666666666666679</v>
      </c>
      <c r="AE599" s="176">
        <f>(M599/U599)*((100-CC599)/(100-9))*100</f>
        <v>8.4249084249084252</v>
      </c>
      <c r="AF599" s="198">
        <v>41822</v>
      </c>
      <c r="AG599" s="176">
        <v>3.8</v>
      </c>
      <c r="AH599" s="196">
        <v>41927</v>
      </c>
      <c r="AI599" s="176">
        <v>120</v>
      </c>
      <c r="AM599" s="176">
        <v>80</v>
      </c>
      <c r="BG599" s="201">
        <v>7</v>
      </c>
      <c r="BI599" s="201">
        <v>4.5</v>
      </c>
      <c r="BK599" s="201">
        <v>1.4</v>
      </c>
      <c r="BM599" s="201">
        <v>59.8</v>
      </c>
      <c r="BO599" s="201">
        <v>19.5</v>
      </c>
      <c r="BQ599" s="201">
        <v>10.4</v>
      </c>
      <c r="BS599" s="201">
        <v>46.1</v>
      </c>
      <c r="BU599" s="201">
        <v>20.100000000000001</v>
      </c>
      <c r="BW599" s="201">
        <v>67.2</v>
      </c>
      <c r="BY599" s="178">
        <v>7</v>
      </c>
      <c r="CC599" s="201">
        <v>8</v>
      </c>
      <c r="CD599" s="198">
        <v>41822</v>
      </c>
      <c r="CI599" s="174" t="s">
        <v>9367</v>
      </c>
      <c r="CL599" s="174">
        <v>8</v>
      </c>
    </row>
    <row r="600" spans="1:90">
      <c r="A600" s="191" t="s">
        <v>7627</v>
      </c>
      <c r="B600" s="192" t="s">
        <v>271</v>
      </c>
      <c r="C600" s="192" t="s">
        <v>8999</v>
      </c>
      <c r="D600" s="192" t="s">
        <v>8204</v>
      </c>
      <c r="E600" s="193">
        <v>263</v>
      </c>
      <c r="F600" s="193">
        <v>11</v>
      </c>
      <c r="I600" s="184"/>
      <c r="K600" s="176">
        <v>8</v>
      </c>
      <c r="M600" s="197">
        <v>3.3</v>
      </c>
      <c r="N600" s="198">
        <v>41822</v>
      </c>
      <c r="O600" s="179"/>
      <c r="S600" s="176">
        <f>(AE600*BS600)/100</f>
        <v>9.7529304029304011</v>
      </c>
      <c r="T600" s="198"/>
      <c r="U600" s="176">
        <v>16.2</v>
      </c>
      <c r="Y600" s="200">
        <f>(AE600*BU600)/100</f>
        <v>4.1294322344322332</v>
      </c>
      <c r="Z600" s="198"/>
      <c r="AA600" s="200"/>
      <c r="AB600" s="198"/>
      <c r="AC600" s="378">
        <f t="shared" si="9"/>
        <v>18.883333333333333</v>
      </c>
      <c r="AE600" s="176">
        <f>(M600/U600)*((100-CC600)/(100-9))*100</f>
        <v>20.750915750915748</v>
      </c>
      <c r="AF600" s="198">
        <v>41822</v>
      </c>
      <c r="AG600" s="176">
        <v>4.3</v>
      </c>
      <c r="AH600" s="196">
        <v>41927</v>
      </c>
      <c r="AI600" s="176">
        <v>145</v>
      </c>
      <c r="AM600" s="176">
        <v>84</v>
      </c>
      <c r="BG600" s="201">
        <v>47.9</v>
      </c>
      <c r="BI600" s="201">
        <v>4.2</v>
      </c>
      <c r="BK600" s="201">
        <v>1.2</v>
      </c>
      <c r="BM600" s="201">
        <v>31.7</v>
      </c>
      <c r="BO600" s="201">
        <v>15.9</v>
      </c>
      <c r="BQ600" s="201">
        <v>9.3000000000000007</v>
      </c>
      <c r="BS600" s="201">
        <v>47</v>
      </c>
      <c r="BU600" s="201">
        <v>19.899999999999999</v>
      </c>
      <c r="BW600" s="201">
        <v>62.1</v>
      </c>
      <c r="BY600" s="178">
        <v>6.9000000000000057</v>
      </c>
      <c r="CC600" s="201">
        <v>7.3</v>
      </c>
      <c r="CD600" s="198">
        <v>41822</v>
      </c>
      <c r="CI600" s="174" t="s">
        <v>9349</v>
      </c>
      <c r="CL600" s="174">
        <v>7</v>
      </c>
    </row>
    <row r="601" spans="1:90">
      <c r="A601" s="191" t="s">
        <v>7670</v>
      </c>
      <c r="B601" s="192" t="s">
        <v>271</v>
      </c>
      <c r="C601" s="192" t="s">
        <v>8999</v>
      </c>
      <c r="D601" s="192" t="s">
        <v>8376</v>
      </c>
      <c r="E601" s="193">
        <v>263</v>
      </c>
      <c r="F601" s="193">
        <v>12</v>
      </c>
      <c r="K601" s="176">
        <v>7</v>
      </c>
      <c r="M601" s="197">
        <v>5.15</v>
      </c>
      <c r="N601" s="198">
        <v>41822</v>
      </c>
      <c r="S601" s="176">
        <f>(AE601*BS601)/100</f>
        <v>16.670042056708727</v>
      </c>
      <c r="T601" s="198"/>
      <c r="U601" s="176">
        <v>16.2</v>
      </c>
      <c r="Y601" s="200">
        <f>(AE601*BU601)/100</f>
        <v>5.5024162257495597</v>
      </c>
      <c r="Z601" s="198"/>
      <c r="AA601" s="200"/>
      <c r="AB601" s="198"/>
      <c r="AC601" s="378">
        <f t="shared" si="9"/>
        <v>29.628395061728398</v>
      </c>
      <c r="AE601" s="176">
        <f>(M601/U601)*((100-CC601)/(100-9))*100</f>
        <v>32.558675892009234</v>
      </c>
      <c r="AF601" s="198">
        <v>41822</v>
      </c>
      <c r="AG601" s="176">
        <v>4.3</v>
      </c>
      <c r="AH601" s="196">
        <v>41927</v>
      </c>
      <c r="AI601" s="176">
        <v>165</v>
      </c>
      <c r="AM601" s="176">
        <v>85</v>
      </c>
      <c r="BG601" s="201">
        <v>0.3</v>
      </c>
      <c r="BI601" s="201">
        <v>3.9</v>
      </c>
      <c r="BK601" s="201">
        <v>1.6</v>
      </c>
      <c r="BM601" s="201">
        <v>65.400000000000006</v>
      </c>
      <c r="BO601" s="201">
        <v>19.399999999999999</v>
      </c>
      <c r="BQ601" s="201">
        <v>7.6</v>
      </c>
      <c r="BS601" s="201">
        <v>51.2</v>
      </c>
      <c r="BU601" s="201">
        <v>16.899999999999999</v>
      </c>
      <c r="BW601" s="201">
        <v>17.2</v>
      </c>
      <c r="BY601" s="178">
        <v>6.0999999999999943</v>
      </c>
      <c r="CC601" s="201">
        <v>6.8</v>
      </c>
      <c r="CD601" s="198">
        <v>41822</v>
      </c>
      <c r="CI601" s="174" t="s">
        <v>9374</v>
      </c>
      <c r="CL601" s="174">
        <v>1</v>
      </c>
    </row>
    <row r="602" spans="1:90">
      <c r="A602" s="191" t="s">
        <v>7784</v>
      </c>
      <c r="B602" s="192" t="s">
        <v>269</v>
      </c>
      <c r="C602" s="192" t="s">
        <v>8997</v>
      </c>
      <c r="D602" s="192" t="s">
        <v>8830</v>
      </c>
      <c r="E602" s="193">
        <v>264</v>
      </c>
      <c r="F602" s="193">
        <v>1</v>
      </c>
      <c r="K602" s="176">
        <v>9</v>
      </c>
      <c r="M602" s="197">
        <v>6.8</v>
      </c>
      <c r="N602" s="198">
        <v>41822</v>
      </c>
      <c r="S602" s="176">
        <f>(AE602*BS602)/100</f>
        <v>21.515343915343919</v>
      </c>
      <c r="T602" s="198"/>
      <c r="U602" s="176">
        <v>16.2</v>
      </c>
      <c r="Y602" s="200">
        <f>(AE602*BU602)/100</f>
        <v>7.4264007597340935</v>
      </c>
      <c r="Z602" s="198"/>
      <c r="AA602" s="200"/>
      <c r="AB602" s="198"/>
      <c r="AC602" s="378">
        <f t="shared" si="9"/>
        <v>38.617283950617285</v>
      </c>
      <c r="AE602" s="176">
        <f>(M602/U602)*((100-CC602)/(100-9))*100</f>
        <v>42.436575769909105</v>
      </c>
      <c r="AF602" s="198">
        <v>41822</v>
      </c>
      <c r="AG602" s="176">
        <v>5.2</v>
      </c>
      <c r="AH602" s="196">
        <v>41927</v>
      </c>
      <c r="AI602" s="176">
        <v>160</v>
      </c>
      <c r="AM602" s="176">
        <v>86</v>
      </c>
      <c r="BG602" s="201">
        <v>0</v>
      </c>
      <c r="BI602" s="201">
        <v>4.2</v>
      </c>
      <c r="BK602" s="201">
        <v>1.6</v>
      </c>
      <c r="BM602" s="201">
        <v>64.2</v>
      </c>
      <c r="BO602" s="201">
        <v>18.3</v>
      </c>
      <c r="BQ602" s="201">
        <v>7.9</v>
      </c>
      <c r="BS602" s="201">
        <v>50.7</v>
      </c>
      <c r="BU602" s="201">
        <v>17.5</v>
      </c>
      <c r="BW602" s="201">
        <v>10.6</v>
      </c>
      <c r="BY602" s="178">
        <v>7.4000000000000057</v>
      </c>
      <c r="CC602" s="201">
        <v>8</v>
      </c>
      <c r="CD602" s="198">
        <v>41822</v>
      </c>
      <c r="CI602" s="174" t="s">
        <v>9346</v>
      </c>
      <c r="CL602" s="174" t="s">
        <v>9001</v>
      </c>
    </row>
    <row r="603" spans="1:90">
      <c r="A603" s="191" t="s">
        <v>7780</v>
      </c>
      <c r="B603" s="192" t="s">
        <v>269</v>
      </c>
      <c r="C603" s="192" t="s">
        <v>8997</v>
      </c>
      <c r="D603" s="192" t="s">
        <v>8814</v>
      </c>
      <c r="E603" s="193">
        <v>264</v>
      </c>
      <c r="F603" s="193">
        <v>2</v>
      </c>
      <c r="K603" s="176">
        <v>6</v>
      </c>
      <c r="M603" s="197">
        <v>2.4500000000000002</v>
      </c>
      <c r="N603" s="198">
        <v>41822</v>
      </c>
      <c r="S603" s="176">
        <f>(AE603*BS603)/100</f>
        <v>7.8793542260208929</v>
      </c>
      <c r="T603" s="198"/>
      <c r="U603" s="176">
        <v>16.2</v>
      </c>
      <c r="Y603" s="200">
        <f>(AE603*BU603)/100</f>
        <v>2.5854131054131058</v>
      </c>
      <c r="Z603" s="198"/>
      <c r="AA603" s="200"/>
      <c r="AB603" s="198"/>
      <c r="AC603" s="378">
        <f t="shared" si="9"/>
        <v>14.004320987654321</v>
      </c>
      <c r="AE603" s="176">
        <f>(M603/U603)*((100-CC603)/(100-9))*100</f>
        <v>15.389363722697055</v>
      </c>
      <c r="AF603" s="198">
        <v>41822</v>
      </c>
      <c r="AG603" s="176">
        <v>5.3</v>
      </c>
      <c r="AH603" s="196">
        <v>41927</v>
      </c>
      <c r="AI603" s="176">
        <v>140</v>
      </c>
      <c r="AM603" s="176">
        <v>85</v>
      </c>
      <c r="BG603" s="201">
        <v>0</v>
      </c>
      <c r="BI603" s="201">
        <v>4.5</v>
      </c>
      <c r="BK603" s="201">
        <v>1.6</v>
      </c>
      <c r="BM603" s="201">
        <v>62.9</v>
      </c>
      <c r="BO603" s="201">
        <v>20.6</v>
      </c>
      <c r="BQ603" s="201">
        <v>9.1999999999999993</v>
      </c>
      <c r="BS603" s="201">
        <v>51.2</v>
      </c>
      <c r="BU603" s="201">
        <v>16.8</v>
      </c>
      <c r="BW603" s="201">
        <v>15.1</v>
      </c>
      <c r="BY603" s="178">
        <v>6.7000000000000028</v>
      </c>
      <c r="CC603" s="201">
        <v>7.4</v>
      </c>
      <c r="CD603" s="198">
        <v>41822</v>
      </c>
      <c r="CI603" s="174" t="s">
        <v>9347</v>
      </c>
      <c r="CL603" s="174">
        <v>3</v>
      </c>
    </row>
    <row r="604" spans="1:90">
      <c r="A604" s="191" t="s">
        <v>7761</v>
      </c>
      <c r="B604" s="192" t="s">
        <v>269</v>
      </c>
      <c r="C604" s="192" t="s">
        <v>8997</v>
      </c>
      <c r="D604" s="192" t="s">
        <v>8738</v>
      </c>
      <c r="E604" s="193">
        <v>264</v>
      </c>
      <c r="F604" s="193">
        <v>3</v>
      </c>
      <c r="K604" s="176">
        <v>8</v>
      </c>
      <c r="M604" s="197">
        <v>1.4</v>
      </c>
      <c r="N604" s="198">
        <v>41822</v>
      </c>
      <c r="S604" s="176">
        <f>(AE604*BS604)/100</f>
        <v>4.2682621082621077</v>
      </c>
      <c r="T604" s="198"/>
      <c r="U604" s="176">
        <v>16.2</v>
      </c>
      <c r="Y604" s="200">
        <f>(AE604*BU604)/100</f>
        <v>1.6618233618233615</v>
      </c>
      <c r="Z604" s="198"/>
      <c r="AA604" s="200"/>
      <c r="AB604" s="198"/>
      <c r="AC604" s="378">
        <f t="shared" si="9"/>
        <v>7.9592592592592579</v>
      </c>
      <c r="AE604" s="176">
        <f>(M604/U604)*((100-CC604)/(100-9))*100</f>
        <v>8.746438746438745</v>
      </c>
      <c r="AF604" s="198">
        <v>41822</v>
      </c>
      <c r="AG604" s="176">
        <v>4.4000000000000004</v>
      </c>
      <c r="AH604" s="196">
        <v>41927</v>
      </c>
      <c r="AI604" s="176">
        <v>90</v>
      </c>
      <c r="AM604" s="176">
        <v>85</v>
      </c>
      <c r="BG604" s="201">
        <v>1.6</v>
      </c>
      <c r="BI604" s="201">
        <v>4.5</v>
      </c>
      <c r="BK604" s="201">
        <v>1.4</v>
      </c>
      <c r="BM604" s="201">
        <v>64.2</v>
      </c>
      <c r="BO604" s="201">
        <v>18.899999999999999</v>
      </c>
      <c r="BQ604" s="201">
        <v>9.4</v>
      </c>
      <c r="BS604" s="201">
        <v>48.8</v>
      </c>
      <c r="BU604" s="201">
        <v>19</v>
      </c>
      <c r="BW604" s="201">
        <v>61.7</v>
      </c>
      <c r="BY604" s="178">
        <v>6.9000000000000057</v>
      </c>
      <c r="CC604" s="201">
        <v>7.9</v>
      </c>
      <c r="CD604" s="198">
        <v>41822</v>
      </c>
      <c r="CI604" s="174" t="s">
        <v>9351</v>
      </c>
      <c r="CL604" s="174">
        <v>9</v>
      </c>
    </row>
    <row r="605" spans="1:90">
      <c r="A605" s="191" t="s">
        <v>7728</v>
      </c>
      <c r="B605" s="192" t="s">
        <v>269</v>
      </c>
      <c r="C605" s="192" t="s">
        <v>8997</v>
      </c>
      <c r="D605" s="192" t="s">
        <v>8606</v>
      </c>
      <c r="E605" s="193">
        <v>264</v>
      </c>
      <c r="F605" s="193">
        <v>4</v>
      </c>
      <c r="K605" s="176">
        <v>7</v>
      </c>
      <c r="M605" s="197">
        <v>4.6500000000000004</v>
      </c>
      <c r="N605" s="198">
        <v>41822</v>
      </c>
      <c r="S605" s="176">
        <f>(AE605*BS605)/100</f>
        <v>14.931288156288158</v>
      </c>
      <c r="T605" s="198"/>
      <c r="U605" s="176">
        <v>16.2</v>
      </c>
      <c r="Y605" s="200">
        <f>(AE605*BU605)/100</f>
        <v>4.9575396825396822</v>
      </c>
      <c r="Z605" s="198"/>
      <c r="AA605" s="200"/>
      <c r="AB605" s="198"/>
      <c r="AC605" s="378">
        <f t="shared" si="9"/>
        <v>26.69444444444445</v>
      </c>
      <c r="AE605" s="176">
        <f>(M605/U605)*((100-CC605)/(100-9))*100</f>
        <v>29.334554334554337</v>
      </c>
      <c r="AF605" s="198">
        <v>41822</v>
      </c>
      <c r="AG605" s="176">
        <v>4.5999999999999996</v>
      </c>
      <c r="AH605" s="196">
        <v>41927</v>
      </c>
      <c r="AI605" s="176">
        <v>150</v>
      </c>
      <c r="AM605" s="176">
        <v>82</v>
      </c>
      <c r="BG605" s="201">
        <v>0</v>
      </c>
      <c r="BI605" s="201">
        <v>4.8</v>
      </c>
      <c r="BK605" s="201">
        <v>1.5</v>
      </c>
      <c r="BM605" s="201">
        <v>62.8</v>
      </c>
      <c r="BO605" s="201">
        <v>20.2</v>
      </c>
      <c r="BQ605" s="201">
        <v>9.4</v>
      </c>
      <c r="BS605" s="201">
        <v>50.9</v>
      </c>
      <c r="BU605" s="201">
        <v>16.899999999999999</v>
      </c>
      <c r="BW605" s="201">
        <v>18</v>
      </c>
      <c r="BY605" s="178">
        <v>6.7999999999999972</v>
      </c>
      <c r="CC605" s="201">
        <v>7</v>
      </c>
      <c r="CD605" s="198">
        <v>41822</v>
      </c>
      <c r="CI605" s="174" t="s">
        <v>9381</v>
      </c>
      <c r="CL605" s="174">
        <v>1</v>
      </c>
    </row>
    <row r="606" spans="1:90">
      <c r="A606" s="191" t="s">
        <v>7726</v>
      </c>
      <c r="B606" s="192" t="s">
        <v>269</v>
      </c>
      <c r="C606" s="192" t="s">
        <v>8997</v>
      </c>
      <c r="D606" s="192" t="s">
        <v>8598</v>
      </c>
      <c r="E606" s="193">
        <v>264</v>
      </c>
      <c r="F606" s="193">
        <v>5</v>
      </c>
      <c r="K606" s="176">
        <v>9</v>
      </c>
      <c r="M606" s="197">
        <v>1.25</v>
      </c>
      <c r="N606" s="198">
        <v>41822</v>
      </c>
      <c r="S606" s="176">
        <f>(AE606*BS606)/100</f>
        <v>3.7371794871794886</v>
      </c>
      <c r="T606" s="198"/>
      <c r="U606" s="176">
        <v>16.2</v>
      </c>
      <c r="Y606" s="200">
        <f>(AE606*BU606)/100</f>
        <v>1.4807692307692308</v>
      </c>
      <c r="Z606" s="198"/>
      <c r="AA606" s="200"/>
      <c r="AB606" s="198"/>
      <c r="AC606" s="378">
        <f t="shared" si="9"/>
        <v>7.1296296296296306</v>
      </c>
      <c r="AE606" s="176">
        <f>(M606/U606)*((100-CC606)/(100-9))*100</f>
        <v>7.8347578347578368</v>
      </c>
      <c r="AF606" s="198">
        <v>41822</v>
      </c>
      <c r="AG606" s="176">
        <v>5.0999999999999996</v>
      </c>
      <c r="AH606" s="196">
        <v>41927</v>
      </c>
      <c r="AI606" s="176">
        <v>110</v>
      </c>
      <c r="AM606" s="176">
        <v>84</v>
      </c>
      <c r="BG606" s="201">
        <v>0</v>
      </c>
      <c r="BI606" s="201">
        <v>4.5</v>
      </c>
      <c r="BK606" s="201">
        <v>1.5</v>
      </c>
      <c r="BM606" s="201">
        <v>60.2</v>
      </c>
      <c r="BO606" s="201">
        <v>21.9</v>
      </c>
      <c r="BQ606" s="201">
        <v>8.6999999999999993</v>
      </c>
      <c r="BS606" s="201">
        <v>47.7</v>
      </c>
      <c r="BU606" s="201">
        <v>18.899999999999999</v>
      </c>
      <c r="BW606" s="201">
        <v>20.8</v>
      </c>
      <c r="BY606" s="178">
        <v>6.7000000000000028</v>
      </c>
      <c r="CC606" s="201">
        <v>7.6</v>
      </c>
      <c r="CD606" s="198">
        <v>41822</v>
      </c>
      <c r="CI606" s="174" t="s">
        <v>9349</v>
      </c>
      <c r="CL606" s="174">
        <v>9</v>
      </c>
    </row>
    <row r="607" spans="1:90">
      <c r="A607" s="191" t="s">
        <v>7729</v>
      </c>
      <c r="B607" s="192" t="s">
        <v>269</v>
      </c>
      <c r="C607" s="192" t="s">
        <v>8997</v>
      </c>
      <c r="D607" s="192" t="s">
        <v>8610</v>
      </c>
      <c r="E607" s="193">
        <v>264</v>
      </c>
      <c r="F607" s="193">
        <v>6</v>
      </c>
      <c r="K607" s="176">
        <v>7</v>
      </c>
      <c r="M607" s="197">
        <v>2.1</v>
      </c>
      <c r="N607" s="198">
        <v>41822</v>
      </c>
      <c r="S607" s="176">
        <f>(AE607*BS607)/100</f>
        <v>6.6625641025641027</v>
      </c>
      <c r="T607" s="198"/>
      <c r="U607" s="176">
        <v>16.2</v>
      </c>
      <c r="Y607" s="200">
        <f>(AE607*BU607)/100</f>
        <v>2.3133903133903138</v>
      </c>
      <c r="Z607" s="198"/>
      <c r="AA607" s="200"/>
      <c r="AB607" s="198"/>
      <c r="AC607" s="378">
        <f t="shared" si="9"/>
        <v>12.029629629629632</v>
      </c>
      <c r="AE607" s="176">
        <f>(M607/U607)*((100-CC607)/(100-9))*100</f>
        <v>13.219373219373221</v>
      </c>
      <c r="AF607" s="198">
        <v>41822</v>
      </c>
      <c r="AG607" s="176">
        <v>4.9000000000000004</v>
      </c>
      <c r="AH607" s="196">
        <v>41927</v>
      </c>
      <c r="AI607" s="176">
        <v>105</v>
      </c>
      <c r="AM607" s="176">
        <v>86</v>
      </c>
      <c r="BG607" s="201">
        <v>0</v>
      </c>
      <c r="BI607" s="201">
        <v>4.5999999999999996</v>
      </c>
      <c r="BK607" s="201">
        <v>1.5</v>
      </c>
      <c r="BM607" s="201">
        <v>62</v>
      </c>
      <c r="BO607" s="201">
        <v>21</v>
      </c>
      <c r="BQ607" s="201">
        <v>9.6999999999999993</v>
      </c>
      <c r="BS607" s="201">
        <v>50.4</v>
      </c>
      <c r="BU607" s="201">
        <v>17.5</v>
      </c>
      <c r="BW607" s="201">
        <v>11.7</v>
      </c>
      <c r="BY607" s="178">
        <v>6.7999999999999972</v>
      </c>
      <c r="CC607" s="201">
        <v>7.2</v>
      </c>
      <c r="CD607" s="198">
        <v>41822</v>
      </c>
      <c r="CI607" s="174" t="s">
        <v>9367</v>
      </c>
      <c r="CL607" s="174">
        <v>5</v>
      </c>
    </row>
    <row r="608" spans="1:90">
      <c r="A608" s="191" t="s">
        <v>7731</v>
      </c>
      <c r="B608" s="192" t="s">
        <v>271</v>
      </c>
      <c r="C608" s="192" t="s">
        <v>8999</v>
      </c>
      <c r="D608" s="192" t="s">
        <v>8620</v>
      </c>
      <c r="E608" s="193">
        <v>264</v>
      </c>
      <c r="F608" s="193">
        <v>7</v>
      </c>
      <c r="K608" s="176">
        <v>8</v>
      </c>
      <c r="M608" s="197">
        <v>3.55</v>
      </c>
      <c r="N608" s="198">
        <v>41822</v>
      </c>
      <c r="S608" s="176">
        <f>(AE608*BS608)/100</f>
        <v>10.591339031339034</v>
      </c>
      <c r="T608" s="198"/>
      <c r="U608" s="176">
        <v>16.2</v>
      </c>
      <c r="Y608" s="200">
        <f>(AE608*BU608)/100</f>
        <v>4.383390313390314</v>
      </c>
      <c r="Z608" s="198"/>
      <c r="AA608" s="200"/>
      <c r="AB608" s="198"/>
      <c r="AC608" s="378">
        <f t="shared" si="9"/>
        <v>20.24814814814815</v>
      </c>
      <c r="AE608" s="176">
        <f>(M608/U608)*((100-CC608)/(100-9))*100</f>
        <v>22.250712250712255</v>
      </c>
      <c r="AF608" s="198">
        <v>41822</v>
      </c>
      <c r="AG608" s="176">
        <v>4.5999999999999996</v>
      </c>
      <c r="AH608" s="196">
        <v>41927</v>
      </c>
      <c r="AI608" s="176">
        <v>130</v>
      </c>
      <c r="AM608" s="176">
        <v>88</v>
      </c>
      <c r="BG608" s="201">
        <v>0</v>
      </c>
      <c r="BI608" s="201">
        <v>4.4000000000000004</v>
      </c>
      <c r="BK608" s="201">
        <v>1.6</v>
      </c>
      <c r="BM608" s="201">
        <v>63.2</v>
      </c>
      <c r="BO608" s="201">
        <v>20.8</v>
      </c>
      <c r="BQ608" s="201">
        <v>8.3000000000000007</v>
      </c>
      <c r="BS608" s="201">
        <v>47.6</v>
      </c>
      <c r="BU608" s="201">
        <v>19.7</v>
      </c>
      <c r="BW608" s="201">
        <v>12.1</v>
      </c>
      <c r="BY608" s="178">
        <v>6.9000000000000057</v>
      </c>
      <c r="CC608" s="201">
        <v>7.6</v>
      </c>
      <c r="CD608" s="198">
        <v>41822</v>
      </c>
      <c r="CI608" s="174" t="s">
        <v>9349</v>
      </c>
      <c r="CL608" s="174">
        <v>4</v>
      </c>
    </row>
    <row r="609" spans="1:90">
      <c r="A609" s="191" t="s">
        <v>7806</v>
      </c>
      <c r="B609" s="192" t="s">
        <v>271</v>
      </c>
      <c r="C609" s="192" t="s">
        <v>8999</v>
      </c>
      <c r="D609" s="192" t="s">
        <v>8920</v>
      </c>
      <c r="E609" s="193">
        <v>264</v>
      </c>
      <c r="F609" s="193">
        <v>8</v>
      </c>
      <c r="K609" s="176">
        <v>8</v>
      </c>
      <c r="M609" s="197">
        <v>6</v>
      </c>
      <c r="N609" s="198">
        <v>41822</v>
      </c>
      <c r="S609" s="176">
        <f>(AE609*BS609)/100</f>
        <v>19.665811965811965</v>
      </c>
      <c r="T609" s="198"/>
      <c r="U609" s="176">
        <v>16.2</v>
      </c>
      <c r="Y609" s="200">
        <f>(AE609*BU609)/100</f>
        <v>6.4794871794871804</v>
      </c>
      <c r="Z609" s="198"/>
      <c r="AA609" s="200"/>
      <c r="AB609" s="198"/>
      <c r="AC609" s="378">
        <f t="shared" si="9"/>
        <v>34.481481481481481</v>
      </c>
      <c r="AE609" s="176">
        <f>(M609/U609)*((100-CC609)/(100-9))*100</f>
        <v>37.89173789173789</v>
      </c>
      <c r="AF609" s="198">
        <v>41822</v>
      </c>
      <c r="AG609" s="176">
        <v>4.5999999999999996</v>
      </c>
      <c r="AH609" s="196">
        <v>41927</v>
      </c>
      <c r="AI609" s="176">
        <v>150</v>
      </c>
      <c r="AM609" s="176">
        <v>83</v>
      </c>
      <c r="BG609" s="201">
        <v>0.4</v>
      </c>
      <c r="BI609" s="201">
        <v>4.4000000000000004</v>
      </c>
      <c r="BK609" s="201">
        <v>1.5</v>
      </c>
      <c r="BM609" s="201">
        <v>65.599999999999994</v>
      </c>
      <c r="BO609" s="201">
        <v>18.3</v>
      </c>
      <c r="BQ609" s="201">
        <v>9.6</v>
      </c>
      <c r="BS609" s="201">
        <v>51.9</v>
      </c>
      <c r="BU609" s="201">
        <v>17.100000000000001</v>
      </c>
      <c r="BW609" s="201">
        <v>10.6</v>
      </c>
      <c r="BY609" s="178">
        <v>6.5999999999999943</v>
      </c>
      <c r="CC609" s="201">
        <v>6.9</v>
      </c>
      <c r="CD609" s="198">
        <v>41822</v>
      </c>
      <c r="CI609" s="174" t="s">
        <v>9357</v>
      </c>
      <c r="CL609" s="174">
        <v>1</v>
      </c>
    </row>
    <row r="610" spans="1:90">
      <c r="A610" s="191" t="s">
        <v>7625</v>
      </c>
      <c r="B610" s="192" t="s">
        <v>271</v>
      </c>
      <c r="C610" s="192" t="s">
        <v>8999</v>
      </c>
      <c r="D610" s="192" t="s">
        <v>8196</v>
      </c>
      <c r="E610" s="193">
        <v>264</v>
      </c>
      <c r="F610" s="193">
        <v>9</v>
      </c>
      <c r="I610" s="184"/>
      <c r="K610" s="176">
        <v>8</v>
      </c>
      <c r="M610" s="197">
        <v>4.05</v>
      </c>
      <c r="N610" s="198">
        <v>41822</v>
      </c>
      <c r="O610" s="179"/>
      <c r="S610" s="176">
        <f>(AE610*BS610)/100</f>
        <v>11.918846153846152</v>
      </c>
      <c r="T610" s="198"/>
      <c r="U610" s="176">
        <v>16.2</v>
      </c>
      <c r="Y610" s="200">
        <f>(AE610*BU610)/100</f>
        <v>4.8851923076923072</v>
      </c>
      <c r="Z610" s="198"/>
      <c r="AA610" s="200"/>
      <c r="AB610" s="198"/>
      <c r="AC610" s="378">
        <f t="shared" si="9"/>
        <v>23.274999999999999</v>
      </c>
      <c r="AE610" s="176">
        <f>(M610/U610)*((100-CC610)/(100-9))*100</f>
        <v>25.576923076923073</v>
      </c>
      <c r="AF610" s="198">
        <v>41822</v>
      </c>
      <c r="AG610" s="176">
        <v>4.9000000000000004</v>
      </c>
      <c r="AH610" s="196">
        <v>41927</v>
      </c>
      <c r="AI610" s="176">
        <v>135</v>
      </c>
      <c r="AM610" s="176">
        <v>84</v>
      </c>
      <c r="BG610" s="201">
        <v>51.5</v>
      </c>
      <c r="BI610" s="201">
        <v>4.3</v>
      </c>
      <c r="BK610" s="201">
        <v>0.8</v>
      </c>
      <c r="BM610" s="201">
        <v>29.3</v>
      </c>
      <c r="BO610" s="201">
        <v>17.100000000000001</v>
      </c>
      <c r="BQ610" s="201">
        <v>10.199999999999999</v>
      </c>
      <c r="BS610" s="201">
        <v>46.6</v>
      </c>
      <c r="BU610" s="201">
        <v>19.100000000000001</v>
      </c>
      <c r="BW610" s="201">
        <v>72.3</v>
      </c>
      <c r="BY610" s="178">
        <v>6.4000000000000057</v>
      </c>
      <c r="CC610" s="201">
        <v>6.9</v>
      </c>
      <c r="CD610" s="198">
        <v>41822</v>
      </c>
      <c r="CI610" s="174" t="s">
        <v>9351</v>
      </c>
      <c r="CL610" s="174">
        <v>3</v>
      </c>
    </row>
    <row r="611" spans="1:90">
      <c r="A611" s="191" t="s">
        <v>7768</v>
      </c>
      <c r="B611" s="192" t="s">
        <v>271</v>
      </c>
      <c r="C611" s="192" t="s">
        <v>8999</v>
      </c>
      <c r="D611" s="192" t="s">
        <v>8768</v>
      </c>
      <c r="E611" s="193">
        <v>264</v>
      </c>
      <c r="F611" s="193">
        <v>10</v>
      </c>
      <c r="K611" s="176">
        <v>8</v>
      </c>
      <c r="M611" s="197">
        <v>6.4</v>
      </c>
      <c r="N611" s="198">
        <v>41822</v>
      </c>
      <c r="S611" s="176">
        <f>(AE611*BS611)/100</f>
        <v>20.106471306471306</v>
      </c>
      <c r="T611" s="198"/>
      <c r="U611" s="176">
        <v>16.2</v>
      </c>
      <c r="Y611" s="200">
        <f>(AE611*BU611)/100</f>
        <v>7.1462759462759458</v>
      </c>
      <c r="Z611" s="198"/>
      <c r="AA611" s="200"/>
      <c r="AB611" s="198"/>
      <c r="AC611" s="378">
        <f t="shared" si="9"/>
        <v>36.74074074074074</v>
      </c>
      <c r="AE611" s="176">
        <f>(M611/U611)*((100-CC611)/(100-9))*100</f>
        <v>40.374440374440375</v>
      </c>
      <c r="AF611" s="198">
        <v>41822</v>
      </c>
      <c r="AG611" s="176">
        <v>5</v>
      </c>
      <c r="AH611" s="196">
        <v>41927</v>
      </c>
      <c r="AI611" s="176">
        <v>135</v>
      </c>
      <c r="AM611" s="176">
        <v>76</v>
      </c>
      <c r="BG611" s="201">
        <v>0</v>
      </c>
      <c r="BI611" s="201">
        <v>3.9</v>
      </c>
      <c r="BK611" s="201">
        <v>1.6</v>
      </c>
      <c r="BM611" s="201">
        <v>65.2</v>
      </c>
      <c r="BO611" s="201">
        <v>18.8</v>
      </c>
      <c r="BQ611" s="201">
        <v>7.7</v>
      </c>
      <c r="BS611" s="201">
        <v>49.8</v>
      </c>
      <c r="BU611" s="201">
        <v>17.7</v>
      </c>
      <c r="BW611" s="201">
        <v>7.8</v>
      </c>
      <c r="BY611" s="178">
        <v>6</v>
      </c>
      <c r="CC611" s="201">
        <v>7</v>
      </c>
      <c r="CD611" s="198">
        <v>41822</v>
      </c>
      <c r="CI611" s="174" t="s">
        <v>9353</v>
      </c>
      <c r="CL611" s="174">
        <v>2</v>
      </c>
    </row>
    <row r="612" spans="1:90">
      <c r="A612" s="191" t="s">
        <v>7788</v>
      </c>
      <c r="B612" s="192" t="s">
        <v>271</v>
      </c>
      <c r="C612" s="192" t="s">
        <v>8999</v>
      </c>
      <c r="D612" s="192" t="s">
        <v>8848</v>
      </c>
      <c r="E612" s="193">
        <v>264</v>
      </c>
      <c r="F612" s="193">
        <v>11</v>
      </c>
      <c r="K612" s="176">
        <v>8</v>
      </c>
      <c r="M612" s="197">
        <v>5.8</v>
      </c>
      <c r="N612" s="198">
        <v>41822</v>
      </c>
      <c r="S612" s="176">
        <f>(AE612*BS612)/100</f>
        <v>18.871756885090214</v>
      </c>
      <c r="T612" s="198"/>
      <c r="U612" s="176">
        <v>16.2</v>
      </c>
      <c r="Y612" s="200">
        <f>(AE612*BU612)/100</f>
        <v>6.0112739112739098</v>
      </c>
      <c r="Z612" s="198"/>
      <c r="AA612" s="200"/>
      <c r="AB612" s="198"/>
      <c r="AC612" s="378">
        <f t="shared" si="9"/>
        <v>33.15308641975308</v>
      </c>
      <c r="AE612" s="176">
        <f>(M612/U612)*((100-CC612)/(100-9))*100</f>
        <v>36.431963098629758</v>
      </c>
      <c r="AF612" s="198">
        <v>41822</v>
      </c>
      <c r="AG612" s="176">
        <v>4.4000000000000004</v>
      </c>
      <c r="AH612" s="196">
        <v>41927</v>
      </c>
      <c r="AI612" s="176">
        <v>170</v>
      </c>
      <c r="AM612" s="176">
        <v>78</v>
      </c>
      <c r="BG612" s="201">
        <v>5.8</v>
      </c>
      <c r="BI612" s="201">
        <v>4.5999999999999996</v>
      </c>
      <c r="BK612" s="201">
        <v>1.5</v>
      </c>
      <c r="BM612" s="201">
        <v>63.7</v>
      </c>
      <c r="BO612" s="201">
        <v>19.600000000000001</v>
      </c>
      <c r="BQ612" s="201">
        <v>8.6</v>
      </c>
      <c r="BS612" s="201">
        <v>51.8</v>
      </c>
      <c r="BU612" s="201">
        <v>16.5</v>
      </c>
      <c r="BW612" s="201">
        <v>15.4</v>
      </c>
      <c r="BY612" s="178">
        <v>6.7999999999999972</v>
      </c>
      <c r="CC612" s="201">
        <v>7.4</v>
      </c>
      <c r="CD612" s="198">
        <v>41822</v>
      </c>
      <c r="CI612" s="174" t="s">
        <v>9347</v>
      </c>
      <c r="CL612" s="174">
        <v>2</v>
      </c>
    </row>
    <row r="613" spans="1:90">
      <c r="A613" s="191" t="s">
        <v>7802</v>
      </c>
      <c r="B613" s="192" t="s">
        <v>271</v>
      </c>
      <c r="C613" s="192" t="s">
        <v>8999</v>
      </c>
      <c r="D613" s="192" t="s">
        <v>8904</v>
      </c>
      <c r="E613" s="193">
        <v>264</v>
      </c>
      <c r="F613" s="193">
        <v>12</v>
      </c>
      <c r="K613" s="176">
        <v>7</v>
      </c>
      <c r="M613" s="197">
        <v>5.2</v>
      </c>
      <c r="N613" s="198">
        <v>41822</v>
      </c>
      <c r="S613" s="176">
        <f>(AE613*BS613)/100</f>
        <v>17.278800705467368</v>
      </c>
      <c r="T613" s="198"/>
      <c r="U613" s="176">
        <v>16.2</v>
      </c>
      <c r="Y613" s="200">
        <f>(AE613*BU613)/100</f>
        <v>5.3894179894179892</v>
      </c>
      <c r="Z613" s="198"/>
      <c r="AA613" s="200"/>
      <c r="AB613" s="198"/>
      <c r="AC613" s="378">
        <f t="shared" si="9"/>
        <v>29.723456790123457</v>
      </c>
      <c r="AE613" s="176">
        <f>(M613/U613)*((100-CC613)/(100-9))*100</f>
        <v>32.663139329805993</v>
      </c>
      <c r="AF613" s="198">
        <v>41822</v>
      </c>
      <c r="AG613" s="176">
        <v>5.0999999999999996</v>
      </c>
      <c r="AH613" s="196">
        <v>41927</v>
      </c>
      <c r="AI613" s="176">
        <v>170</v>
      </c>
      <c r="AM613" s="176">
        <v>85</v>
      </c>
      <c r="BG613" s="201">
        <v>0</v>
      </c>
      <c r="BI613" s="201">
        <v>4.7</v>
      </c>
      <c r="BK613" s="201">
        <v>1.6</v>
      </c>
      <c r="BM613" s="201">
        <v>63.5</v>
      </c>
      <c r="BO613" s="201">
        <v>21.1</v>
      </c>
      <c r="BQ613" s="201">
        <v>9.6999999999999993</v>
      </c>
      <c r="BS613" s="201">
        <v>52.9</v>
      </c>
      <c r="BU613" s="201">
        <v>16.5</v>
      </c>
      <c r="BW613" s="201">
        <v>11.4</v>
      </c>
      <c r="BY613" s="178">
        <v>6.2000000000000028</v>
      </c>
      <c r="CC613" s="201">
        <v>7.4</v>
      </c>
      <c r="CD613" s="198">
        <v>41822</v>
      </c>
      <c r="CI613" s="174" t="s">
        <v>9356</v>
      </c>
      <c r="CL613" s="174">
        <v>1</v>
      </c>
    </row>
    <row r="614" spans="1:90">
      <c r="A614" s="191" t="s">
        <v>7792</v>
      </c>
      <c r="B614" s="192" t="s">
        <v>269</v>
      </c>
      <c r="C614" s="192" t="s">
        <v>8997</v>
      </c>
      <c r="D614" s="192" t="s">
        <v>8862</v>
      </c>
      <c r="E614" s="193">
        <v>265</v>
      </c>
      <c r="F614" s="193">
        <v>1</v>
      </c>
      <c r="K614" s="176">
        <v>7</v>
      </c>
      <c r="M614" s="197">
        <v>4.55</v>
      </c>
      <c r="N614" s="198">
        <v>41822</v>
      </c>
      <c r="S614" s="176">
        <f>(AE614*BS614)/100</f>
        <v>15.077777777777781</v>
      </c>
      <c r="T614" s="198"/>
      <c r="U614" s="176">
        <v>16.2</v>
      </c>
      <c r="Y614" s="200">
        <f>(AE614*BU614)/100</f>
        <v>4.7135802469135815</v>
      </c>
      <c r="Z614" s="198"/>
      <c r="AA614" s="200"/>
      <c r="AB614" s="198"/>
      <c r="AC614" s="378">
        <f t="shared" si="9"/>
        <v>25.83950617283951</v>
      </c>
      <c r="AE614" s="176">
        <f>(M614/U614)*((100-CC614)/(100-9))*100</f>
        <v>28.395061728395067</v>
      </c>
      <c r="AF614" s="198">
        <v>41822</v>
      </c>
      <c r="AG614" s="176">
        <v>4.5999999999999996</v>
      </c>
      <c r="AH614" s="196">
        <v>41927</v>
      </c>
      <c r="AI614" s="176">
        <v>145</v>
      </c>
      <c r="AM614" s="176">
        <v>85</v>
      </c>
      <c r="BG614" s="201">
        <v>0</v>
      </c>
      <c r="BI614" s="201">
        <v>4.5</v>
      </c>
      <c r="BK614" s="201">
        <v>1.6</v>
      </c>
      <c r="BM614" s="201">
        <v>61.6</v>
      </c>
      <c r="BO614" s="201">
        <v>20.6</v>
      </c>
      <c r="BQ614" s="201">
        <v>9.3000000000000007</v>
      </c>
      <c r="BS614" s="201">
        <v>53.1</v>
      </c>
      <c r="BU614" s="201">
        <v>16.600000000000001</v>
      </c>
      <c r="BW614" s="201">
        <v>4.9000000000000004</v>
      </c>
      <c r="BY614" s="178">
        <v>6.9000000000000057</v>
      </c>
      <c r="CC614" s="201">
        <v>8</v>
      </c>
      <c r="CD614" s="198">
        <v>41822</v>
      </c>
      <c r="CI614" s="174" t="s">
        <v>9339</v>
      </c>
      <c r="CL614" s="174">
        <v>1</v>
      </c>
    </row>
    <row r="615" spans="1:90">
      <c r="A615" s="191" t="s">
        <v>7778</v>
      </c>
      <c r="B615" s="192" t="s">
        <v>269</v>
      </c>
      <c r="C615" s="192" t="s">
        <v>8997</v>
      </c>
      <c r="D615" s="192" t="s">
        <v>8806</v>
      </c>
      <c r="E615" s="193">
        <v>265</v>
      </c>
      <c r="F615" s="193">
        <v>2</v>
      </c>
      <c r="K615" s="176">
        <v>7</v>
      </c>
      <c r="M615" s="197">
        <v>3.05</v>
      </c>
      <c r="N615" s="198">
        <v>41822</v>
      </c>
      <c r="S615" s="176">
        <f>(AE615*BS615)/100</f>
        <v>9.8429222629222632</v>
      </c>
      <c r="T615" s="198"/>
      <c r="U615" s="176">
        <v>16.2</v>
      </c>
      <c r="Y615" s="200">
        <f>(AE615*BU615)/100</f>
        <v>3.2809740876407538</v>
      </c>
      <c r="Z615" s="198"/>
      <c r="AA615" s="200"/>
      <c r="AB615" s="198"/>
      <c r="AC615" s="378">
        <f t="shared" si="9"/>
        <v>17.358641975308643</v>
      </c>
      <c r="AE615" s="176">
        <f>(M615/U615)*((100-CC615)/(100-9))*100</f>
        <v>19.075430742097407</v>
      </c>
      <c r="AF615" s="198">
        <v>41822</v>
      </c>
      <c r="AG615" s="176">
        <v>4.5999999999999996</v>
      </c>
      <c r="AH615" s="196">
        <v>41927</v>
      </c>
      <c r="AI615" s="176">
        <v>145</v>
      </c>
      <c r="AM615" s="176">
        <v>86</v>
      </c>
      <c r="BG615" s="201">
        <v>0.3</v>
      </c>
      <c r="BI615" s="201">
        <v>4.5999999999999996</v>
      </c>
      <c r="BK615" s="201">
        <v>1.6</v>
      </c>
      <c r="BM615" s="201">
        <v>63.8</v>
      </c>
      <c r="BO615" s="201">
        <v>19.5</v>
      </c>
      <c r="BQ615" s="201">
        <v>9</v>
      </c>
      <c r="BS615" s="201">
        <v>51.6</v>
      </c>
      <c r="BU615" s="201">
        <v>17.2</v>
      </c>
      <c r="BW615" s="201">
        <v>12.4</v>
      </c>
      <c r="BY615" s="178">
        <v>7</v>
      </c>
      <c r="CC615" s="201">
        <v>7.8</v>
      </c>
      <c r="CD615" s="198">
        <v>41822</v>
      </c>
      <c r="CI615" s="174" t="s">
        <v>9369</v>
      </c>
      <c r="CL615" s="174">
        <v>2</v>
      </c>
    </row>
    <row r="616" spans="1:90">
      <c r="A616" s="191" t="s">
        <v>7776</v>
      </c>
      <c r="B616" s="192" t="s">
        <v>269</v>
      </c>
      <c r="C616" s="192" t="s">
        <v>8997</v>
      </c>
      <c r="D616" s="192" t="s">
        <v>8798</v>
      </c>
      <c r="E616" s="193">
        <v>265</v>
      </c>
      <c r="F616" s="193">
        <v>3</v>
      </c>
      <c r="K616" s="176">
        <v>8</v>
      </c>
      <c r="M616" s="197">
        <v>3.6</v>
      </c>
      <c r="N616" s="198">
        <v>41822</v>
      </c>
      <c r="S616" s="176">
        <f>(AE616*BS616)/100</f>
        <v>11.94932844932845</v>
      </c>
      <c r="T616" s="198"/>
      <c r="U616" s="176">
        <v>16.2</v>
      </c>
      <c r="Y616" s="200">
        <f>(AE616*BU616)/100</f>
        <v>3.6367521367521376</v>
      </c>
      <c r="Z616" s="198"/>
      <c r="AA616" s="200"/>
      <c r="AB616" s="198"/>
      <c r="AC616" s="378">
        <f t="shared" si="9"/>
        <v>20.555555555555557</v>
      </c>
      <c r="AE616" s="176">
        <f>(M616/U616)*((100-CC616)/(100-9))*100</f>
        <v>22.58852258852259</v>
      </c>
      <c r="AF616" s="198">
        <v>41822</v>
      </c>
      <c r="AG616" s="176">
        <v>5.2</v>
      </c>
      <c r="AH616" s="196">
        <v>41927</v>
      </c>
      <c r="AI616" s="176">
        <v>140</v>
      </c>
      <c r="AM616" s="176">
        <v>79</v>
      </c>
      <c r="BG616" s="201">
        <v>0</v>
      </c>
      <c r="BI616" s="201">
        <v>4.7</v>
      </c>
      <c r="BK616" s="201">
        <v>1.6</v>
      </c>
      <c r="BM616" s="201">
        <v>64.3</v>
      </c>
      <c r="BO616" s="201">
        <v>18.8</v>
      </c>
      <c r="BQ616" s="201">
        <v>8.1999999999999993</v>
      </c>
      <c r="BS616" s="201">
        <v>52.9</v>
      </c>
      <c r="BU616" s="201">
        <v>16.100000000000001</v>
      </c>
      <c r="BW616" s="201">
        <v>15.1</v>
      </c>
      <c r="BY616" s="178">
        <v>6.5</v>
      </c>
      <c r="CC616" s="201">
        <v>7.5</v>
      </c>
      <c r="CD616" s="198">
        <v>41822</v>
      </c>
      <c r="CI616" s="174" t="s">
        <v>9346</v>
      </c>
      <c r="CL616" s="174" t="s">
        <v>9001</v>
      </c>
    </row>
    <row r="617" spans="1:90">
      <c r="A617" s="191" t="s">
        <v>9000</v>
      </c>
      <c r="B617" s="192" t="s">
        <v>269</v>
      </c>
      <c r="C617" s="192" t="s">
        <v>8997</v>
      </c>
      <c r="D617" s="192" t="s">
        <v>8298</v>
      </c>
      <c r="E617" s="193">
        <v>265</v>
      </c>
      <c r="F617" s="193">
        <v>4</v>
      </c>
      <c r="K617" s="176">
        <v>7</v>
      </c>
      <c r="M617" s="197">
        <v>3.9</v>
      </c>
      <c r="N617" s="198">
        <v>41822</v>
      </c>
      <c r="S617" s="176">
        <f>(AE617*BS617)/100</f>
        <v>13.175555555555558</v>
      </c>
      <c r="T617" s="198"/>
      <c r="U617" s="176">
        <v>16.2</v>
      </c>
      <c r="Y617" s="200">
        <f>(AE617*BU617)/100</f>
        <v>3.7644444444444449</v>
      </c>
      <c r="Z617" s="198"/>
      <c r="AA617" s="200"/>
      <c r="AB617" s="198"/>
      <c r="AC617" s="378">
        <f t="shared" si="9"/>
        <v>22.244444444444447</v>
      </c>
      <c r="AE617" s="176">
        <f>(M617/U617)*((100-CC617)/(100-9))*100</f>
        <v>24.44444444444445</v>
      </c>
      <c r="AF617" s="198">
        <v>41822</v>
      </c>
      <c r="AG617" s="176">
        <v>5.4</v>
      </c>
      <c r="AH617" s="196">
        <v>41927</v>
      </c>
      <c r="AI617" s="176">
        <v>135</v>
      </c>
      <c r="AM617" s="176">
        <v>80</v>
      </c>
      <c r="BG617" s="201">
        <v>0</v>
      </c>
      <c r="BI617" s="201">
        <v>4.9000000000000004</v>
      </c>
      <c r="BK617" s="201">
        <v>1.7</v>
      </c>
      <c r="BM617" s="201">
        <v>65.900000000000006</v>
      </c>
      <c r="BO617" s="201">
        <v>20.8</v>
      </c>
      <c r="BQ617" s="201">
        <v>6.9</v>
      </c>
      <c r="BS617" s="201">
        <v>53.9</v>
      </c>
      <c r="BU617" s="201">
        <v>15.4</v>
      </c>
      <c r="BW617" s="201">
        <v>10.3</v>
      </c>
      <c r="BY617" s="178">
        <v>6.5999999999999943</v>
      </c>
      <c r="CC617" s="201">
        <v>7.6</v>
      </c>
      <c r="CD617" s="198">
        <v>41822</v>
      </c>
      <c r="CI617" s="174" t="s">
        <v>9354</v>
      </c>
      <c r="CL617" s="174">
        <v>3</v>
      </c>
    </row>
    <row r="618" spans="1:90">
      <c r="A618" s="191" t="s">
        <v>7811</v>
      </c>
      <c r="B618" s="192" t="s">
        <v>269</v>
      </c>
      <c r="C618" s="192" t="s">
        <v>8997</v>
      </c>
      <c r="D618" s="192" t="s">
        <v>8938</v>
      </c>
      <c r="E618" s="193">
        <v>265</v>
      </c>
      <c r="F618" s="193">
        <v>5</v>
      </c>
      <c r="K618" s="176">
        <v>8</v>
      </c>
      <c r="M618" s="197">
        <v>4.55</v>
      </c>
      <c r="N618" s="198">
        <v>41822</v>
      </c>
      <c r="S618" s="176">
        <f>(AE618*BS618)/100</f>
        <v>14.544444444444448</v>
      </c>
      <c r="T618" s="198"/>
      <c r="U618" s="176">
        <v>16.2</v>
      </c>
      <c r="Y618" s="200">
        <f>(AE618*BU618)/100</f>
        <v>4.6485185185185198</v>
      </c>
      <c r="Z618" s="198"/>
      <c r="AA618" s="200"/>
      <c r="AB618" s="198"/>
      <c r="AC618" s="378">
        <f t="shared" si="9"/>
        <v>25.951851851851856</v>
      </c>
      <c r="AE618" s="176">
        <f>(M618/U618)*((100-CC618)/(100-9))*100</f>
        <v>28.518518518518526</v>
      </c>
      <c r="AF618" s="198">
        <v>41822</v>
      </c>
      <c r="AG618" s="176">
        <v>4.5999999999999996</v>
      </c>
      <c r="AH618" s="196">
        <v>41927</v>
      </c>
      <c r="AI618" s="176">
        <v>140</v>
      </c>
      <c r="AM618" s="176">
        <v>80</v>
      </c>
      <c r="BG618" s="201">
        <v>1.1000000000000001</v>
      </c>
      <c r="BI618" s="201">
        <v>4.5</v>
      </c>
      <c r="BK618" s="201">
        <v>1.6</v>
      </c>
      <c r="BM618" s="201">
        <v>63.6</v>
      </c>
      <c r="BO618" s="201">
        <v>19.600000000000001</v>
      </c>
      <c r="BQ618" s="201">
        <v>8.3000000000000007</v>
      </c>
      <c r="BS618" s="201">
        <v>51</v>
      </c>
      <c r="BU618" s="201">
        <v>16.3</v>
      </c>
      <c r="BW618" s="201">
        <v>12.3</v>
      </c>
      <c r="BY618" s="178">
        <v>7</v>
      </c>
      <c r="CC618" s="201">
        <v>7.6</v>
      </c>
      <c r="CD618" s="198">
        <v>41822</v>
      </c>
      <c r="CI618" s="174" t="s">
        <v>9352</v>
      </c>
      <c r="CL618" s="174">
        <v>1</v>
      </c>
    </row>
    <row r="619" spans="1:90">
      <c r="A619" s="191" t="s">
        <v>7743</v>
      </c>
      <c r="B619" s="192" t="s">
        <v>269</v>
      </c>
      <c r="C619" s="192" t="s">
        <v>8997</v>
      </c>
      <c r="D619" s="192" t="s">
        <v>8666</v>
      </c>
      <c r="E619" s="193">
        <v>265</v>
      </c>
      <c r="F619" s="193">
        <v>6</v>
      </c>
      <c r="K619" s="176">
        <v>6</v>
      </c>
      <c r="M619" s="197">
        <v>0.7</v>
      </c>
      <c r="N619" s="198">
        <v>41822</v>
      </c>
      <c r="S619" s="176">
        <f>(AE619*BS619)/100</f>
        <v>2.1122649572649568</v>
      </c>
      <c r="T619" s="198"/>
      <c r="U619" s="176">
        <v>16.2</v>
      </c>
      <c r="Y619" s="200">
        <f>(AE619*BU619)/100</f>
        <v>0.86589743589743573</v>
      </c>
      <c r="Z619" s="198"/>
      <c r="AA619" s="200"/>
      <c r="AB619" s="198"/>
      <c r="AC619" s="378">
        <f t="shared" si="9"/>
        <v>3.979629629629629</v>
      </c>
      <c r="AE619" s="176">
        <f>(M619/U619)*((100-CC619)/(100-9))*100</f>
        <v>4.3732193732193725</v>
      </c>
      <c r="AF619" s="198">
        <v>41822</v>
      </c>
      <c r="AG619" s="176">
        <v>4.5</v>
      </c>
      <c r="AH619" s="196">
        <v>41927</v>
      </c>
      <c r="AI619" s="176">
        <v>90</v>
      </c>
      <c r="AM619" s="176">
        <v>93</v>
      </c>
      <c r="BG619" s="201">
        <v>17</v>
      </c>
      <c r="BI619" s="201">
        <v>4.7</v>
      </c>
      <c r="BK619" s="201">
        <v>1.4</v>
      </c>
      <c r="BM619" s="201">
        <v>50.9</v>
      </c>
      <c r="BO619" s="201">
        <v>17.399999999999999</v>
      </c>
      <c r="BQ619" s="201">
        <v>9.1</v>
      </c>
      <c r="BS619" s="201">
        <v>48.3</v>
      </c>
      <c r="BU619" s="201">
        <v>19.8</v>
      </c>
      <c r="BW619" s="201">
        <v>43.4</v>
      </c>
      <c r="BY619" s="178">
        <v>7.0999999999999943</v>
      </c>
      <c r="CC619" s="201">
        <v>7.9</v>
      </c>
      <c r="CD619" s="198">
        <v>41822</v>
      </c>
      <c r="CI619" s="174" t="s">
        <v>9393</v>
      </c>
      <c r="CL619" s="174">
        <v>9</v>
      </c>
    </row>
    <row r="620" spans="1:90">
      <c r="A620" s="191" t="s">
        <v>7897</v>
      </c>
      <c r="B620" s="192" t="s">
        <v>271</v>
      </c>
      <c r="C620" s="192" t="s">
        <v>8999</v>
      </c>
      <c r="D620" s="192" t="s">
        <v>8972</v>
      </c>
      <c r="E620" s="193">
        <v>265</v>
      </c>
      <c r="F620" s="193">
        <v>7</v>
      </c>
      <c r="K620" s="176">
        <v>8</v>
      </c>
      <c r="M620" s="197">
        <v>5.8</v>
      </c>
      <c r="N620" s="198">
        <v>41822</v>
      </c>
      <c r="S620" s="176">
        <f>(AE620*BS620)/100</f>
        <v>18.156966490299823</v>
      </c>
      <c r="T620" s="198"/>
      <c r="U620" s="176">
        <v>16.2</v>
      </c>
      <c r="Y620" s="200">
        <f>(AE620*BU620)/100</f>
        <v>6.3912522045855384</v>
      </c>
      <c r="Z620" s="198"/>
      <c r="AA620" s="200"/>
      <c r="AB620" s="198"/>
      <c r="AC620" s="378">
        <f t="shared" si="9"/>
        <v>33.045679012345673</v>
      </c>
      <c r="AE620" s="176">
        <f>(M620/U620)*((100-CC620)/(100-9))*100</f>
        <v>36.313932980599645</v>
      </c>
      <c r="AF620" s="198">
        <v>41822</v>
      </c>
      <c r="AG620" s="176">
        <v>4.2</v>
      </c>
      <c r="AH620" s="196">
        <v>41927</v>
      </c>
      <c r="AI620" s="176">
        <v>135</v>
      </c>
      <c r="AM620" s="176">
        <v>77</v>
      </c>
      <c r="BG620" s="201">
        <v>1.2</v>
      </c>
      <c r="BI620" s="201">
        <v>4.5</v>
      </c>
      <c r="BK620" s="201">
        <v>1.6</v>
      </c>
      <c r="BM620" s="201">
        <v>65.099999999999994</v>
      </c>
      <c r="BO620" s="201">
        <v>19.5</v>
      </c>
      <c r="BQ620" s="201">
        <v>8.4</v>
      </c>
      <c r="BS620" s="201">
        <v>50</v>
      </c>
      <c r="BU620" s="201">
        <v>17.600000000000001</v>
      </c>
      <c r="BW620" s="201">
        <v>16.100000000000001</v>
      </c>
      <c r="BY620" s="178">
        <v>6.7999999999999972</v>
      </c>
      <c r="CC620" s="201">
        <v>7.7</v>
      </c>
      <c r="CD620" s="198">
        <v>41822</v>
      </c>
      <c r="CI620" s="174" t="s">
        <v>9352</v>
      </c>
      <c r="CL620" s="174">
        <v>2</v>
      </c>
    </row>
    <row r="621" spans="1:90">
      <c r="A621" s="191" t="s">
        <v>7720</v>
      </c>
      <c r="B621" s="192" t="s">
        <v>271</v>
      </c>
      <c r="C621" s="192" t="s">
        <v>8999</v>
      </c>
      <c r="D621" s="192" t="s">
        <v>8576</v>
      </c>
      <c r="E621" s="193">
        <v>265</v>
      </c>
      <c r="F621" s="193">
        <v>8</v>
      </c>
      <c r="K621" s="176">
        <v>8</v>
      </c>
      <c r="M621" s="197">
        <v>5.7</v>
      </c>
      <c r="N621" s="198">
        <v>41822</v>
      </c>
      <c r="S621" s="176">
        <f>(AE621*BS621)/100</f>
        <v>17.727533577533578</v>
      </c>
      <c r="T621" s="198"/>
      <c r="U621" s="176">
        <v>16.2</v>
      </c>
      <c r="Y621" s="200">
        <f>(AE621*BU621)/100</f>
        <v>6.2927350427350426</v>
      </c>
      <c r="Z621" s="198"/>
      <c r="AA621" s="200"/>
      <c r="AB621" s="198"/>
      <c r="AC621" s="378">
        <f t="shared" si="9"/>
        <v>32.722222222222221</v>
      </c>
      <c r="AE621" s="176">
        <f>(M621/U621)*((100-CC621)/(100-9))*100</f>
        <v>35.958485958485959</v>
      </c>
      <c r="AF621" s="198">
        <v>41822</v>
      </c>
      <c r="AG621" s="176">
        <v>4.4000000000000004</v>
      </c>
      <c r="AH621" s="196">
        <v>41927</v>
      </c>
      <c r="AI621" s="176">
        <v>140</v>
      </c>
      <c r="AM621" s="176">
        <v>84</v>
      </c>
      <c r="BG621" s="201">
        <v>0</v>
      </c>
      <c r="BI621" s="201">
        <v>4.5</v>
      </c>
      <c r="BK621" s="201">
        <v>1.7</v>
      </c>
      <c r="BM621" s="201">
        <v>66.5</v>
      </c>
      <c r="BO621" s="201">
        <v>19.3</v>
      </c>
      <c r="BQ621" s="201">
        <v>6.9</v>
      </c>
      <c r="BS621" s="201">
        <v>49.3</v>
      </c>
      <c r="BU621" s="201">
        <v>17.5</v>
      </c>
      <c r="BW621" s="201">
        <v>17.7</v>
      </c>
      <c r="BY621" s="178">
        <v>6.5999999999999943</v>
      </c>
      <c r="CC621" s="201">
        <v>7</v>
      </c>
      <c r="CD621" s="198">
        <v>41822</v>
      </c>
      <c r="CI621" s="174" t="s">
        <v>9395</v>
      </c>
      <c r="CL621" s="174">
        <v>1</v>
      </c>
    </row>
    <row r="622" spans="1:90">
      <c r="A622" s="191" t="s">
        <v>7898</v>
      </c>
      <c r="B622" s="192" t="s">
        <v>271</v>
      </c>
      <c r="C622" s="192" t="s">
        <v>8999</v>
      </c>
      <c r="D622" s="192" t="s">
        <v>8992</v>
      </c>
      <c r="E622" s="193">
        <v>265</v>
      </c>
      <c r="F622" s="193">
        <v>9</v>
      </c>
      <c r="K622" s="176">
        <v>8</v>
      </c>
      <c r="M622" s="197">
        <v>7.2</v>
      </c>
      <c r="N622" s="198">
        <v>41822</v>
      </c>
      <c r="S622" s="176">
        <f>(AE622*BS622)/100</f>
        <v>23.593650793650799</v>
      </c>
      <c r="T622" s="198"/>
      <c r="U622" s="176">
        <v>16.2</v>
      </c>
      <c r="Y622" s="200">
        <f>(AE622*BU622)/100</f>
        <v>7.2142124542124551</v>
      </c>
      <c r="Z622" s="198"/>
      <c r="AA622" s="200"/>
      <c r="AB622" s="198"/>
      <c r="AC622" s="378">
        <f t="shared" si="9"/>
        <v>41.288888888888891</v>
      </c>
      <c r="AE622" s="176">
        <f>(M622/U622)*((100-CC622)/(100-9))*100</f>
        <v>45.372405372405382</v>
      </c>
      <c r="AF622" s="198">
        <v>41822</v>
      </c>
      <c r="AG622" s="176">
        <v>3.8</v>
      </c>
      <c r="AH622" s="196">
        <v>41927</v>
      </c>
      <c r="AI622" s="176">
        <v>170</v>
      </c>
      <c r="AM622" s="176">
        <v>80</v>
      </c>
      <c r="BG622" s="201">
        <v>0</v>
      </c>
      <c r="BI622" s="201">
        <v>5</v>
      </c>
      <c r="BK622" s="201">
        <v>1.6</v>
      </c>
      <c r="BM622" s="201">
        <v>63.5</v>
      </c>
      <c r="BO622" s="201">
        <v>20.9</v>
      </c>
      <c r="BQ622" s="201">
        <v>7.8</v>
      </c>
      <c r="BS622" s="201">
        <v>52</v>
      </c>
      <c r="BU622" s="201">
        <v>15.9</v>
      </c>
      <c r="BW622" s="201">
        <v>8.9</v>
      </c>
      <c r="BY622" s="178">
        <v>6.2999999999999972</v>
      </c>
      <c r="CC622" s="201">
        <v>7.1</v>
      </c>
      <c r="CD622" s="198">
        <v>41822</v>
      </c>
      <c r="CI622" s="174" t="s">
        <v>9346</v>
      </c>
      <c r="CL622" s="174" t="s">
        <v>9001</v>
      </c>
    </row>
    <row r="623" spans="1:90">
      <c r="A623" s="191" t="s">
        <v>7764</v>
      </c>
      <c r="B623" s="192" t="s">
        <v>271</v>
      </c>
      <c r="C623" s="192" t="s">
        <v>8999</v>
      </c>
      <c r="D623" s="192" t="s">
        <v>8752</v>
      </c>
      <c r="E623" s="193">
        <v>265</v>
      </c>
      <c r="F623" s="193">
        <v>10</v>
      </c>
      <c r="K623" s="176">
        <v>8</v>
      </c>
      <c r="M623" s="197">
        <v>6.45</v>
      </c>
      <c r="N623" s="198">
        <v>41822</v>
      </c>
      <c r="S623" s="176">
        <f>(AE623*BS623)/100</f>
        <v>19.651542531542532</v>
      </c>
      <c r="T623" s="198"/>
      <c r="U623" s="176">
        <v>16.2</v>
      </c>
      <c r="Y623" s="200">
        <f>(AE623*BU623)/100</f>
        <v>7.3084249084249082</v>
      </c>
      <c r="Z623" s="198"/>
      <c r="AA623" s="200"/>
      <c r="AB623" s="198"/>
      <c r="AC623" s="378">
        <f t="shared" si="9"/>
        <v>36.94814814814815</v>
      </c>
      <c r="AE623" s="176">
        <f>(M623/U623)*((100-CC623)/(100-9))*100</f>
        <v>40.602360602360605</v>
      </c>
      <c r="AF623" s="198">
        <v>41822</v>
      </c>
      <c r="AG623" s="176">
        <v>4.5999999999999996</v>
      </c>
      <c r="AH623" s="196">
        <v>41927</v>
      </c>
      <c r="AI623" s="176">
        <v>145</v>
      </c>
      <c r="AM623" s="176">
        <v>84</v>
      </c>
      <c r="BG623" s="201">
        <v>6.1</v>
      </c>
      <c r="BI623" s="201">
        <v>4.2</v>
      </c>
      <c r="BK623" s="201">
        <v>1.6</v>
      </c>
      <c r="BM623" s="201">
        <v>59.6</v>
      </c>
      <c r="BO623" s="201">
        <v>20.8</v>
      </c>
      <c r="BQ623" s="201">
        <v>9.1999999999999993</v>
      </c>
      <c r="BS623" s="201">
        <v>48.4</v>
      </c>
      <c r="BU623" s="201">
        <v>18</v>
      </c>
      <c r="BW623" s="201">
        <v>14</v>
      </c>
      <c r="BY623" s="178">
        <v>6.5999999999999943</v>
      </c>
      <c r="CC623" s="201">
        <v>7.2</v>
      </c>
      <c r="CD623" s="198">
        <v>41822</v>
      </c>
      <c r="CI623" s="174" t="s">
        <v>9362</v>
      </c>
      <c r="CL623" s="174">
        <v>1</v>
      </c>
    </row>
    <row r="624" spans="1:90">
      <c r="A624" s="191" t="s">
        <v>7781</v>
      </c>
      <c r="B624" s="192" t="s">
        <v>271</v>
      </c>
      <c r="C624" s="192" t="s">
        <v>8999</v>
      </c>
      <c r="D624" s="192" t="s">
        <v>8820</v>
      </c>
      <c r="E624" s="193">
        <v>265</v>
      </c>
      <c r="F624" s="193">
        <v>11</v>
      </c>
      <c r="K624" s="176">
        <v>8</v>
      </c>
      <c r="M624" s="197">
        <v>5.8</v>
      </c>
      <c r="N624" s="198">
        <v>41822</v>
      </c>
      <c r="S624" s="176">
        <f>(AE624*BS624)/100</f>
        <v>17.317378917378914</v>
      </c>
      <c r="T624" s="198"/>
      <c r="U624" s="176">
        <v>16.2</v>
      </c>
      <c r="Y624" s="200">
        <f>(AE624*BU624)/100</f>
        <v>6.6383285849952509</v>
      </c>
      <c r="Z624" s="198"/>
      <c r="AA624" s="200"/>
      <c r="AB624" s="198"/>
      <c r="AC624" s="378">
        <f t="shared" si="9"/>
        <v>32.830864197530865</v>
      </c>
      <c r="AE624" s="176">
        <f>(M624/U624)*((100-CC624)/(100-9))*100</f>
        <v>36.077872744539405</v>
      </c>
      <c r="AF624" s="198">
        <v>41822</v>
      </c>
      <c r="AG624" s="176">
        <v>4.9000000000000004</v>
      </c>
      <c r="AH624" s="196">
        <v>41927</v>
      </c>
      <c r="AI624" s="176">
        <v>165</v>
      </c>
      <c r="AM624" s="176">
        <v>87</v>
      </c>
      <c r="BG624" s="201">
        <v>0.7</v>
      </c>
      <c r="BI624" s="201">
        <v>4.5</v>
      </c>
      <c r="BK624" s="201">
        <v>1.6</v>
      </c>
      <c r="BM624" s="201">
        <v>63.1</v>
      </c>
      <c r="BO624" s="201">
        <v>18.600000000000001</v>
      </c>
      <c r="BQ624" s="201">
        <v>8.8000000000000007</v>
      </c>
      <c r="BS624" s="201">
        <v>48</v>
      </c>
      <c r="BU624" s="201">
        <v>18.399999999999999</v>
      </c>
      <c r="BW624" s="201">
        <v>14.9</v>
      </c>
      <c r="BY624" s="178">
        <v>7.4000000000000057</v>
      </c>
      <c r="CC624" s="201">
        <v>8.3000000000000007</v>
      </c>
      <c r="CD624" s="198">
        <v>41822</v>
      </c>
      <c r="CI624" s="174" t="s">
        <v>9350</v>
      </c>
      <c r="CL624" s="174">
        <v>2</v>
      </c>
    </row>
    <row r="625" spans="1:91">
      <c r="A625" s="191" t="s">
        <v>7691</v>
      </c>
      <c r="B625" s="192" t="s">
        <v>271</v>
      </c>
      <c r="C625" s="192" t="s">
        <v>8999</v>
      </c>
      <c r="D625" s="192" t="s">
        <v>8460</v>
      </c>
      <c r="E625" s="193">
        <v>265</v>
      </c>
      <c r="F625" s="193">
        <v>12</v>
      </c>
      <c r="K625" s="176">
        <v>7</v>
      </c>
      <c r="M625" s="197">
        <v>5.05</v>
      </c>
      <c r="N625" s="198">
        <v>41822</v>
      </c>
      <c r="S625" s="176">
        <f>(AE625*BS625)/100</f>
        <v>15.131775878442545</v>
      </c>
      <c r="T625" s="198"/>
      <c r="U625" s="176">
        <v>16.2</v>
      </c>
      <c r="Y625" s="200">
        <f>(AE625*BU625)/100</f>
        <v>5.9128367928367922</v>
      </c>
      <c r="Z625" s="198"/>
      <c r="AA625" s="200"/>
      <c r="AB625" s="198"/>
      <c r="AC625" s="378">
        <f t="shared" si="9"/>
        <v>28.928395061728395</v>
      </c>
      <c r="AE625" s="176">
        <f>(M625/U625)*((100-CC625)/(100-9))*100</f>
        <v>31.789445122778453</v>
      </c>
      <c r="AF625" s="198">
        <v>41822</v>
      </c>
      <c r="AG625" s="176">
        <v>4.9000000000000004</v>
      </c>
      <c r="AH625" s="196">
        <v>41927</v>
      </c>
      <c r="AI625" s="176">
        <v>155</v>
      </c>
      <c r="AM625" s="176">
        <v>82</v>
      </c>
      <c r="BG625" s="201">
        <v>0</v>
      </c>
      <c r="BI625" s="201">
        <v>4.4000000000000004</v>
      </c>
      <c r="BK625" s="201">
        <v>1.7</v>
      </c>
      <c r="BM625" s="201">
        <v>63.6</v>
      </c>
      <c r="BO625" s="201">
        <v>19</v>
      </c>
      <c r="BQ625" s="201">
        <v>7.9</v>
      </c>
      <c r="BS625" s="201">
        <v>47.6</v>
      </c>
      <c r="BU625" s="201">
        <v>18.600000000000001</v>
      </c>
      <c r="BW625" s="201">
        <v>16.8</v>
      </c>
      <c r="BY625" s="178">
        <v>6.5999999999999943</v>
      </c>
      <c r="CC625" s="201">
        <v>7.2</v>
      </c>
      <c r="CD625" s="198">
        <v>41822</v>
      </c>
      <c r="CI625" s="174" t="s">
        <v>9347</v>
      </c>
      <c r="CL625" s="174">
        <v>1</v>
      </c>
    </row>
    <row r="626" spans="1:91">
      <c r="A626" s="191" t="s">
        <v>7763</v>
      </c>
      <c r="B626" s="192" t="s">
        <v>269</v>
      </c>
      <c r="C626" s="192" t="s">
        <v>8997</v>
      </c>
      <c r="D626" s="192" t="s">
        <v>8746</v>
      </c>
      <c r="E626" s="193">
        <v>266</v>
      </c>
      <c r="F626" s="193">
        <v>1</v>
      </c>
      <c r="K626" s="176">
        <v>9</v>
      </c>
      <c r="M626" s="197">
        <v>3.35</v>
      </c>
      <c r="N626" s="198">
        <v>41822</v>
      </c>
      <c r="S626" s="176">
        <f>(AE626*BS626)/100</f>
        <v>10.876456043956042</v>
      </c>
      <c r="T626" s="198"/>
      <c r="U626" s="176">
        <v>16.2</v>
      </c>
      <c r="Y626" s="200">
        <f>(AE626*BU626)/100</f>
        <v>3.8375020350020344</v>
      </c>
      <c r="Z626" s="198"/>
      <c r="AA626" s="200"/>
      <c r="AB626" s="198"/>
      <c r="AC626" s="378">
        <f t="shared" si="9"/>
        <v>19.293518518518518</v>
      </c>
      <c r="AE626" s="176">
        <f>(M626/U626)*((100-CC626)/(100-9))*100</f>
        <v>21.201668701668698</v>
      </c>
      <c r="AF626" s="198">
        <v>41822</v>
      </c>
      <c r="AG626" s="176">
        <v>4.3</v>
      </c>
      <c r="AH626" s="196">
        <v>41927</v>
      </c>
      <c r="AI626" s="176">
        <v>170</v>
      </c>
      <c r="AM626" s="176">
        <v>92</v>
      </c>
      <c r="BG626" s="201">
        <v>46.9</v>
      </c>
      <c r="BI626" s="201">
        <v>4.8</v>
      </c>
      <c r="BK626" s="201">
        <v>0.7</v>
      </c>
      <c r="BM626" s="201">
        <v>27.4</v>
      </c>
      <c r="BO626" s="201">
        <v>17.100000000000001</v>
      </c>
      <c r="BQ626" s="201">
        <v>8.8000000000000007</v>
      </c>
      <c r="BS626" s="201">
        <v>51.3</v>
      </c>
      <c r="BU626" s="201">
        <v>18.100000000000001</v>
      </c>
      <c r="BW626" s="201">
        <v>60.8</v>
      </c>
      <c r="BY626" s="178">
        <v>6.0999999999999943</v>
      </c>
      <c r="CC626" s="201">
        <v>6.7</v>
      </c>
      <c r="CD626" s="198">
        <v>41822</v>
      </c>
      <c r="CI626" s="174" t="s">
        <v>9347</v>
      </c>
      <c r="CL626" s="174">
        <v>7</v>
      </c>
    </row>
    <row r="627" spans="1:91">
      <c r="A627" s="191" t="s">
        <v>7647</v>
      </c>
      <c r="B627" s="192" t="s">
        <v>269</v>
      </c>
      <c r="C627" s="192" t="s">
        <v>8997</v>
      </c>
      <c r="D627" s="192" t="s">
        <v>8282</v>
      </c>
      <c r="E627" s="193">
        <v>266</v>
      </c>
      <c r="F627" s="193">
        <v>2</v>
      </c>
      <c r="K627" s="176">
        <v>8</v>
      </c>
      <c r="M627" s="197">
        <v>0.9</v>
      </c>
      <c r="N627" s="198">
        <v>41822</v>
      </c>
      <c r="S627" s="176">
        <f>(AE627*BS627)/100</f>
        <v>2.6991269841269845</v>
      </c>
      <c r="T627" s="198"/>
      <c r="U627" s="176">
        <v>16.2</v>
      </c>
      <c r="Y627" s="200">
        <f>(AE627*BU627)/100</f>
        <v>1.1326190476190476</v>
      </c>
      <c r="Z627" s="198"/>
      <c r="AA627" s="200"/>
      <c r="AB627" s="198"/>
      <c r="AC627" s="378">
        <f t="shared" si="9"/>
        <v>5.1277777777777782</v>
      </c>
      <c r="AE627" s="176">
        <f>(M627/U627)*((100-CC627)/(100-9))*100</f>
        <v>5.6349206349206353</v>
      </c>
      <c r="AF627" s="198">
        <v>41822</v>
      </c>
      <c r="AG627" s="176">
        <v>5</v>
      </c>
      <c r="AH627" s="196">
        <v>41927</v>
      </c>
      <c r="AI627" s="176">
        <v>100</v>
      </c>
      <c r="AM627" s="176">
        <v>79</v>
      </c>
      <c r="BG627" s="201">
        <v>19.899999999999999</v>
      </c>
      <c r="BI627" s="201">
        <v>4.9000000000000004</v>
      </c>
      <c r="BK627" s="201">
        <v>1.2</v>
      </c>
      <c r="BM627" s="201">
        <v>46.8</v>
      </c>
      <c r="BO627" s="201">
        <v>18.100000000000001</v>
      </c>
      <c r="BQ627" s="201">
        <v>10.5</v>
      </c>
      <c r="BS627" s="201">
        <v>47.9</v>
      </c>
      <c r="BU627" s="201">
        <v>20.100000000000001</v>
      </c>
      <c r="BW627" s="201">
        <v>83.1</v>
      </c>
      <c r="BY627" s="178">
        <v>7</v>
      </c>
      <c r="CC627" s="201">
        <v>7.7</v>
      </c>
      <c r="CD627" s="198">
        <v>41822</v>
      </c>
      <c r="CI627" s="174" t="s">
        <v>9370</v>
      </c>
      <c r="CL627" s="174">
        <v>8</v>
      </c>
    </row>
    <row r="628" spans="1:91">
      <c r="A628" s="191" t="s">
        <v>7781</v>
      </c>
      <c r="B628" s="192" t="s">
        <v>269</v>
      </c>
      <c r="C628" s="192" t="s">
        <v>8997</v>
      </c>
      <c r="D628" s="192" t="s">
        <v>8818</v>
      </c>
      <c r="E628" s="193">
        <v>266</v>
      </c>
      <c r="F628" s="193">
        <v>3</v>
      </c>
      <c r="K628" s="176">
        <v>8</v>
      </c>
      <c r="M628" s="197">
        <v>3.15</v>
      </c>
      <c r="N628" s="198">
        <v>41822</v>
      </c>
      <c r="S628" s="176">
        <f>(AE628*BS628)/100</f>
        <v>9.7519230769230774</v>
      </c>
      <c r="T628" s="198"/>
      <c r="U628" s="176">
        <v>16.2</v>
      </c>
      <c r="Y628" s="200">
        <f>(AE628*BU628)/100</f>
        <v>3.3294444444444444</v>
      </c>
      <c r="Z628" s="198"/>
      <c r="AA628" s="200"/>
      <c r="AB628" s="198"/>
      <c r="AC628" s="378">
        <f t="shared" si="9"/>
        <v>17.927777777777777</v>
      </c>
      <c r="AE628" s="176">
        <f>(M628/U628)*((100-CC628)/(100-9))*100</f>
        <v>19.700854700854702</v>
      </c>
      <c r="AF628" s="198">
        <v>41822</v>
      </c>
      <c r="AG628" s="176">
        <v>4.9000000000000004</v>
      </c>
      <c r="AH628" s="196">
        <v>41927</v>
      </c>
      <c r="AI628" s="176">
        <v>140</v>
      </c>
      <c r="AM628" s="176">
        <v>82</v>
      </c>
      <c r="BG628" s="201">
        <v>0.2</v>
      </c>
      <c r="BI628" s="201">
        <v>4.3</v>
      </c>
      <c r="BK628" s="201">
        <v>1.6</v>
      </c>
      <c r="BM628" s="201">
        <v>60.8</v>
      </c>
      <c r="BO628" s="201">
        <v>20.399999999999999</v>
      </c>
      <c r="BQ628" s="201">
        <v>8.6999999999999993</v>
      </c>
      <c r="BS628" s="201">
        <v>49.5</v>
      </c>
      <c r="BU628" s="201">
        <v>16.899999999999999</v>
      </c>
      <c r="BW628" s="201">
        <v>12.4</v>
      </c>
      <c r="BY628" s="178">
        <v>7.0999999999999943</v>
      </c>
      <c r="CC628" s="201">
        <v>7.8</v>
      </c>
      <c r="CD628" s="198">
        <v>41822</v>
      </c>
      <c r="CI628" s="174" t="s">
        <v>9347</v>
      </c>
      <c r="CL628" s="174">
        <v>3</v>
      </c>
    </row>
    <row r="629" spans="1:91">
      <c r="A629" s="191" t="s">
        <v>7704</v>
      </c>
      <c r="B629" s="192" t="s">
        <v>269</v>
      </c>
      <c r="C629" s="192" t="s">
        <v>8997</v>
      </c>
      <c r="D629" s="192" t="s">
        <v>8510</v>
      </c>
      <c r="E629" s="193">
        <v>266</v>
      </c>
      <c r="F629" s="193">
        <v>4</v>
      </c>
      <c r="K629" s="176">
        <v>5</v>
      </c>
      <c r="M629" s="197">
        <v>2.8</v>
      </c>
      <c r="N629" s="198">
        <v>41822</v>
      </c>
      <c r="S629" s="176">
        <f>(AE629*BS629)/100</f>
        <v>8.8129534662867997</v>
      </c>
      <c r="T629" s="198"/>
      <c r="U629" s="176">
        <v>16.2</v>
      </c>
      <c r="Y629" s="200">
        <f>(AE629*BU629)/100</f>
        <v>3.0479582146248809</v>
      </c>
      <c r="Z629" s="198"/>
      <c r="AA629" s="200"/>
      <c r="AB629" s="198"/>
      <c r="AC629" s="378">
        <f t="shared" si="9"/>
        <v>15.849382716049382</v>
      </c>
      <c r="AE629" s="176">
        <f>(M629/U629)*((100-CC629)/(100-9))*100</f>
        <v>17.416904083570749</v>
      </c>
      <c r="AF629" s="198">
        <v>41822</v>
      </c>
      <c r="AG629" s="176">
        <v>4.0999999999999996</v>
      </c>
      <c r="AH629" s="196">
        <v>41927</v>
      </c>
      <c r="AI629" s="176">
        <v>110</v>
      </c>
      <c r="AM629" s="176">
        <v>90</v>
      </c>
      <c r="BG629" s="201">
        <v>0.6</v>
      </c>
      <c r="BI629" s="201">
        <v>4.5999999999999996</v>
      </c>
      <c r="BK629" s="201">
        <v>1.6</v>
      </c>
      <c r="BM629" s="201">
        <v>57.1</v>
      </c>
      <c r="BO629" s="201">
        <v>19.100000000000001</v>
      </c>
      <c r="BQ629" s="201">
        <v>8.5</v>
      </c>
      <c r="BS629" s="201">
        <v>50.6</v>
      </c>
      <c r="BU629" s="201">
        <v>17.5</v>
      </c>
      <c r="BW629" s="201">
        <v>22.4</v>
      </c>
      <c r="BY629" s="178">
        <v>7.2000000000000028</v>
      </c>
      <c r="CC629" s="201">
        <v>8.3000000000000007</v>
      </c>
      <c r="CD629" s="198">
        <v>41822</v>
      </c>
      <c r="CI629" s="174" t="s">
        <v>9385</v>
      </c>
      <c r="CL629" s="174">
        <v>5</v>
      </c>
    </row>
    <row r="630" spans="1:91">
      <c r="A630" s="191" t="s">
        <v>7669</v>
      </c>
      <c r="B630" s="192" t="s">
        <v>269</v>
      </c>
      <c r="C630" s="192" t="s">
        <v>8997</v>
      </c>
      <c r="D630" s="192" t="s">
        <v>8370</v>
      </c>
      <c r="E630" s="193">
        <v>266</v>
      </c>
      <c r="F630" s="193">
        <v>5</v>
      </c>
      <c r="K630" s="176">
        <v>8</v>
      </c>
      <c r="M630" s="197">
        <v>3.8</v>
      </c>
      <c r="N630" s="198">
        <v>41822</v>
      </c>
      <c r="S630" s="176">
        <f>(AE630*BS630)/100</f>
        <v>12.417663817663815</v>
      </c>
      <c r="T630" s="198"/>
      <c r="U630" s="176">
        <v>16.2</v>
      </c>
      <c r="Y630" s="200">
        <f>(AE630*BU630)/100</f>
        <v>3.8595441595441593</v>
      </c>
      <c r="Z630" s="198"/>
      <c r="AA630" s="200"/>
      <c r="AB630" s="198"/>
      <c r="AC630" s="378">
        <f t="shared" si="9"/>
        <v>21.814814814814813</v>
      </c>
      <c r="AE630" s="176">
        <f>(M630/U630)*((100-CC630)/(100-9))*100</f>
        <v>23.97232397232397</v>
      </c>
      <c r="AF630" s="198">
        <v>41822</v>
      </c>
      <c r="AG630" s="176">
        <v>4.5</v>
      </c>
      <c r="AH630" s="196">
        <v>41927</v>
      </c>
      <c r="AI630" s="176">
        <v>130</v>
      </c>
      <c r="AM630" s="176">
        <v>78</v>
      </c>
      <c r="BG630" s="201">
        <v>0</v>
      </c>
      <c r="BI630" s="201">
        <v>4.5999999999999996</v>
      </c>
      <c r="BK630" s="201">
        <v>1.7</v>
      </c>
      <c r="BM630" s="201">
        <v>63.9</v>
      </c>
      <c r="BO630" s="201">
        <v>20</v>
      </c>
      <c r="BQ630" s="201">
        <v>8</v>
      </c>
      <c r="BS630" s="201">
        <v>51.8</v>
      </c>
      <c r="BU630" s="201">
        <v>16.100000000000001</v>
      </c>
      <c r="BW630" s="201">
        <v>13.4</v>
      </c>
      <c r="BY630" s="178">
        <v>6.2999999999999972</v>
      </c>
      <c r="CC630" s="201">
        <v>7</v>
      </c>
      <c r="CD630" s="198">
        <v>41822</v>
      </c>
      <c r="CI630" s="174" t="s">
        <v>9362</v>
      </c>
      <c r="CL630" s="174">
        <v>1</v>
      </c>
    </row>
    <row r="631" spans="1:91">
      <c r="A631" s="202" t="s">
        <v>7762</v>
      </c>
      <c r="B631" s="203" t="s">
        <v>269</v>
      </c>
      <c r="C631" s="203" t="s">
        <v>8997</v>
      </c>
      <c r="D631" s="203" t="s">
        <v>8742</v>
      </c>
      <c r="E631" s="204">
        <v>266</v>
      </c>
      <c r="F631" s="204">
        <v>6</v>
      </c>
      <c r="G631" s="204"/>
      <c r="H631" s="204"/>
      <c r="I631" s="206"/>
      <c r="J631" s="206"/>
      <c r="K631" s="177">
        <v>8</v>
      </c>
      <c r="L631" s="207"/>
      <c r="M631" s="208">
        <v>0.35</v>
      </c>
      <c r="N631" s="209">
        <v>41822</v>
      </c>
      <c r="O631" s="183"/>
      <c r="P631" s="210"/>
      <c r="Q631" s="183"/>
      <c r="R631" s="210"/>
      <c r="S631" s="177">
        <f>(AE631*BS631)/100</f>
        <v>1.0894230769230768</v>
      </c>
      <c r="T631" s="209"/>
      <c r="U631" s="177">
        <v>16.2</v>
      </c>
      <c r="V631" s="210"/>
      <c r="W631" s="183"/>
      <c r="X631" s="210"/>
      <c r="Y631" s="213">
        <f>(AE631*BU631)/100</f>
        <v>0.40275641025641024</v>
      </c>
      <c r="Z631" s="209"/>
      <c r="AA631" s="213"/>
      <c r="AB631" s="209"/>
      <c r="AC631" s="378">
        <f t="shared" si="9"/>
        <v>2.0027777777777778</v>
      </c>
      <c r="AD631" s="207"/>
      <c r="AE631" s="177">
        <f>(M631/U631)*((100-CC631)/(100-9))*100</f>
        <v>2.2008547008547006</v>
      </c>
      <c r="AF631" s="209">
        <v>41822</v>
      </c>
      <c r="AG631" s="177">
        <v>4.8</v>
      </c>
      <c r="AH631" s="207">
        <v>41927</v>
      </c>
      <c r="AI631" s="177">
        <v>10</v>
      </c>
      <c r="AJ631" s="207"/>
      <c r="AK631" s="183"/>
      <c r="AL631" s="210"/>
      <c r="AM631" s="177">
        <v>86</v>
      </c>
      <c r="AN631" s="210"/>
      <c r="AO631" s="183"/>
      <c r="AP631" s="183"/>
      <c r="AQ631" s="183"/>
      <c r="AR631" s="183"/>
      <c r="AS631" s="183"/>
      <c r="AT631" s="183"/>
      <c r="AU631" s="183"/>
      <c r="AV631" s="183"/>
      <c r="AW631" s="183"/>
      <c r="AX631" s="183"/>
      <c r="AY631" s="183"/>
      <c r="AZ631" s="183"/>
      <c r="BA631" s="183"/>
      <c r="BB631" s="183"/>
      <c r="BC631" s="183"/>
      <c r="BD631" s="183"/>
      <c r="BE631" s="182"/>
      <c r="BF631" s="182"/>
      <c r="BG631" s="211">
        <v>0</v>
      </c>
      <c r="BH631" s="181"/>
      <c r="BI631" s="211">
        <v>4.7</v>
      </c>
      <c r="BJ631" s="181"/>
      <c r="BK631" s="211">
        <v>1.5</v>
      </c>
      <c r="BL631" s="181"/>
      <c r="BM631" s="211">
        <v>61.6</v>
      </c>
      <c r="BN631" s="181"/>
      <c r="BO631" s="211">
        <v>19.8</v>
      </c>
      <c r="BP631" s="181"/>
      <c r="BQ631" s="211">
        <v>9.1999999999999993</v>
      </c>
      <c r="BR631" s="181"/>
      <c r="BS631" s="211">
        <v>49.5</v>
      </c>
      <c r="BT631" s="181"/>
      <c r="BU631" s="211">
        <v>18.3</v>
      </c>
      <c r="BV631" s="181"/>
      <c r="BW631" s="211">
        <v>23.6</v>
      </c>
      <c r="BX631" s="181"/>
      <c r="BY631" s="181">
        <v>7.0999999999999943</v>
      </c>
      <c r="BZ631" s="181"/>
      <c r="CA631" s="182"/>
      <c r="CB631" s="182"/>
      <c r="CC631" s="211">
        <v>7.3</v>
      </c>
      <c r="CD631" s="209">
        <v>41822</v>
      </c>
      <c r="CE631" s="181"/>
      <c r="CF631" s="181"/>
      <c r="CG631" s="182"/>
      <c r="CH631" s="182"/>
      <c r="CI631" s="175" t="s">
        <v>9367</v>
      </c>
      <c r="CJ631" s="181"/>
      <c r="CK631" s="181"/>
      <c r="CL631" s="175">
        <v>9</v>
      </c>
      <c r="CM631" s="175"/>
    </row>
    <row r="632" spans="1:91">
      <c r="A632" s="191" t="s">
        <v>7664</v>
      </c>
      <c r="B632" s="192" t="s">
        <v>271</v>
      </c>
      <c r="C632" s="192" t="s">
        <v>8999</v>
      </c>
      <c r="D632" s="192" t="s">
        <v>8352</v>
      </c>
      <c r="E632" s="193">
        <v>266</v>
      </c>
      <c r="F632" s="193">
        <v>7</v>
      </c>
      <c r="K632" s="176">
        <v>8</v>
      </c>
      <c r="M632" s="197">
        <v>6.65</v>
      </c>
      <c r="N632" s="198">
        <v>41822</v>
      </c>
      <c r="S632" s="176">
        <f>(AE632*BS632)/100</f>
        <v>19.664729344729345</v>
      </c>
      <c r="T632" s="198"/>
      <c r="U632" s="176">
        <v>16.2</v>
      </c>
      <c r="Y632" s="200">
        <f>(AE632*BU632)/100</f>
        <v>7.1582905982905993</v>
      </c>
      <c r="Z632" s="198"/>
      <c r="AA632" s="200"/>
      <c r="AB632" s="198"/>
      <c r="AC632" s="378">
        <f t="shared" si="9"/>
        <v>37.437037037037044</v>
      </c>
      <c r="AE632" s="176">
        <f>(M632/U632)*((100-CC632)/(100-9))*100</f>
        <v>41.139601139601147</v>
      </c>
      <c r="AF632" s="198">
        <v>41822</v>
      </c>
      <c r="AG632" s="176">
        <v>4.4000000000000004</v>
      </c>
      <c r="AH632" s="196">
        <v>41927</v>
      </c>
      <c r="AI632" s="176">
        <v>155</v>
      </c>
      <c r="AM632" s="176">
        <v>87</v>
      </c>
      <c r="BG632" s="201">
        <v>3.9</v>
      </c>
      <c r="BI632" s="201">
        <v>4.5999999999999996</v>
      </c>
      <c r="BK632" s="201">
        <v>1.8</v>
      </c>
      <c r="BM632" s="201">
        <v>67.099999999999994</v>
      </c>
      <c r="BO632" s="201">
        <v>19.100000000000001</v>
      </c>
      <c r="BQ632" s="201">
        <v>6.1</v>
      </c>
      <c r="BS632" s="201">
        <v>47.8</v>
      </c>
      <c r="BU632" s="201">
        <v>17.399999999999999</v>
      </c>
      <c r="BW632" s="201">
        <v>6.4</v>
      </c>
      <c r="BY632" s="178">
        <v>7.2999999999999972</v>
      </c>
      <c r="CC632" s="201">
        <v>8.8000000000000007</v>
      </c>
      <c r="CD632" s="198">
        <v>41822</v>
      </c>
      <c r="CI632" s="174" t="s">
        <v>9352</v>
      </c>
      <c r="CL632" s="174">
        <v>1</v>
      </c>
    </row>
    <row r="633" spans="1:91">
      <c r="A633" s="191" t="s">
        <v>7786</v>
      </c>
      <c r="B633" s="192" t="s">
        <v>271</v>
      </c>
      <c r="C633" s="192" t="s">
        <v>8999</v>
      </c>
      <c r="D633" s="192" t="s">
        <v>8840</v>
      </c>
      <c r="E633" s="193">
        <v>266</v>
      </c>
      <c r="F633" s="193">
        <v>8</v>
      </c>
      <c r="K633" s="176">
        <v>8</v>
      </c>
      <c r="M633" s="197">
        <v>5.4</v>
      </c>
      <c r="N633" s="198">
        <v>41822</v>
      </c>
      <c r="S633" s="176">
        <f>(AE633*BS633)/100</f>
        <v>17.330036630036631</v>
      </c>
      <c r="T633" s="198"/>
      <c r="U633" s="176">
        <v>16.2</v>
      </c>
      <c r="Y633" s="200">
        <f>(AE633*BU633)/100</f>
        <v>5.8223443223443221</v>
      </c>
      <c r="Z633" s="198"/>
      <c r="AA633" s="200"/>
      <c r="AB633" s="198"/>
      <c r="AC633" s="378">
        <f t="shared" si="9"/>
        <v>31.166666666666671</v>
      </c>
      <c r="AE633" s="176">
        <f>(M633/U633)*((100-CC633)/(100-9))*100</f>
        <v>34.249084249084248</v>
      </c>
      <c r="AF633" s="198">
        <v>41822</v>
      </c>
      <c r="AG633" s="176">
        <v>4.3</v>
      </c>
      <c r="AH633" s="196">
        <v>41927</v>
      </c>
      <c r="AI633" s="176">
        <v>145</v>
      </c>
      <c r="AM633" s="176">
        <v>84</v>
      </c>
      <c r="BG633" s="201">
        <v>1.1000000000000001</v>
      </c>
      <c r="BI633" s="201">
        <v>4.5</v>
      </c>
      <c r="BK633" s="201">
        <v>1.7</v>
      </c>
      <c r="BM633" s="201">
        <v>66.2</v>
      </c>
      <c r="BO633" s="201">
        <v>19.7</v>
      </c>
      <c r="BQ633" s="201">
        <v>7.5</v>
      </c>
      <c r="BS633" s="201">
        <v>50.6</v>
      </c>
      <c r="BU633" s="201">
        <v>17</v>
      </c>
      <c r="BW633" s="201">
        <v>10.3</v>
      </c>
      <c r="BY633" s="178">
        <v>6.2999999999999972</v>
      </c>
      <c r="CC633" s="201">
        <v>6.5</v>
      </c>
      <c r="CD633" s="198">
        <v>41822</v>
      </c>
      <c r="CI633" s="174" t="s">
        <v>9346</v>
      </c>
      <c r="CL633" s="174" t="s">
        <v>9001</v>
      </c>
    </row>
    <row r="634" spans="1:91">
      <c r="A634" s="191" t="s">
        <v>7674</v>
      </c>
      <c r="B634" s="192" t="s">
        <v>271</v>
      </c>
      <c r="C634" s="192" t="s">
        <v>8999</v>
      </c>
      <c r="D634" s="192" t="s">
        <v>8392</v>
      </c>
      <c r="E634" s="193">
        <v>266</v>
      </c>
      <c r="F634" s="193">
        <v>9</v>
      </c>
      <c r="K634" s="176">
        <v>6</v>
      </c>
      <c r="M634" s="197">
        <v>5.4</v>
      </c>
      <c r="N634" s="198">
        <v>41822</v>
      </c>
      <c r="S634" s="176">
        <f>(AE634*BS634)/100</f>
        <v>17.048681318681322</v>
      </c>
      <c r="T634" s="198"/>
      <c r="U634" s="176">
        <v>16.2</v>
      </c>
      <c r="Y634" s="200">
        <f>(AE634*BU634)/100</f>
        <v>5.9210989010989019</v>
      </c>
      <c r="Z634" s="198"/>
      <c r="AA634" s="200"/>
      <c r="AB634" s="198"/>
      <c r="AC634" s="378">
        <f t="shared" si="9"/>
        <v>30.966666666666672</v>
      </c>
      <c r="AE634" s="176">
        <f>(M634/U634)*((100-CC634)/(100-9))*100</f>
        <v>34.029304029304036</v>
      </c>
      <c r="AF634" s="198">
        <v>41822</v>
      </c>
      <c r="AG634" s="176">
        <v>4.9000000000000004</v>
      </c>
      <c r="AH634" s="196">
        <v>41927</v>
      </c>
      <c r="AI634" s="176">
        <v>165</v>
      </c>
      <c r="AM634" s="176">
        <v>86</v>
      </c>
      <c r="BG634" s="201">
        <v>0</v>
      </c>
      <c r="BI634" s="201">
        <v>4.5999999999999996</v>
      </c>
      <c r="BK634" s="201">
        <v>1.6</v>
      </c>
      <c r="BM634" s="201">
        <v>63.9</v>
      </c>
      <c r="BO634" s="201">
        <v>20.3</v>
      </c>
      <c r="BQ634" s="201">
        <v>7.6</v>
      </c>
      <c r="BS634" s="201">
        <v>50.1</v>
      </c>
      <c r="BU634" s="201">
        <v>17.399999999999999</v>
      </c>
      <c r="BW634" s="201">
        <v>12.3</v>
      </c>
      <c r="BY634" s="178">
        <v>6.5999999999999943</v>
      </c>
      <c r="CC634" s="201">
        <v>7.1</v>
      </c>
      <c r="CD634" s="198">
        <v>41822</v>
      </c>
      <c r="CI634" s="174" t="s">
        <v>9354</v>
      </c>
      <c r="CL634" s="174">
        <v>2</v>
      </c>
    </row>
    <row r="635" spans="1:91">
      <c r="A635" s="191" t="s">
        <v>7682</v>
      </c>
      <c r="B635" s="192" t="s">
        <v>271</v>
      </c>
      <c r="C635" s="192" t="s">
        <v>8999</v>
      </c>
      <c r="D635" s="192" t="s">
        <v>8424</v>
      </c>
      <c r="E635" s="193">
        <v>266</v>
      </c>
      <c r="F635" s="193">
        <v>10</v>
      </c>
      <c r="K635" s="176">
        <v>8</v>
      </c>
      <c r="M635" s="197">
        <v>4.95</v>
      </c>
      <c r="N635" s="198">
        <v>41822</v>
      </c>
      <c r="S635" s="176">
        <f>(AE635*BS635)/100</f>
        <v>15.488644688644689</v>
      </c>
      <c r="T635" s="198"/>
      <c r="U635" s="176">
        <v>16.2</v>
      </c>
      <c r="Y635" s="200">
        <f>(AE635*BU635)/100</f>
        <v>5.4647435897435903</v>
      </c>
      <c r="Z635" s="198"/>
      <c r="AA635" s="200"/>
      <c r="AB635" s="198"/>
      <c r="AC635" s="378">
        <f t="shared" si="9"/>
        <v>28.416666666666668</v>
      </c>
      <c r="AE635" s="176">
        <f>(M635/U635)*((100-CC635)/(100-9))*100</f>
        <v>31.227106227106226</v>
      </c>
      <c r="AF635" s="198">
        <v>41822</v>
      </c>
      <c r="AG635" s="176">
        <v>4.4000000000000004</v>
      </c>
      <c r="AH635" s="196">
        <v>41927</v>
      </c>
      <c r="AI635" s="176">
        <v>135</v>
      </c>
      <c r="AM635" s="176">
        <v>79</v>
      </c>
      <c r="BG635" s="201">
        <v>0</v>
      </c>
      <c r="BI635" s="201">
        <v>4.4000000000000004</v>
      </c>
      <c r="BK635" s="201">
        <v>1.7</v>
      </c>
      <c r="BM635" s="201">
        <v>65.2</v>
      </c>
      <c r="BO635" s="201">
        <v>19</v>
      </c>
      <c r="BQ635" s="201">
        <v>7.5</v>
      </c>
      <c r="BS635" s="201">
        <v>49.6</v>
      </c>
      <c r="BU635" s="201">
        <v>17.5</v>
      </c>
      <c r="BW635" s="201">
        <v>10.7</v>
      </c>
      <c r="BY635" s="178">
        <v>6.4000000000000057</v>
      </c>
      <c r="CC635" s="201">
        <v>7</v>
      </c>
      <c r="CD635" s="198">
        <v>41822</v>
      </c>
      <c r="CI635" s="174" t="s">
        <v>9376</v>
      </c>
      <c r="CL635" s="174">
        <v>4</v>
      </c>
    </row>
    <row r="636" spans="1:91">
      <c r="A636" s="202" t="s">
        <v>7655</v>
      </c>
      <c r="B636" s="203" t="s">
        <v>271</v>
      </c>
      <c r="C636" s="203" t="s">
        <v>8999</v>
      </c>
      <c r="D636" s="203" t="s">
        <v>8316</v>
      </c>
      <c r="E636" s="204">
        <v>266</v>
      </c>
      <c r="F636" s="204">
        <v>11</v>
      </c>
      <c r="G636" s="204"/>
      <c r="H636" s="204"/>
      <c r="I636" s="206"/>
      <c r="J636" s="206"/>
      <c r="K636" s="177">
        <v>9</v>
      </c>
      <c r="L636" s="207"/>
      <c r="M636" s="208">
        <v>0.55000000000000004</v>
      </c>
      <c r="N636" s="209">
        <v>41822</v>
      </c>
      <c r="O636" s="183"/>
      <c r="P636" s="210"/>
      <c r="Q636" s="183"/>
      <c r="R636" s="210"/>
      <c r="S636" s="177">
        <f>(AE636*BS636)/100</f>
        <v>1.5548039614706284</v>
      </c>
      <c r="T636" s="209"/>
      <c r="U636" s="177">
        <v>16.2</v>
      </c>
      <c r="V636" s="210"/>
      <c r="W636" s="183"/>
      <c r="X636" s="210"/>
      <c r="Y636" s="213">
        <f>(AE636*BU636)/100</f>
        <v>0.71204517704517711</v>
      </c>
      <c r="Z636" s="209"/>
      <c r="AA636" s="213"/>
      <c r="AB636" s="209"/>
      <c r="AC636" s="378">
        <f t="shared" si="9"/>
        <v>3.1302469135802475</v>
      </c>
      <c r="AD636" s="207"/>
      <c r="AE636" s="177">
        <f>(M636/U636)*((100-CC636)/(100-9))*100</f>
        <v>3.4398317731651069</v>
      </c>
      <c r="AF636" s="209">
        <v>41822</v>
      </c>
      <c r="AG636" s="177">
        <v>4.2</v>
      </c>
      <c r="AH636" s="207">
        <v>41927</v>
      </c>
      <c r="AI636" s="177">
        <v>20</v>
      </c>
      <c r="AJ636" s="207"/>
      <c r="AK636" s="183"/>
      <c r="AL636" s="210"/>
      <c r="AM636" s="177">
        <v>87</v>
      </c>
      <c r="AN636" s="210"/>
      <c r="AO636" s="183"/>
      <c r="AP636" s="183"/>
      <c r="AQ636" s="183"/>
      <c r="AR636" s="183"/>
      <c r="AS636" s="183"/>
      <c r="AT636" s="183"/>
      <c r="AU636" s="183"/>
      <c r="AV636" s="183"/>
      <c r="AW636" s="183"/>
      <c r="AX636" s="183"/>
      <c r="AY636" s="183"/>
      <c r="AZ636" s="183"/>
      <c r="BA636" s="183"/>
      <c r="BB636" s="183"/>
      <c r="BC636" s="183"/>
      <c r="BD636" s="183"/>
      <c r="BE636" s="182"/>
      <c r="BF636" s="182"/>
      <c r="BG636" s="211">
        <v>2.2999999999999998</v>
      </c>
      <c r="BH636" s="181"/>
      <c r="BI636" s="211">
        <v>4.4000000000000004</v>
      </c>
      <c r="BJ636" s="181"/>
      <c r="BK636" s="211">
        <v>1.6</v>
      </c>
      <c r="BL636" s="181"/>
      <c r="BM636" s="211">
        <v>64.099999999999994</v>
      </c>
      <c r="BN636" s="181"/>
      <c r="BO636" s="211">
        <v>19.8</v>
      </c>
      <c r="BP636" s="181"/>
      <c r="BQ636" s="211">
        <v>8.8000000000000007</v>
      </c>
      <c r="BR636" s="181"/>
      <c r="BS636" s="211">
        <v>45.2</v>
      </c>
      <c r="BT636" s="181"/>
      <c r="BU636" s="211">
        <v>20.7</v>
      </c>
      <c r="BV636" s="181"/>
      <c r="BW636" s="211">
        <v>42.4</v>
      </c>
      <c r="BX636" s="181"/>
      <c r="BY636" s="181">
        <v>6.7999999999999972</v>
      </c>
      <c r="BZ636" s="181"/>
      <c r="CA636" s="182"/>
      <c r="CB636" s="182"/>
      <c r="CC636" s="211">
        <v>7.8</v>
      </c>
      <c r="CD636" s="209">
        <v>41822</v>
      </c>
      <c r="CE636" s="181"/>
      <c r="CF636" s="181"/>
      <c r="CG636" s="182"/>
      <c r="CH636" s="182"/>
      <c r="CI636" s="175" t="s">
        <v>9349</v>
      </c>
      <c r="CJ636" s="181"/>
      <c r="CK636" s="181"/>
      <c r="CL636" s="175">
        <v>9</v>
      </c>
      <c r="CM636" s="175"/>
    </row>
    <row r="637" spans="1:91">
      <c r="A637" s="191" t="s">
        <v>7708</v>
      </c>
      <c r="B637" s="192" t="s">
        <v>271</v>
      </c>
      <c r="C637" s="192" t="s">
        <v>8999</v>
      </c>
      <c r="D637" s="192" t="s">
        <v>8528</v>
      </c>
      <c r="E637" s="193">
        <v>266</v>
      </c>
      <c r="F637" s="193">
        <v>12</v>
      </c>
      <c r="K637" s="176">
        <v>6</v>
      </c>
      <c r="M637" s="197">
        <v>2.4500000000000002</v>
      </c>
      <c r="N637" s="198">
        <v>41822</v>
      </c>
      <c r="S637" s="176">
        <f>(AE637*BS637)/100</f>
        <v>6.8725142450142451</v>
      </c>
      <c r="T637" s="198"/>
      <c r="U637" s="176">
        <v>16.2</v>
      </c>
      <c r="Y637" s="200">
        <f>(AE637*BU637)/100</f>
        <v>3.0306410256410259</v>
      </c>
      <c r="Z637" s="198"/>
      <c r="AA637" s="200"/>
      <c r="AB637" s="198"/>
      <c r="AC637" s="378">
        <f t="shared" si="9"/>
        <v>13.928703703703704</v>
      </c>
      <c r="AE637" s="176">
        <f>(M637/U637)*((100-CC637)/(100-9))*100</f>
        <v>15.306267806267806</v>
      </c>
      <c r="AF637" s="198">
        <v>41822</v>
      </c>
      <c r="AG637" s="176">
        <v>3.6</v>
      </c>
      <c r="AH637" s="196">
        <v>41927</v>
      </c>
      <c r="AI637" s="176">
        <v>125</v>
      </c>
      <c r="AM637" s="176">
        <v>90</v>
      </c>
      <c r="BG637" s="201">
        <v>0</v>
      </c>
      <c r="BI637" s="201">
        <v>4.4000000000000004</v>
      </c>
      <c r="BK637" s="201">
        <v>1.7</v>
      </c>
      <c r="BM637" s="201">
        <v>66</v>
      </c>
      <c r="BO637" s="201">
        <v>19</v>
      </c>
      <c r="BQ637" s="201">
        <v>7.8</v>
      </c>
      <c r="BS637" s="201">
        <v>44.9</v>
      </c>
      <c r="BU637" s="201">
        <v>19.8</v>
      </c>
      <c r="BW637" s="201">
        <v>18.399999999999999</v>
      </c>
      <c r="BY637" s="178">
        <v>6.7000000000000028</v>
      </c>
      <c r="CC637" s="201">
        <v>7.9</v>
      </c>
      <c r="CD637" s="198">
        <v>41822</v>
      </c>
      <c r="CI637" s="174" t="s">
        <v>9402</v>
      </c>
      <c r="CL637" s="174">
        <v>1</v>
      </c>
    </row>
    <row r="638" spans="1:91">
      <c r="A638" s="191" t="s">
        <v>7773</v>
      </c>
      <c r="B638" s="192" t="s">
        <v>269</v>
      </c>
      <c r="C638" s="192" t="s">
        <v>8997</v>
      </c>
      <c r="D638" s="192" t="s">
        <v>8786</v>
      </c>
      <c r="E638" s="193">
        <v>267</v>
      </c>
      <c r="F638" s="193">
        <v>1</v>
      </c>
      <c r="K638" s="176">
        <v>7</v>
      </c>
      <c r="M638" s="197">
        <v>3.7</v>
      </c>
      <c r="N638" s="198">
        <v>41822</v>
      </c>
      <c r="S638" s="176">
        <f>(AE638*BS638)/100</f>
        <v>11.248682675349341</v>
      </c>
      <c r="T638" s="198"/>
      <c r="U638" s="176">
        <v>16.2</v>
      </c>
      <c r="Y638" s="200">
        <f>(AE638*BU638)/100</f>
        <v>4.2995997829331163</v>
      </c>
      <c r="Z638" s="198"/>
      <c r="AA638" s="200"/>
      <c r="AB638" s="198"/>
      <c r="AC638" s="378">
        <f t="shared" si="9"/>
        <v>21.149382716049384</v>
      </c>
      <c r="AE638" s="176">
        <f>(M638/U638)*((100-CC638)/(100-9))*100</f>
        <v>23.241079907746574</v>
      </c>
      <c r="AF638" s="198">
        <v>41822</v>
      </c>
      <c r="AG638" s="176">
        <v>4</v>
      </c>
      <c r="AH638" s="196">
        <v>41927</v>
      </c>
      <c r="AI638" s="176">
        <v>130</v>
      </c>
      <c r="AM638" s="176">
        <v>87</v>
      </c>
      <c r="BG638" s="201">
        <v>1.7</v>
      </c>
      <c r="BI638" s="201">
        <v>4</v>
      </c>
      <c r="BK638" s="201">
        <v>1.6</v>
      </c>
      <c r="BM638" s="201">
        <v>66.099999999999994</v>
      </c>
      <c r="BO638" s="201">
        <v>16.3</v>
      </c>
      <c r="BQ638" s="201">
        <v>7.9</v>
      </c>
      <c r="BS638" s="201">
        <v>48.4</v>
      </c>
      <c r="BU638" s="201">
        <v>18.5</v>
      </c>
      <c r="BW638" s="201">
        <v>11.1</v>
      </c>
      <c r="BY638" s="178">
        <v>7.4000000000000057</v>
      </c>
      <c r="CC638" s="201">
        <v>7.4</v>
      </c>
      <c r="CD638" s="198">
        <v>41822</v>
      </c>
      <c r="CI638" s="174" t="s">
        <v>9345</v>
      </c>
      <c r="CL638" s="174">
        <v>1</v>
      </c>
    </row>
    <row r="639" spans="1:91">
      <c r="A639" s="191" t="s">
        <v>7635</v>
      </c>
      <c r="B639" s="192" t="s">
        <v>269</v>
      </c>
      <c r="C639" s="192" t="s">
        <v>8997</v>
      </c>
      <c r="D639" s="192" t="s">
        <v>8234</v>
      </c>
      <c r="E639" s="193">
        <v>267</v>
      </c>
      <c r="F639" s="193">
        <v>2</v>
      </c>
      <c r="K639" s="176">
        <v>7</v>
      </c>
      <c r="M639" s="197">
        <v>0.5</v>
      </c>
      <c r="N639" s="198">
        <v>41822</v>
      </c>
      <c r="S639" s="176">
        <f>(AE639*BS639)/100</f>
        <v>1.5248778998779</v>
      </c>
      <c r="T639" s="198"/>
      <c r="U639" s="176">
        <v>16.2</v>
      </c>
      <c r="Y639" s="200">
        <f>(AE639*BU639)/100</f>
        <v>0.59737484737484736</v>
      </c>
      <c r="Z639" s="198"/>
      <c r="AA639" s="200"/>
      <c r="AB639" s="198"/>
      <c r="AC639" s="378">
        <f t="shared" si="9"/>
        <v>2.8611111111111112</v>
      </c>
      <c r="AE639" s="176">
        <f>(M639/U639)*((100-CC639)/(100-9))*100</f>
        <v>3.144078144078144</v>
      </c>
      <c r="AF639" s="198">
        <v>41822</v>
      </c>
      <c r="AG639" s="176">
        <v>4.3</v>
      </c>
      <c r="AH639" s="196">
        <v>41927</v>
      </c>
      <c r="AI639" s="176">
        <v>5</v>
      </c>
      <c r="AM639" s="176">
        <v>79</v>
      </c>
      <c r="BG639" s="201">
        <v>0</v>
      </c>
      <c r="BI639" s="201">
        <v>4.2</v>
      </c>
      <c r="BK639" s="201">
        <v>1.6</v>
      </c>
      <c r="BM639" s="201">
        <v>64.3</v>
      </c>
      <c r="BO639" s="201">
        <v>18.3</v>
      </c>
      <c r="BQ639" s="201">
        <v>8.4</v>
      </c>
      <c r="BS639" s="201">
        <v>48.5</v>
      </c>
      <c r="BU639" s="201">
        <v>19</v>
      </c>
      <c r="BW639" s="201">
        <v>28.1</v>
      </c>
      <c r="BY639" s="178">
        <v>7.2000000000000028</v>
      </c>
      <c r="CC639" s="201">
        <v>7.3</v>
      </c>
      <c r="CD639" s="198">
        <v>41822</v>
      </c>
      <c r="CI639" s="174" t="s">
        <v>9349</v>
      </c>
      <c r="CL639" s="174">
        <v>9</v>
      </c>
    </row>
    <row r="640" spans="1:91">
      <c r="A640" s="191" t="s">
        <v>7724</v>
      </c>
      <c r="B640" s="192" t="s">
        <v>269</v>
      </c>
      <c r="C640" s="192" t="s">
        <v>8997</v>
      </c>
      <c r="D640" s="192" t="s">
        <v>8590</v>
      </c>
      <c r="E640" s="193">
        <v>267</v>
      </c>
      <c r="F640" s="193">
        <v>3</v>
      </c>
      <c r="K640" s="176">
        <v>7</v>
      </c>
      <c r="M640" s="197">
        <v>3.95</v>
      </c>
      <c r="N640" s="198">
        <v>41822</v>
      </c>
      <c r="S640" s="176">
        <f>(AE640*BS640)/100</f>
        <v>12.500348663681997</v>
      </c>
      <c r="T640" s="198"/>
      <c r="U640" s="176">
        <v>16.2</v>
      </c>
      <c r="Y640" s="200">
        <f>(AE640*BU640)/100</f>
        <v>4.1503133903133902</v>
      </c>
      <c r="Z640" s="198"/>
      <c r="AA640" s="200"/>
      <c r="AB640" s="198"/>
      <c r="AC640" s="378">
        <f t="shared" si="9"/>
        <v>22.480864197530867</v>
      </c>
      <c r="AE640" s="176">
        <f>(M640/U640)*((100-CC640)/(100-9))*100</f>
        <v>24.704246370913037</v>
      </c>
      <c r="AF640" s="198">
        <v>41822</v>
      </c>
      <c r="AG640" s="176">
        <v>5.2</v>
      </c>
      <c r="AH640" s="196">
        <v>41927</v>
      </c>
      <c r="AI640" s="176">
        <v>145</v>
      </c>
      <c r="AM640" s="176">
        <v>84</v>
      </c>
      <c r="BG640" s="201">
        <v>0</v>
      </c>
      <c r="BI640" s="201">
        <v>4.9000000000000004</v>
      </c>
      <c r="BK640" s="201">
        <v>1.6</v>
      </c>
      <c r="BM640" s="201">
        <v>63.2</v>
      </c>
      <c r="BO640" s="201">
        <v>21.1</v>
      </c>
      <c r="BQ640" s="201">
        <v>7.9</v>
      </c>
      <c r="BS640" s="201">
        <v>50.6</v>
      </c>
      <c r="BU640" s="201">
        <v>16.8</v>
      </c>
      <c r="BW640" s="201">
        <v>9.3000000000000007</v>
      </c>
      <c r="BY640" s="178">
        <v>7.2000000000000028</v>
      </c>
      <c r="CC640" s="201">
        <v>7.8</v>
      </c>
      <c r="CD640" s="198">
        <v>41822</v>
      </c>
      <c r="CI640" s="174" t="s">
        <v>9347</v>
      </c>
      <c r="CL640" s="174">
        <v>1</v>
      </c>
    </row>
    <row r="641" spans="1:90">
      <c r="A641" s="191" t="s">
        <v>7666</v>
      </c>
      <c r="B641" s="192" t="s">
        <v>269</v>
      </c>
      <c r="C641" s="192" t="s">
        <v>8997</v>
      </c>
      <c r="D641" s="192" t="s">
        <v>8358</v>
      </c>
      <c r="E641" s="193">
        <v>267</v>
      </c>
      <c r="F641" s="193">
        <v>4</v>
      </c>
      <c r="K641" s="176">
        <v>6</v>
      </c>
      <c r="M641" s="197">
        <v>2.75</v>
      </c>
      <c r="N641" s="198">
        <v>41822</v>
      </c>
      <c r="S641" s="176">
        <f>(AE641*BS641)/100</f>
        <v>8.5215303215303209</v>
      </c>
      <c r="T641" s="198"/>
      <c r="U641" s="176">
        <v>16.2</v>
      </c>
      <c r="Y641" s="200">
        <f>(AE641*BU641)/100</f>
        <v>2.8691442816442816</v>
      </c>
      <c r="Z641" s="198"/>
      <c r="AA641" s="200"/>
      <c r="AB641" s="198"/>
      <c r="AC641" s="378">
        <f t="shared" si="9"/>
        <v>15.63425925925926</v>
      </c>
      <c r="AE641" s="176">
        <f>(M641/U641)*((100-CC641)/(100-9))*100</f>
        <v>17.180504680504679</v>
      </c>
      <c r="AF641" s="198">
        <v>41822</v>
      </c>
      <c r="AG641" s="176">
        <v>5</v>
      </c>
      <c r="AH641" s="196">
        <v>41927</v>
      </c>
      <c r="AI641" s="176">
        <v>115</v>
      </c>
      <c r="AM641" s="176">
        <v>78</v>
      </c>
      <c r="BG641" s="201">
        <v>0</v>
      </c>
      <c r="BI641" s="201">
        <v>4.7</v>
      </c>
      <c r="BK641" s="201">
        <v>1.7</v>
      </c>
      <c r="BM641" s="201">
        <v>62.4</v>
      </c>
      <c r="BO641" s="201">
        <v>20</v>
      </c>
      <c r="BQ641" s="201">
        <v>7.9</v>
      </c>
      <c r="BS641" s="201">
        <v>49.6</v>
      </c>
      <c r="BU641" s="201">
        <v>16.7</v>
      </c>
      <c r="BW641" s="201">
        <v>8.8000000000000007</v>
      </c>
      <c r="BY641" s="178">
        <v>7.0999999999999943</v>
      </c>
      <c r="CC641" s="201">
        <v>7.9</v>
      </c>
      <c r="CD641" s="198">
        <v>41822</v>
      </c>
      <c r="CI641" s="174" t="s">
        <v>9367</v>
      </c>
      <c r="CL641" s="174">
        <v>4</v>
      </c>
    </row>
    <row r="642" spans="1:90">
      <c r="A642" s="191" t="s">
        <v>7733</v>
      </c>
      <c r="B642" s="192" t="s">
        <v>269</v>
      </c>
      <c r="C642" s="192" t="s">
        <v>8997</v>
      </c>
      <c r="D642" s="192" t="s">
        <v>8626</v>
      </c>
      <c r="E642" s="193">
        <v>267</v>
      </c>
      <c r="F642" s="193">
        <v>5</v>
      </c>
      <c r="K642" s="176">
        <v>8</v>
      </c>
      <c r="M642" s="197">
        <v>2.4500000000000002</v>
      </c>
      <c r="N642" s="198">
        <v>41822</v>
      </c>
      <c r="S642" s="176">
        <f>(AE642*BS642)/100</f>
        <v>7.6248812915479585</v>
      </c>
      <c r="T642" s="198"/>
      <c r="U642" s="176">
        <v>16.2</v>
      </c>
      <c r="Y642" s="200">
        <f>(AE642*BU642)/100</f>
        <v>2.6748575498575495</v>
      </c>
      <c r="Z642" s="198"/>
      <c r="AA642" s="200"/>
      <c r="AB642" s="198"/>
      <c r="AC642" s="378">
        <f t="shared" si="9"/>
        <v>13.989197530864198</v>
      </c>
      <c r="AE642" s="176">
        <f>(M642/U642)*((100-CC642)/(100-9))*100</f>
        <v>15.372744539411206</v>
      </c>
      <c r="AF642" s="198">
        <v>41822</v>
      </c>
      <c r="AG642" s="176">
        <v>4.5999999999999996</v>
      </c>
      <c r="AH642" s="196">
        <v>41927</v>
      </c>
      <c r="AI642" s="176">
        <v>125</v>
      </c>
      <c r="AM642" s="176">
        <v>87</v>
      </c>
      <c r="BG642" s="201">
        <v>0</v>
      </c>
      <c r="BI642" s="201">
        <v>4.7</v>
      </c>
      <c r="BK642" s="201">
        <v>1.7</v>
      </c>
      <c r="BM642" s="201">
        <v>62</v>
      </c>
      <c r="BO642" s="201">
        <v>20.6</v>
      </c>
      <c r="BQ642" s="201">
        <v>8.8000000000000007</v>
      </c>
      <c r="BS642" s="201">
        <v>49.6</v>
      </c>
      <c r="BU642" s="201">
        <v>17.399999999999999</v>
      </c>
      <c r="BW642" s="201">
        <v>6.2</v>
      </c>
      <c r="BY642" s="178">
        <v>6.7999999999999972</v>
      </c>
      <c r="CC642" s="201">
        <v>7.5</v>
      </c>
      <c r="CD642" s="198">
        <v>41822</v>
      </c>
      <c r="CI642" s="174" t="s">
        <v>9382</v>
      </c>
      <c r="CL642" s="174">
        <v>6</v>
      </c>
    </row>
    <row r="643" spans="1:90">
      <c r="A643" s="191" t="s">
        <v>7808</v>
      </c>
      <c r="B643" s="192" t="s">
        <v>269</v>
      </c>
      <c r="C643" s="192" t="s">
        <v>8997</v>
      </c>
      <c r="D643" s="192" t="s">
        <v>8926</v>
      </c>
      <c r="E643" s="193">
        <v>267</v>
      </c>
      <c r="F643" s="193">
        <v>6</v>
      </c>
      <c r="K643" s="176">
        <v>7</v>
      </c>
      <c r="M643" s="197">
        <v>4.7</v>
      </c>
      <c r="N643" s="198">
        <v>41822</v>
      </c>
      <c r="S643" s="176">
        <f>(AE643*BS643)/100</f>
        <v>15.243086419753086</v>
      </c>
      <c r="T643" s="198"/>
      <c r="U643" s="176">
        <v>16.2</v>
      </c>
      <c r="Y643" s="200">
        <f>(AE643*BU643)/100</f>
        <v>5.0614109347442682</v>
      </c>
      <c r="Z643" s="198"/>
      <c r="AA643" s="200"/>
      <c r="AB643" s="198"/>
      <c r="AC643" s="378">
        <f t="shared" ref="AC643:AC706" si="10">(M643/16.2)*(100-CC643)</f>
        <v>26.778395061728396</v>
      </c>
      <c r="AE643" s="176">
        <f>(M643/U643)*((100-CC643)/(100-9))*100</f>
        <v>29.426807760141095</v>
      </c>
      <c r="AF643" s="198">
        <v>41822</v>
      </c>
      <c r="AG643" s="176">
        <v>5</v>
      </c>
      <c r="AH643" s="196">
        <v>41927</v>
      </c>
      <c r="AI643" s="176">
        <v>140</v>
      </c>
      <c r="AM643" s="176">
        <v>83</v>
      </c>
      <c r="BG643" s="201">
        <v>0</v>
      </c>
      <c r="BI643" s="201">
        <v>4.5</v>
      </c>
      <c r="BK643" s="201">
        <v>1.7</v>
      </c>
      <c r="BM643" s="201">
        <v>64.3</v>
      </c>
      <c r="BO643" s="201">
        <v>18.100000000000001</v>
      </c>
      <c r="BQ643" s="201">
        <v>9</v>
      </c>
      <c r="BS643" s="201">
        <v>51.8</v>
      </c>
      <c r="BU643" s="201">
        <v>17.2</v>
      </c>
      <c r="BW643" s="201">
        <v>16.3</v>
      </c>
      <c r="BY643" s="178">
        <v>7.4000000000000057</v>
      </c>
      <c r="CC643" s="201">
        <v>7.7</v>
      </c>
      <c r="CD643" s="198">
        <v>41822</v>
      </c>
      <c r="CI643" s="174" t="s">
        <v>9350</v>
      </c>
      <c r="CL643" s="174">
        <v>3</v>
      </c>
    </row>
    <row r="644" spans="1:90">
      <c r="A644" s="191" t="s">
        <v>7742</v>
      </c>
      <c r="B644" s="192" t="s">
        <v>271</v>
      </c>
      <c r="C644" s="192" t="s">
        <v>8999</v>
      </c>
      <c r="D644" s="192" t="s">
        <v>8664</v>
      </c>
      <c r="E644" s="193">
        <v>267</v>
      </c>
      <c r="F644" s="193">
        <v>7</v>
      </c>
      <c r="K644" s="176">
        <v>8</v>
      </c>
      <c r="M644" s="197">
        <v>3.2</v>
      </c>
      <c r="N644" s="198">
        <v>41822</v>
      </c>
      <c r="S644" s="176">
        <f>(AE644*BS644)/100</f>
        <v>9.2049382716049397</v>
      </c>
      <c r="T644" s="198"/>
      <c r="U644" s="176">
        <v>16.2</v>
      </c>
      <c r="Y644" s="200">
        <f>(AE644*BU644)/100</f>
        <v>4.0663573463573472</v>
      </c>
      <c r="Z644" s="198"/>
      <c r="AA644" s="200"/>
      <c r="AB644" s="198"/>
      <c r="AC644" s="378">
        <f t="shared" si="10"/>
        <v>18.409876543209879</v>
      </c>
      <c r="AE644" s="176">
        <f>(M644/U644)*((100-CC644)/(100-9))*100</f>
        <v>20.230633563966901</v>
      </c>
      <c r="AF644" s="198">
        <v>41822</v>
      </c>
      <c r="AG644" s="176">
        <v>4.5</v>
      </c>
      <c r="AH644" s="196">
        <v>41927</v>
      </c>
      <c r="AI644" s="176">
        <v>100</v>
      </c>
      <c r="AM644" s="176">
        <v>92</v>
      </c>
      <c r="BG644" s="201">
        <v>51.1</v>
      </c>
      <c r="BI644" s="201">
        <v>4.3</v>
      </c>
      <c r="BK644" s="201">
        <v>0.8</v>
      </c>
      <c r="BM644" s="201">
        <v>35.6</v>
      </c>
      <c r="BO644" s="201">
        <v>16.3</v>
      </c>
      <c r="BQ644" s="201">
        <v>7.3</v>
      </c>
      <c r="BS644" s="201">
        <v>45.5</v>
      </c>
      <c r="BU644" s="201">
        <v>20.100000000000001</v>
      </c>
      <c r="BW644" s="201">
        <v>80.5</v>
      </c>
      <c r="BY644" s="178">
        <v>6.5</v>
      </c>
      <c r="CC644" s="201">
        <v>6.8</v>
      </c>
      <c r="CD644" s="198">
        <v>41822</v>
      </c>
      <c r="CI644" s="174" t="s">
        <v>9353</v>
      </c>
      <c r="CL644" s="174">
        <v>6</v>
      </c>
    </row>
    <row r="645" spans="1:90">
      <c r="A645" s="191" t="s">
        <v>7712</v>
      </c>
      <c r="B645" s="192" t="s">
        <v>271</v>
      </c>
      <c r="C645" s="192" t="s">
        <v>8999</v>
      </c>
      <c r="D645" s="192" t="s">
        <v>8544</v>
      </c>
      <c r="E645" s="193">
        <v>267</v>
      </c>
      <c r="F645" s="193">
        <v>8</v>
      </c>
      <c r="K645" s="176">
        <v>8</v>
      </c>
      <c r="M645" s="197">
        <v>6.35</v>
      </c>
      <c r="N645" s="198">
        <v>41822</v>
      </c>
      <c r="S645" s="176">
        <f>(AE645*BS645)/100</f>
        <v>20.013742368742367</v>
      </c>
      <c r="T645" s="198"/>
      <c r="U645" s="176">
        <v>16.2</v>
      </c>
      <c r="Y645" s="200">
        <f>(AE645*BU645)/100</f>
        <v>6.9927533577533563</v>
      </c>
      <c r="Z645" s="198"/>
      <c r="AA645" s="200"/>
      <c r="AB645" s="198"/>
      <c r="AC645" s="378">
        <f t="shared" si="10"/>
        <v>36.571296296296296</v>
      </c>
      <c r="AE645" s="176">
        <f>(M645/U645)*((100-CC645)/(100-9))*100</f>
        <v>40.188237688237685</v>
      </c>
      <c r="AF645" s="198">
        <v>41822</v>
      </c>
      <c r="AG645" s="176">
        <v>5</v>
      </c>
      <c r="AH645" s="196">
        <v>41927</v>
      </c>
      <c r="AI645" s="176">
        <v>155</v>
      </c>
      <c r="AM645" s="176">
        <v>85</v>
      </c>
      <c r="BG645" s="201">
        <v>6.6</v>
      </c>
      <c r="BI645" s="201">
        <v>4.5</v>
      </c>
      <c r="BK645" s="201">
        <v>1.5</v>
      </c>
      <c r="BM645" s="201">
        <v>66.400000000000006</v>
      </c>
      <c r="BO645" s="201">
        <v>20.3</v>
      </c>
      <c r="BQ645" s="201">
        <v>7.4</v>
      </c>
      <c r="BS645" s="201">
        <v>49.8</v>
      </c>
      <c r="BU645" s="201">
        <v>17.399999999999999</v>
      </c>
      <c r="BW645" s="201">
        <v>19.100000000000001</v>
      </c>
      <c r="BY645" s="178">
        <v>6.0999999999999943</v>
      </c>
      <c r="CC645" s="201">
        <v>6.7</v>
      </c>
      <c r="CD645" s="198">
        <v>41822</v>
      </c>
      <c r="CI645" s="174" t="s">
        <v>9375</v>
      </c>
      <c r="CL645" s="174">
        <v>2</v>
      </c>
    </row>
    <row r="646" spans="1:90">
      <c r="A646" s="191" t="s">
        <v>7641</v>
      </c>
      <c r="B646" s="192" t="s">
        <v>271</v>
      </c>
      <c r="C646" s="192" t="s">
        <v>8999</v>
      </c>
      <c r="D646" s="192" t="s">
        <v>8260</v>
      </c>
      <c r="E646" s="193">
        <v>267</v>
      </c>
      <c r="F646" s="193">
        <v>9</v>
      </c>
      <c r="K646" s="176">
        <v>8</v>
      </c>
      <c r="M646" s="197">
        <v>5.05</v>
      </c>
      <c r="N646" s="198">
        <v>41822</v>
      </c>
      <c r="S646" s="176">
        <f>(AE646*BS646)/100</f>
        <v>16.61957671957672</v>
      </c>
      <c r="T646" s="198"/>
      <c r="U646" s="176">
        <v>16.2</v>
      </c>
      <c r="Y646" s="200">
        <f>(AE646*BU646)/100</f>
        <v>5.8488125763125769</v>
      </c>
      <c r="Z646" s="198"/>
      <c r="AA646" s="200"/>
      <c r="AB646" s="198"/>
      <c r="AC646" s="378">
        <f t="shared" si="10"/>
        <v>29.084259259259259</v>
      </c>
      <c r="AE646" s="176">
        <f>(M646/U646)*((100-CC646)/(100-9))*100</f>
        <v>31.96072446072446</v>
      </c>
      <c r="AF646" s="198">
        <v>41822</v>
      </c>
      <c r="AG646" s="176">
        <v>4.8</v>
      </c>
      <c r="AH646" s="196">
        <v>41927</v>
      </c>
      <c r="AI646" s="176">
        <v>165</v>
      </c>
      <c r="AM646" s="176">
        <v>87</v>
      </c>
      <c r="BG646" s="201">
        <v>51.4</v>
      </c>
      <c r="BI646" s="201">
        <v>3.9</v>
      </c>
      <c r="BK646" s="201">
        <v>0.9</v>
      </c>
      <c r="BM646" s="201">
        <v>26.2</v>
      </c>
      <c r="BO646" s="201">
        <v>13.7</v>
      </c>
      <c r="BQ646" s="201">
        <v>8.4</v>
      </c>
      <c r="BS646" s="201">
        <v>52</v>
      </c>
      <c r="BU646" s="201">
        <v>18.3</v>
      </c>
      <c r="BW646" s="201">
        <v>59.5</v>
      </c>
      <c r="BY646" s="178">
        <v>5.7999999999999972</v>
      </c>
      <c r="CC646" s="201">
        <v>6.7</v>
      </c>
      <c r="CD646" s="198">
        <v>41822</v>
      </c>
      <c r="CI646" s="174" t="s">
        <v>9358</v>
      </c>
      <c r="CL646" s="174">
        <v>5</v>
      </c>
    </row>
    <row r="647" spans="1:90">
      <c r="A647" s="191" t="s">
        <v>7701</v>
      </c>
      <c r="B647" s="192" t="s">
        <v>271</v>
      </c>
      <c r="C647" s="192" t="s">
        <v>8999</v>
      </c>
      <c r="D647" s="192" t="s">
        <v>8500</v>
      </c>
      <c r="E647" s="193">
        <v>267</v>
      </c>
      <c r="F647" s="193">
        <v>10</v>
      </c>
      <c r="K647" s="176">
        <v>7</v>
      </c>
      <c r="M647" s="197">
        <v>5.65</v>
      </c>
      <c r="N647" s="198">
        <v>41822</v>
      </c>
      <c r="S647" s="176">
        <f>(AE647*BS647)/100</f>
        <v>18.379631664631667</v>
      </c>
      <c r="T647" s="198"/>
      <c r="U647" s="176">
        <v>16.2</v>
      </c>
      <c r="Y647" s="200">
        <f>(AE647*BU647)/100</f>
        <v>5.9000763125763136</v>
      </c>
      <c r="Z647" s="198"/>
      <c r="AA647" s="200"/>
      <c r="AB647" s="198"/>
      <c r="AC647" s="378">
        <f t="shared" si="10"/>
        <v>32.539814814814818</v>
      </c>
      <c r="AE647" s="176">
        <f>(M647/U647)*((100-CC647)/(100-9))*100</f>
        <v>35.758038258038262</v>
      </c>
      <c r="AF647" s="198">
        <v>41822</v>
      </c>
      <c r="AG647" s="176">
        <v>4.5</v>
      </c>
      <c r="AH647" s="196">
        <v>41927</v>
      </c>
      <c r="AI647" s="176">
        <v>155</v>
      </c>
      <c r="AM647" s="176">
        <v>87</v>
      </c>
      <c r="BG647" s="201">
        <v>0.5</v>
      </c>
      <c r="BI647" s="201">
        <v>4.5</v>
      </c>
      <c r="BK647" s="201">
        <v>1.5</v>
      </c>
      <c r="BM647" s="201">
        <v>65.3</v>
      </c>
      <c r="BO647" s="201">
        <v>19.100000000000001</v>
      </c>
      <c r="BQ647" s="201">
        <v>8.1</v>
      </c>
      <c r="BS647" s="201">
        <v>51.4</v>
      </c>
      <c r="BU647" s="201">
        <v>16.5</v>
      </c>
      <c r="BW647" s="201">
        <v>15.7</v>
      </c>
      <c r="BY647" s="178">
        <v>6.5999999999999943</v>
      </c>
      <c r="CC647" s="201">
        <v>6.7</v>
      </c>
      <c r="CD647" s="198">
        <v>41822</v>
      </c>
      <c r="CI647" s="174" t="s">
        <v>9381</v>
      </c>
      <c r="CL647" s="174">
        <v>2</v>
      </c>
    </row>
    <row r="648" spans="1:90">
      <c r="A648" s="191" t="s">
        <v>7696</v>
      </c>
      <c r="B648" s="192" t="s">
        <v>271</v>
      </c>
      <c r="C648" s="192" t="s">
        <v>8999</v>
      </c>
      <c r="D648" s="192" t="s">
        <v>8480</v>
      </c>
      <c r="E648" s="193">
        <v>267</v>
      </c>
      <c r="F648" s="193">
        <v>11</v>
      </c>
      <c r="K648" s="176">
        <v>7</v>
      </c>
      <c r="M648" s="197">
        <v>5</v>
      </c>
      <c r="N648" s="198">
        <v>41822</v>
      </c>
      <c r="S648" s="176">
        <f>(AE648*BS648)/100</f>
        <v>15.678741012074349</v>
      </c>
      <c r="T648" s="198"/>
      <c r="U648" s="176">
        <v>16.2</v>
      </c>
      <c r="Y648" s="200">
        <f>(AE648*BU648)/100</f>
        <v>5.6582553249219929</v>
      </c>
      <c r="Z648" s="198"/>
      <c r="AA648" s="200"/>
      <c r="AB648" s="198"/>
      <c r="AC648" s="378">
        <f t="shared" si="10"/>
        <v>28.765432098765437</v>
      </c>
      <c r="AE648" s="176">
        <f>(M648/U648)*((100-CC648)/(100-9))*100</f>
        <v>31.610364943698283</v>
      </c>
      <c r="AF648" s="198">
        <v>41822</v>
      </c>
      <c r="AG648" s="176">
        <v>4.8</v>
      </c>
      <c r="AH648" s="196">
        <v>41927</v>
      </c>
      <c r="AI648" s="176">
        <v>145</v>
      </c>
      <c r="AM648" s="176">
        <v>84</v>
      </c>
      <c r="BG648" s="201">
        <v>0</v>
      </c>
      <c r="BI648" s="201">
        <v>4.9000000000000004</v>
      </c>
      <c r="BK648" s="201">
        <v>1.7</v>
      </c>
      <c r="BM648" s="201">
        <v>65.5</v>
      </c>
      <c r="BO648" s="201">
        <v>19.899999999999999</v>
      </c>
      <c r="BQ648" s="201">
        <v>7.6</v>
      </c>
      <c r="BS648" s="201">
        <v>49.6</v>
      </c>
      <c r="BU648" s="201">
        <v>17.899999999999999</v>
      </c>
      <c r="BW648" s="201">
        <v>16.5</v>
      </c>
      <c r="BY648" s="178">
        <v>6.5999999999999943</v>
      </c>
      <c r="CC648" s="201">
        <v>6.8</v>
      </c>
      <c r="CD648" s="198">
        <v>41822</v>
      </c>
      <c r="CI648" s="174" t="s">
        <v>9355</v>
      </c>
      <c r="CL648" s="174">
        <v>2</v>
      </c>
    </row>
    <row r="649" spans="1:90">
      <c r="A649" s="191" t="s">
        <v>7728</v>
      </c>
      <c r="B649" s="192" t="s">
        <v>271</v>
      </c>
      <c r="C649" s="192" t="s">
        <v>8999</v>
      </c>
      <c r="D649" s="192" t="s">
        <v>8608</v>
      </c>
      <c r="E649" s="193">
        <v>267</v>
      </c>
      <c r="F649" s="193">
        <v>12</v>
      </c>
      <c r="K649" s="176">
        <v>7</v>
      </c>
      <c r="M649" s="197">
        <v>6.25</v>
      </c>
      <c r="N649" s="198">
        <v>41822</v>
      </c>
      <c r="S649" s="176">
        <f>(AE649*BS649)/100</f>
        <v>19.519400352733683</v>
      </c>
      <c r="T649" s="198"/>
      <c r="U649" s="176">
        <v>16.2</v>
      </c>
      <c r="Y649" s="200">
        <f>(AE649*BU649)/100</f>
        <v>7.1913580246913575</v>
      </c>
      <c r="Z649" s="198"/>
      <c r="AA649" s="200"/>
      <c r="AB649" s="198"/>
      <c r="AC649" s="378">
        <f t="shared" si="10"/>
        <v>35.956790123456791</v>
      </c>
      <c r="AE649" s="176">
        <f>(M649/U649)*((100-CC649)/(100-9))*100</f>
        <v>39.512956179622847</v>
      </c>
      <c r="AF649" s="198">
        <v>41822</v>
      </c>
      <c r="AG649" s="176">
        <v>4.3</v>
      </c>
      <c r="AH649" s="196">
        <v>41927</v>
      </c>
      <c r="AI649" s="176">
        <v>160</v>
      </c>
      <c r="AM649" s="176">
        <v>87</v>
      </c>
      <c r="BG649" s="201">
        <v>1</v>
      </c>
      <c r="BI649" s="201">
        <v>4.5999999999999996</v>
      </c>
      <c r="BK649" s="201">
        <v>1.5</v>
      </c>
      <c r="BM649" s="201">
        <v>63.2</v>
      </c>
      <c r="BO649" s="201">
        <v>20.3</v>
      </c>
      <c r="BQ649" s="201">
        <v>9.3000000000000007</v>
      </c>
      <c r="BS649" s="201">
        <v>49.4</v>
      </c>
      <c r="BU649" s="201">
        <v>18.2</v>
      </c>
      <c r="BW649" s="201">
        <v>17.8</v>
      </c>
      <c r="BY649" s="178">
        <v>6.4000000000000057</v>
      </c>
      <c r="CC649" s="201">
        <v>6.8</v>
      </c>
      <c r="CD649" s="198">
        <v>41822</v>
      </c>
      <c r="CI649" s="174" t="s">
        <v>9355</v>
      </c>
      <c r="CL649" s="174">
        <v>1</v>
      </c>
    </row>
    <row r="650" spans="1:90">
      <c r="A650" s="191" t="s">
        <v>7682</v>
      </c>
      <c r="B650" s="192" t="s">
        <v>269</v>
      </c>
      <c r="C650" s="192" t="s">
        <v>8997</v>
      </c>
      <c r="D650" s="192" t="s">
        <v>8422</v>
      </c>
      <c r="E650" s="193">
        <v>268</v>
      </c>
      <c r="F650" s="193">
        <v>1</v>
      </c>
      <c r="K650" s="176">
        <v>7</v>
      </c>
      <c r="M650" s="197">
        <v>5</v>
      </c>
      <c r="N650" s="198">
        <v>41822</v>
      </c>
      <c r="S650" s="176">
        <f>(AE650*BS650)/100</f>
        <v>16.212861212861213</v>
      </c>
      <c r="T650" s="198"/>
      <c r="U650" s="176">
        <v>16.2</v>
      </c>
      <c r="Y650" s="200">
        <f>(AE650*BU650)/100</f>
        <v>5.0783475783475787</v>
      </c>
      <c r="Z650" s="198"/>
      <c r="AA650" s="200"/>
      <c r="AB650" s="198"/>
      <c r="AC650" s="378">
        <f t="shared" si="10"/>
        <v>28.703703703703706</v>
      </c>
      <c r="AE650" s="176">
        <f>(M650/U650)*((100-CC650)/(100-9))*100</f>
        <v>31.542531542531542</v>
      </c>
      <c r="AF650" s="198">
        <v>41822</v>
      </c>
      <c r="AG650" s="176">
        <v>4.4000000000000004</v>
      </c>
      <c r="AH650" s="196">
        <v>41927</v>
      </c>
      <c r="AI650" s="176">
        <v>140</v>
      </c>
      <c r="AM650" s="176">
        <v>83</v>
      </c>
      <c r="BG650" s="201">
        <v>0</v>
      </c>
      <c r="BI650" s="201">
        <v>4.8</v>
      </c>
      <c r="BK650" s="201">
        <v>1.6</v>
      </c>
      <c r="BM650" s="201">
        <v>62.4</v>
      </c>
      <c r="BO650" s="201">
        <v>19.5</v>
      </c>
      <c r="BQ650" s="201">
        <v>9.1999999999999993</v>
      </c>
      <c r="BS650" s="201">
        <v>51.4</v>
      </c>
      <c r="BU650" s="201">
        <v>16.100000000000001</v>
      </c>
      <c r="BW650" s="201">
        <v>12</v>
      </c>
      <c r="BY650" s="178">
        <v>6.5</v>
      </c>
      <c r="CC650" s="201">
        <v>7</v>
      </c>
      <c r="CD650" s="198">
        <v>41822</v>
      </c>
      <c r="CI650" s="174" t="s">
        <v>9339</v>
      </c>
      <c r="CL650" s="174">
        <v>3</v>
      </c>
    </row>
    <row r="651" spans="1:90">
      <c r="A651" s="191" t="s">
        <v>7800</v>
      </c>
      <c r="B651" s="192" t="s">
        <v>269</v>
      </c>
      <c r="C651" s="192" t="s">
        <v>8997</v>
      </c>
      <c r="D651" s="192" t="s">
        <v>8894</v>
      </c>
      <c r="E651" s="193">
        <v>268</v>
      </c>
      <c r="F651" s="193">
        <v>2</v>
      </c>
      <c r="K651" s="176">
        <v>6</v>
      </c>
      <c r="M651" s="197">
        <v>3.15</v>
      </c>
      <c r="N651" s="198">
        <v>41822</v>
      </c>
      <c r="S651" s="176">
        <f>(AE651*BS651)/100</f>
        <v>10.06416666666667</v>
      </c>
      <c r="T651" s="198"/>
      <c r="U651" s="176">
        <v>16.2</v>
      </c>
      <c r="Y651" s="200">
        <f>(AE651*BU651)/100</f>
        <v>3.6326282051282059</v>
      </c>
      <c r="Z651" s="198"/>
      <c r="AA651" s="200"/>
      <c r="AB651" s="198"/>
      <c r="AC651" s="378">
        <f t="shared" si="10"/>
        <v>18.06388888888889</v>
      </c>
      <c r="AE651" s="176">
        <f>(M651/U651)*((100-CC651)/(100-9))*100</f>
        <v>19.850427350427356</v>
      </c>
      <c r="AF651" s="198">
        <v>41822</v>
      </c>
      <c r="AG651" s="176">
        <v>4.4000000000000004</v>
      </c>
      <c r="AH651" s="196">
        <v>41927</v>
      </c>
      <c r="AI651" s="176">
        <v>130</v>
      </c>
      <c r="AM651" s="176">
        <v>85</v>
      </c>
      <c r="BG651" s="201">
        <v>1.1000000000000001</v>
      </c>
      <c r="BI651" s="201">
        <v>4.4000000000000004</v>
      </c>
      <c r="BK651" s="201">
        <v>1.6</v>
      </c>
      <c r="BM651" s="201">
        <v>66.400000000000006</v>
      </c>
      <c r="BO651" s="201">
        <v>18.399999999999999</v>
      </c>
      <c r="BQ651" s="201">
        <v>8.5</v>
      </c>
      <c r="BS651" s="201">
        <v>50.7</v>
      </c>
      <c r="BU651" s="201">
        <v>18.3</v>
      </c>
      <c r="BW651" s="201">
        <v>11.4</v>
      </c>
      <c r="BY651" s="178">
        <v>6.7999999999999972</v>
      </c>
      <c r="CC651" s="201">
        <v>7.1</v>
      </c>
      <c r="CD651" s="198">
        <v>41822</v>
      </c>
      <c r="CI651" s="174" t="s">
        <v>9354</v>
      </c>
      <c r="CL651" s="174">
        <v>1</v>
      </c>
    </row>
    <row r="652" spans="1:90">
      <c r="A652" s="191" t="s">
        <v>7634</v>
      </c>
      <c r="B652" s="192" t="s">
        <v>269</v>
      </c>
      <c r="C652" s="192" t="s">
        <v>8997</v>
      </c>
      <c r="D652" s="192" t="s">
        <v>8230</v>
      </c>
      <c r="E652" s="193">
        <v>268</v>
      </c>
      <c r="F652" s="193">
        <v>3</v>
      </c>
      <c r="K652" s="176">
        <v>8</v>
      </c>
      <c r="M652" s="197">
        <v>1.2</v>
      </c>
      <c r="N652" s="198">
        <v>41822</v>
      </c>
      <c r="S652" s="176">
        <f>(AE652*BS652)/100</f>
        <v>3.7804395604395604</v>
      </c>
      <c r="T652" s="198"/>
      <c r="U652" s="176">
        <v>16.2</v>
      </c>
      <c r="Y652" s="200">
        <f>(AE652*BU652)/100</f>
        <v>1.3959706959706961</v>
      </c>
      <c r="Z652" s="198"/>
      <c r="AA652" s="200"/>
      <c r="AB652" s="198"/>
      <c r="AC652" s="378">
        <f t="shared" si="10"/>
        <v>6.8666666666666663</v>
      </c>
      <c r="AE652" s="176">
        <f>(M652/U652)*((100-CC652)/(100-9))*100</f>
        <v>7.5457875457875456</v>
      </c>
      <c r="AF652" s="198">
        <v>41822</v>
      </c>
      <c r="AG652" s="176">
        <v>4.8</v>
      </c>
      <c r="AH652" s="196">
        <v>41927</v>
      </c>
      <c r="AI652" s="176">
        <v>90</v>
      </c>
      <c r="AM652" s="176">
        <v>71</v>
      </c>
      <c r="BG652" s="201">
        <v>24.2</v>
      </c>
      <c r="BI652" s="201">
        <v>4.4000000000000004</v>
      </c>
      <c r="BK652" s="201">
        <v>1.3</v>
      </c>
      <c r="BM652" s="201">
        <v>43.9</v>
      </c>
      <c r="BO652" s="201">
        <v>16.600000000000001</v>
      </c>
      <c r="BQ652" s="201">
        <v>10.3</v>
      </c>
      <c r="BS652" s="201">
        <v>50.1</v>
      </c>
      <c r="BU652" s="201">
        <v>18.5</v>
      </c>
      <c r="BW652" s="201">
        <v>40.4</v>
      </c>
      <c r="BY652" s="178">
        <v>7.2999999999999972</v>
      </c>
      <c r="CC652" s="201">
        <v>7.3</v>
      </c>
      <c r="CD652" s="198">
        <v>41822</v>
      </c>
      <c r="CI652" s="174" t="s">
        <v>9351</v>
      </c>
      <c r="CL652" s="174">
        <v>7</v>
      </c>
    </row>
    <row r="653" spans="1:90">
      <c r="A653" s="191" t="s">
        <v>7897</v>
      </c>
      <c r="B653" s="192" t="s">
        <v>269</v>
      </c>
      <c r="C653" s="192" t="s">
        <v>8997</v>
      </c>
      <c r="D653" s="192" t="s">
        <v>8962</v>
      </c>
      <c r="E653" s="193">
        <v>268</v>
      </c>
      <c r="F653" s="193">
        <v>4</v>
      </c>
      <c r="K653" s="176">
        <v>7</v>
      </c>
      <c r="M653" s="197">
        <v>3.65</v>
      </c>
      <c r="N653" s="198">
        <v>41822</v>
      </c>
      <c r="S653" s="176">
        <f>(AE653*BS653)/100</f>
        <v>11.970771944105277</v>
      </c>
      <c r="T653" s="198"/>
      <c r="U653" s="176">
        <v>16.2</v>
      </c>
      <c r="Y653" s="200">
        <f>(AE653*BU653)/100</f>
        <v>3.8600569800569797</v>
      </c>
      <c r="Z653" s="198"/>
      <c r="AA653" s="200"/>
      <c r="AB653" s="198"/>
      <c r="AC653" s="378">
        <f t="shared" si="10"/>
        <v>20.90864197530864</v>
      </c>
      <c r="AE653" s="176">
        <f>(M653/U653)*((100-CC653)/(100-9))*100</f>
        <v>22.976529643196308</v>
      </c>
      <c r="AF653" s="198">
        <v>41822</v>
      </c>
      <c r="AG653" s="176">
        <v>4.7</v>
      </c>
      <c r="AH653" s="196">
        <v>41927</v>
      </c>
      <c r="AI653" s="176">
        <v>150</v>
      </c>
      <c r="AM653" s="176">
        <v>78</v>
      </c>
      <c r="BG653" s="201">
        <v>2.5</v>
      </c>
      <c r="BI653" s="201">
        <v>4.4000000000000004</v>
      </c>
      <c r="BK653" s="201">
        <v>1.5</v>
      </c>
      <c r="BM653" s="201">
        <v>63.7</v>
      </c>
      <c r="BO653" s="201">
        <v>18.7</v>
      </c>
      <c r="BQ653" s="201">
        <v>9.6</v>
      </c>
      <c r="BS653" s="201">
        <v>52.1</v>
      </c>
      <c r="BU653" s="201">
        <v>16.8</v>
      </c>
      <c r="BW653" s="201">
        <v>19.5</v>
      </c>
      <c r="BY653" s="178">
        <v>7</v>
      </c>
      <c r="CC653" s="201">
        <v>7.2</v>
      </c>
      <c r="CD653" s="198">
        <v>41822</v>
      </c>
      <c r="CI653" s="174" t="s">
        <v>9348</v>
      </c>
      <c r="CL653" s="174" t="s">
        <v>9001</v>
      </c>
    </row>
    <row r="654" spans="1:90">
      <c r="A654" s="191" t="s">
        <v>7611</v>
      </c>
      <c r="B654" s="192" t="s">
        <v>269</v>
      </c>
      <c r="C654" s="192" t="s">
        <v>8997</v>
      </c>
      <c r="D654" s="192" t="s">
        <v>8138</v>
      </c>
      <c r="E654" s="193">
        <v>268</v>
      </c>
      <c r="F654" s="193">
        <v>5</v>
      </c>
      <c r="I654" s="184"/>
      <c r="K654" s="176">
        <v>7</v>
      </c>
      <c r="M654" s="197">
        <v>1.65</v>
      </c>
      <c r="N654" s="198">
        <v>41822</v>
      </c>
      <c r="O654" s="179"/>
      <c r="S654" s="176">
        <f>(AE654*BS654)/100</f>
        <v>5.0998453398453396</v>
      </c>
      <c r="T654" s="198"/>
      <c r="U654" s="176">
        <v>16.2</v>
      </c>
      <c r="Y654" s="200">
        <f>(AE654*BU654)/100</f>
        <v>1.848823768823769</v>
      </c>
      <c r="Z654" s="198"/>
      <c r="AA654" s="200"/>
      <c r="AB654" s="198"/>
      <c r="AC654" s="378">
        <f t="shared" si="10"/>
        <v>9.4518518518518508</v>
      </c>
      <c r="AE654" s="176">
        <f>(M654/U654)*((100-CC654)/(100-9))*100</f>
        <v>10.386650386650386</v>
      </c>
      <c r="AF654" s="198">
        <v>41822</v>
      </c>
      <c r="AG654" s="176">
        <v>5.3</v>
      </c>
      <c r="AH654" s="196">
        <v>41927</v>
      </c>
      <c r="AI654" s="176">
        <v>125</v>
      </c>
      <c r="AM654" s="176">
        <v>84</v>
      </c>
      <c r="BG654" s="201">
        <v>40.1</v>
      </c>
      <c r="BI654" s="201">
        <v>4.5</v>
      </c>
      <c r="BK654" s="201">
        <v>1</v>
      </c>
      <c r="BM654" s="201">
        <v>33.9</v>
      </c>
      <c r="BO654" s="201">
        <v>17.7</v>
      </c>
      <c r="BQ654" s="201">
        <v>9.6</v>
      </c>
      <c r="BS654" s="201">
        <v>49.1</v>
      </c>
      <c r="BU654" s="201">
        <v>17.8</v>
      </c>
      <c r="BW654" s="201">
        <v>49.5</v>
      </c>
      <c r="BY654" s="178">
        <v>6.5</v>
      </c>
      <c r="CC654" s="201">
        <v>7.2</v>
      </c>
      <c r="CD654" s="198">
        <v>41822</v>
      </c>
      <c r="CI654" s="174" t="s">
        <v>9349</v>
      </c>
      <c r="CL654" s="174">
        <v>8</v>
      </c>
    </row>
    <row r="655" spans="1:90">
      <c r="A655" s="191" t="s">
        <v>7717</v>
      </c>
      <c r="B655" s="192" t="s">
        <v>269</v>
      </c>
      <c r="C655" s="192" t="s">
        <v>8997</v>
      </c>
      <c r="D655" s="192" t="s">
        <v>8562</v>
      </c>
      <c r="E655" s="193">
        <v>268</v>
      </c>
      <c r="F655" s="193">
        <v>6</v>
      </c>
      <c r="K655" s="176">
        <v>4</v>
      </c>
      <c r="M655" s="197">
        <v>1.25</v>
      </c>
      <c r="N655" s="198">
        <v>41822</v>
      </c>
      <c r="S655" s="176">
        <f>(AE655*BS655)/100</f>
        <v>3.9736806403473075</v>
      </c>
      <c r="T655" s="198"/>
      <c r="U655" s="176">
        <v>16.2</v>
      </c>
      <c r="Y655" s="200">
        <f>(AE655*BU655)/100</f>
        <v>1.4320987654320987</v>
      </c>
      <c r="Z655" s="198"/>
      <c r="AA655" s="200"/>
      <c r="AB655" s="198"/>
      <c r="AC655" s="378">
        <f t="shared" si="10"/>
        <v>7.1604938271604945</v>
      </c>
      <c r="AE655" s="176">
        <f>(M655/U655)*((100-CC655)/(100-9))*100</f>
        <v>7.8686745353412029</v>
      </c>
      <c r="AF655" s="198">
        <v>41822</v>
      </c>
      <c r="AG655" s="176">
        <v>4.7</v>
      </c>
      <c r="AH655" s="196">
        <v>41927</v>
      </c>
      <c r="AI655" s="176">
        <v>110</v>
      </c>
      <c r="AM655" s="176">
        <v>89</v>
      </c>
      <c r="BG655" s="201">
        <v>11.3</v>
      </c>
      <c r="BI655" s="201">
        <v>4.5</v>
      </c>
      <c r="BK655" s="201">
        <v>1.4</v>
      </c>
      <c r="BM655" s="201">
        <v>55.1</v>
      </c>
      <c r="BO655" s="201">
        <v>18.5</v>
      </c>
      <c r="BQ655" s="201">
        <v>8.6999999999999993</v>
      </c>
      <c r="BS655" s="201">
        <v>50.5</v>
      </c>
      <c r="BU655" s="201">
        <v>18.2</v>
      </c>
      <c r="BW655" s="201">
        <v>17.3</v>
      </c>
      <c r="BY655" s="178">
        <v>7.0999999999999943</v>
      </c>
      <c r="CC655" s="201">
        <v>7.2</v>
      </c>
      <c r="CD655" s="198">
        <v>41822</v>
      </c>
      <c r="CI655" s="174" t="s">
        <v>9349</v>
      </c>
      <c r="CL655" s="174">
        <v>8</v>
      </c>
    </row>
    <row r="656" spans="1:90">
      <c r="A656" s="191" t="s">
        <v>7757</v>
      </c>
      <c r="B656" s="192" t="s">
        <v>271</v>
      </c>
      <c r="C656" s="192" t="s">
        <v>8999</v>
      </c>
      <c r="D656" s="192" t="s">
        <v>8724</v>
      </c>
      <c r="E656" s="193">
        <v>268</v>
      </c>
      <c r="F656" s="193">
        <v>7</v>
      </c>
      <c r="K656" s="176">
        <v>9</v>
      </c>
      <c r="M656" s="197">
        <v>4.75</v>
      </c>
      <c r="N656" s="198">
        <v>41822</v>
      </c>
      <c r="S656" s="176">
        <f>(AE656*BS656)/100</f>
        <v>14.643610093610096</v>
      </c>
      <c r="T656" s="198"/>
      <c r="U656" s="176">
        <v>16.2</v>
      </c>
      <c r="Y656" s="200">
        <f>(AE656*BU656)/100</f>
        <v>5.9905677655677678</v>
      </c>
      <c r="Z656" s="198"/>
      <c r="AA656" s="200"/>
      <c r="AB656" s="198"/>
      <c r="AC656" s="378">
        <f t="shared" si="10"/>
        <v>27.532407407407412</v>
      </c>
      <c r="AE656" s="176">
        <f>(M656/U656)*((100-CC656)/(100-9))*100</f>
        <v>30.255392755392762</v>
      </c>
      <c r="AF656" s="198">
        <v>41822</v>
      </c>
      <c r="AG656" s="176">
        <v>4.2</v>
      </c>
      <c r="AH656" s="196">
        <v>41927</v>
      </c>
      <c r="AI656" s="176">
        <v>135</v>
      </c>
      <c r="AM656" s="176">
        <v>90</v>
      </c>
      <c r="BG656" s="201">
        <v>54.2</v>
      </c>
      <c r="BI656" s="201">
        <v>4.0999999999999996</v>
      </c>
      <c r="BK656" s="201">
        <v>0.8</v>
      </c>
      <c r="BM656" s="201">
        <v>27.4</v>
      </c>
      <c r="BO656" s="201">
        <v>16.3</v>
      </c>
      <c r="BQ656" s="201">
        <v>8.9</v>
      </c>
      <c r="BS656" s="201">
        <v>48.4</v>
      </c>
      <c r="BU656" s="201">
        <v>19.8</v>
      </c>
      <c r="BW656" s="201">
        <v>48</v>
      </c>
      <c r="BY656" s="178">
        <v>6</v>
      </c>
      <c r="CC656" s="201">
        <v>6.1</v>
      </c>
      <c r="CD656" s="198">
        <v>41822</v>
      </c>
      <c r="CI656" s="174" t="s">
        <v>9358</v>
      </c>
      <c r="CL656" s="174">
        <v>5</v>
      </c>
    </row>
    <row r="657" spans="1:90">
      <c r="A657" s="191" t="s">
        <v>7773</v>
      </c>
      <c r="B657" s="192" t="s">
        <v>271</v>
      </c>
      <c r="C657" s="192" t="s">
        <v>8999</v>
      </c>
      <c r="D657" s="192" t="s">
        <v>8788</v>
      </c>
      <c r="E657" s="193">
        <v>268</v>
      </c>
      <c r="F657" s="193">
        <v>8</v>
      </c>
      <c r="K657" s="176">
        <v>8</v>
      </c>
      <c r="M657" s="197">
        <v>5.65</v>
      </c>
      <c r="N657" s="198">
        <v>41822</v>
      </c>
      <c r="S657" s="176">
        <f>(AE657*BS657)/100</f>
        <v>17.109742233075572</v>
      </c>
      <c r="T657" s="198"/>
      <c r="U657" s="176">
        <v>16.2</v>
      </c>
      <c r="Y657" s="200">
        <f>(AE657*BU657)/100</f>
        <v>6.6438665038665068</v>
      </c>
      <c r="Z657" s="198"/>
      <c r="AA657" s="200"/>
      <c r="AB657" s="198"/>
      <c r="AC657" s="378">
        <f t="shared" si="10"/>
        <v>32.504938271604942</v>
      </c>
      <c r="AE657" s="176">
        <f>(M657/U657)*((100-CC657)/(100-9))*100</f>
        <v>35.719712386379065</v>
      </c>
      <c r="AF657" s="198">
        <v>41822</v>
      </c>
      <c r="AG657" s="176">
        <v>4</v>
      </c>
      <c r="AH657" s="196">
        <v>41927</v>
      </c>
      <c r="AI657" s="176">
        <v>150</v>
      </c>
      <c r="AM657" s="176">
        <v>84</v>
      </c>
      <c r="BG657" s="201">
        <v>0</v>
      </c>
      <c r="BI657" s="201">
        <v>3.8</v>
      </c>
      <c r="BK657" s="201">
        <v>1.8</v>
      </c>
      <c r="BM657" s="201">
        <v>65.7</v>
      </c>
      <c r="BO657" s="201">
        <v>16.600000000000001</v>
      </c>
      <c r="BQ657" s="201">
        <v>6.9</v>
      </c>
      <c r="BS657" s="201">
        <v>47.9</v>
      </c>
      <c r="BU657" s="201">
        <v>18.600000000000001</v>
      </c>
      <c r="BW657" s="201">
        <v>14.4</v>
      </c>
      <c r="BY657" s="178">
        <v>6.7999999999999972</v>
      </c>
      <c r="CC657" s="201">
        <v>6.8</v>
      </c>
      <c r="CD657" s="198">
        <v>41822</v>
      </c>
      <c r="CI657" s="174" t="s">
        <v>9350</v>
      </c>
      <c r="CL657" s="174">
        <v>1</v>
      </c>
    </row>
    <row r="658" spans="1:90">
      <c r="A658" s="191" t="s">
        <v>7898</v>
      </c>
      <c r="B658" s="192" t="s">
        <v>271</v>
      </c>
      <c r="C658" s="192" t="s">
        <v>8999</v>
      </c>
      <c r="D658" s="192" t="s">
        <v>8996</v>
      </c>
      <c r="E658" s="193">
        <v>268</v>
      </c>
      <c r="F658" s="193">
        <v>9</v>
      </c>
      <c r="K658" s="176">
        <v>8</v>
      </c>
      <c r="M658" s="197">
        <v>7.15</v>
      </c>
      <c r="N658" s="198">
        <v>41822</v>
      </c>
      <c r="S658" s="176">
        <f>(AE658*BS658)/100</f>
        <v>23.2794532627866</v>
      </c>
      <c r="T658" s="198"/>
      <c r="U658" s="176">
        <v>16.2</v>
      </c>
      <c r="Y658" s="200">
        <f>(AE658*BU658)/100</f>
        <v>7.4584656084656107</v>
      </c>
      <c r="Z658" s="198"/>
      <c r="AA658" s="200"/>
      <c r="AB658" s="198"/>
      <c r="AC658" s="378">
        <f t="shared" si="10"/>
        <v>41.134567901234568</v>
      </c>
      <c r="AE658" s="176">
        <f>(M658/U658)*((100-CC658)/(100-9))*100</f>
        <v>45.202821869488545</v>
      </c>
      <c r="AF658" s="198">
        <v>41822</v>
      </c>
      <c r="AG658" s="176">
        <v>3.9</v>
      </c>
      <c r="AH658" s="196">
        <v>41927</v>
      </c>
      <c r="AI658" s="176">
        <v>170</v>
      </c>
      <c r="AM658" s="176">
        <v>80</v>
      </c>
      <c r="BG658" s="201">
        <v>0</v>
      </c>
      <c r="BI658" s="201">
        <v>4.8</v>
      </c>
      <c r="BK658" s="201">
        <v>1.6</v>
      </c>
      <c r="BM658" s="201">
        <v>63.3</v>
      </c>
      <c r="BO658" s="201">
        <v>19.5</v>
      </c>
      <c r="BQ658" s="201">
        <v>8.6</v>
      </c>
      <c r="BS658" s="201">
        <v>51.5</v>
      </c>
      <c r="BU658" s="201">
        <v>16.5</v>
      </c>
      <c r="BW658" s="201">
        <v>16.7</v>
      </c>
      <c r="BY658" s="178">
        <v>6.2999999999999972</v>
      </c>
      <c r="CC658" s="201">
        <v>6.8</v>
      </c>
      <c r="CD658" s="198">
        <v>41822</v>
      </c>
      <c r="CI658" s="174" t="s">
        <v>9346</v>
      </c>
      <c r="CL658" s="174" t="s">
        <v>9001</v>
      </c>
    </row>
    <row r="659" spans="1:90">
      <c r="A659" s="191" t="s">
        <v>7770</v>
      </c>
      <c r="B659" s="192" t="s">
        <v>271</v>
      </c>
      <c r="C659" s="192" t="s">
        <v>8999</v>
      </c>
      <c r="D659" s="192" t="s">
        <v>8776</v>
      </c>
      <c r="E659" s="193">
        <v>268</v>
      </c>
      <c r="F659" s="193">
        <v>10</v>
      </c>
      <c r="K659" s="176">
        <v>8</v>
      </c>
      <c r="M659" s="197">
        <v>6.65</v>
      </c>
      <c r="N659" s="198">
        <v>41822</v>
      </c>
      <c r="S659" s="176">
        <f>(AE659*BS659)/100</f>
        <v>21.529453941120615</v>
      </c>
      <c r="T659" s="198"/>
      <c r="U659" s="176">
        <v>16.2</v>
      </c>
      <c r="Y659" s="200">
        <f>(AE659*BU659)/100</f>
        <v>7.2467046533713209</v>
      </c>
      <c r="Z659" s="198"/>
      <c r="AA659" s="200"/>
      <c r="AB659" s="198"/>
      <c r="AC659" s="378">
        <f t="shared" si="10"/>
        <v>38.340123456790131</v>
      </c>
      <c r="AE659" s="176">
        <f>(M659/U659)*((100-CC659)/(100-9))*100</f>
        <v>42.132003798670475</v>
      </c>
      <c r="AF659" s="198">
        <v>41822</v>
      </c>
      <c r="AG659" s="176">
        <v>4.4000000000000004</v>
      </c>
      <c r="AH659" s="196">
        <v>41927</v>
      </c>
      <c r="AI659" s="176">
        <v>155</v>
      </c>
      <c r="AM659" s="176">
        <v>80</v>
      </c>
      <c r="BG659" s="201">
        <v>0.4</v>
      </c>
      <c r="BI659" s="201">
        <v>4.5</v>
      </c>
      <c r="BK659" s="201">
        <v>1.5</v>
      </c>
      <c r="BM659" s="201">
        <v>60.5</v>
      </c>
      <c r="BO659" s="201">
        <v>21.1</v>
      </c>
      <c r="BQ659" s="201">
        <v>9.6999999999999993</v>
      </c>
      <c r="BS659" s="201">
        <v>51.1</v>
      </c>
      <c r="BU659" s="201">
        <v>17.2</v>
      </c>
      <c r="BW659" s="201">
        <v>11.5</v>
      </c>
      <c r="BY659" s="178">
        <v>6.2000000000000028</v>
      </c>
      <c r="CC659" s="201">
        <v>6.6</v>
      </c>
      <c r="CD659" s="198">
        <v>41822</v>
      </c>
      <c r="CI659" s="174" t="s">
        <v>9355</v>
      </c>
      <c r="CL659" s="174">
        <v>1</v>
      </c>
    </row>
    <row r="660" spans="1:90">
      <c r="A660" s="191" t="s">
        <v>7643</v>
      </c>
      <c r="B660" s="192" t="s">
        <v>271</v>
      </c>
      <c r="C660" s="192" t="s">
        <v>8999</v>
      </c>
      <c r="D660" s="192" t="s">
        <v>8268</v>
      </c>
      <c r="E660" s="193">
        <v>268</v>
      </c>
      <c r="F660" s="193">
        <v>11</v>
      </c>
      <c r="K660" s="176">
        <v>8</v>
      </c>
      <c r="M660" s="197">
        <v>5.3</v>
      </c>
      <c r="N660" s="198">
        <v>41822</v>
      </c>
      <c r="S660" s="176">
        <f>(AE660*BS660)/100</f>
        <v>15.860417175417174</v>
      </c>
      <c r="T660" s="198"/>
      <c r="U660" s="176">
        <v>16.2</v>
      </c>
      <c r="Y660" s="200">
        <f>(AE660*BU660)/100</f>
        <v>6.3574114774114765</v>
      </c>
      <c r="Z660" s="198"/>
      <c r="AA660" s="200"/>
      <c r="AB660" s="198"/>
      <c r="AC660" s="378">
        <f t="shared" si="10"/>
        <v>30.13148148148148</v>
      </c>
      <c r="AE660" s="176">
        <f>(M660/U660)*((100-CC660)/(100-9))*100</f>
        <v>33.111518111518109</v>
      </c>
      <c r="AF660" s="198">
        <v>41822</v>
      </c>
      <c r="AG660" s="176">
        <v>5</v>
      </c>
      <c r="AH660" s="196">
        <v>41927</v>
      </c>
      <c r="AI660" s="176">
        <v>155</v>
      </c>
      <c r="AM660" s="176">
        <v>87</v>
      </c>
      <c r="BG660" s="201">
        <v>3.5</v>
      </c>
      <c r="BI660" s="201">
        <v>5.0999999999999996</v>
      </c>
      <c r="BK660" s="201">
        <v>1.5</v>
      </c>
      <c r="BM660" s="201">
        <v>60.9</v>
      </c>
      <c r="BO660" s="201">
        <v>21.7</v>
      </c>
      <c r="BQ660" s="201">
        <v>8.8000000000000007</v>
      </c>
      <c r="BS660" s="201">
        <v>47.9</v>
      </c>
      <c r="BU660" s="201">
        <v>19.2</v>
      </c>
      <c r="BW660" s="201">
        <v>86.5</v>
      </c>
      <c r="BY660" s="178">
        <v>6.7000000000000028</v>
      </c>
      <c r="CC660" s="201">
        <v>7.9</v>
      </c>
      <c r="CD660" s="198">
        <v>41822</v>
      </c>
      <c r="CI660" s="174" t="s">
        <v>9352</v>
      </c>
      <c r="CL660" s="174">
        <v>1</v>
      </c>
    </row>
    <row r="661" spans="1:90">
      <c r="A661" s="191" t="s">
        <v>7733</v>
      </c>
      <c r="B661" s="192" t="s">
        <v>271</v>
      </c>
      <c r="C661" s="192" t="s">
        <v>8999</v>
      </c>
      <c r="D661" s="192" t="s">
        <v>8628</v>
      </c>
      <c r="E661" s="193">
        <v>268</v>
      </c>
      <c r="F661" s="193">
        <v>12</v>
      </c>
      <c r="K661" s="176">
        <v>7</v>
      </c>
      <c r="M661" s="197">
        <v>3.75</v>
      </c>
      <c r="N661" s="198">
        <v>41822</v>
      </c>
      <c r="S661" s="176">
        <f>(AE661*BS661)/100</f>
        <v>11.248575498575498</v>
      </c>
      <c r="T661" s="198"/>
      <c r="U661" s="176">
        <v>16.2</v>
      </c>
      <c r="Y661" s="200">
        <f>(AE661*BU661)/100</f>
        <v>4.4899776149776152</v>
      </c>
      <c r="Z661" s="198"/>
      <c r="AA661" s="200"/>
      <c r="AB661" s="198"/>
      <c r="AC661" s="378">
        <f t="shared" si="10"/>
        <v>21.50462962962963</v>
      </c>
      <c r="AE661" s="176">
        <f>(M661/U661)*((100-CC661)/(100-9))*100</f>
        <v>23.631461131461133</v>
      </c>
      <c r="AF661" s="198">
        <v>41822</v>
      </c>
      <c r="AG661" s="176">
        <v>4.0999999999999996</v>
      </c>
      <c r="AH661" s="196">
        <v>41927</v>
      </c>
      <c r="AI661" s="176">
        <v>155</v>
      </c>
      <c r="AM661" s="176">
        <v>88</v>
      </c>
      <c r="BG661" s="201">
        <v>0.7</v>
      </c>
      <c r="BI661" s="201">
        <v>4</v>
      </c>
      <c r="BK661" s="201">
        <v>1.7</v>
      </c>
      <c r="BM661" s="201">
        <v>64.099999999999994</v>
      </c>
      <c r="BO661" s="201">
        <v>19.5</v>
      </c>
      <c r="BQ661" s="201">
        <v>8.1999999999999993</v>
      </c>
      <c r="BS661" s="201">
        <v>47.6</v>
      </c>
      <c r="BU661" s="201">
        <v>19</v>
      </c>
      <c r="BW661" s="201">
        <v>8.5</v>
      </c>
      <c r="BY661" s="178">
        <v>6.2999999999999972</v>
      </c>
      <c r="CC661" s="201">
        <v>7.1</v>
      </c>
      <c r="CD661" s="198">
        <v>41822</v>
      </c>
      <c r="CI661" s="174" t="s">
        <v>9368</v>
      </c>
      <c r="CL661" s="174">
        <v>6</v>
      </c>
    </row>
    <row r="662" spans="1:90">
      <c r="A662" s="191" t="s">
        <v>7671</v>
      </c>
      <c r="B662" s="192" t="s">
        <v>269</v>
      </c>
      <c r="C662" s="192" t="s">
        <v>8997</v>
      </c>
      <c r="D662" s="192" t="s">
        <v>8378</v>
      </c>
      <c r="E662" s="193">
        <v>269</v>
      </c>
      <c r="F662" s="193">
        <v>1</v>
      </c>
      <c r="K662" s="176">
        <v>6</v>
      </c>
      <c r="M662" s="197">
        <v>1.2</v>
      </c>
      <c r="N662" s="198">
        <v>41822</v>
      </c>
      <c r="S662" s="176">
        <f>(AE662*BS662)/100</f>
        <v>3.6056817256817255</v>
      </c>
      <c r="T662" s="198"/>
      <c r="U662" s="176">
        <v>16.2</v>
      </c>
      <c r="Y662" s="200">
        <f>(AE662*BU662)/100</f>
        <v>1.4063654863654862</v>
      </c>
      <c r="Z662" s="198"/>
      <c r="AA662" s="200"/>
      <c r="AB662" s="198"/>
      <c r="AC662" s="378">
        <f t="shared" si="10"/>
        <v>6.8074074074074078</v>
      </c>
      <c r="AE662" s="176">
        <f>(M662/U662)*((100-CC662)/(100-9))*100</f>
        <v>7.4806674806674796</v>
      </c>
      <c r="AF662" s="198">
        <v>41822</v>
      </c>
      <c r="AG662" s="176">
        <v>4.7</v>
      </c>
      <c r="AH662" s="196">
        <v>41927</v>
      </c>
      <c r="AI662" s="176">
        <v>90</v>
      </c>
      <c r="AM662" s="176">
        <v>89</v>
      </c>
      <c r="BG662" s="201">
        <v>4.8</v>
      </c>
      <c r="BI662" s="201">
        <v>4.5999999999999996</v>
      </c>
      <c r="BK662" s="201">
        <v>1.6</v>
      </c>
      <c r="BM662" s="201">
        <v>62.9</v>
      </c>
      <c r="BO662" s="201">
        <v>20.7</v>
      </c>
      <c r="BQ662" s="201">
        <v>8.1</v>
      </c>
      <c r="BS662" s="201">
        <v>48.2</v>
      </c>
      <c r="BU662" s="201">
        <v>18.8</v>
      </c>
      <c r="BW662" s="201">
        <v>11.9</v>
      </c>
      <c r="BY662" s="178">
        <v>7.0999999999999943</v>
      </c>
      <c r="CC662" s="201">
        <v>8.1</v>
      </c>
      <c r="CD662" s="198">
        <v>41822</v>
      </c>
      <c r="CI662" s="174" t="s">
        <v>9337</v>
      </c>
      <c r="CL662" s="174">
        <v>7</v>
      </c>
    </row>
    <row r="663" spans="1:90">
      <c r="A663" s="191" t="s">
        <v>7644</v>
      </c>
      <c r="B663" s="192" t="s">
        <v>269</v>
      </c>
      <c r="C663" s="192" t="s">
        <v>8997</v>
      </c>
      <c r="D663" s="192" t="s">
        <v>8270</v>
      </c>
      <c r="E663" s="193">
        <v>269</v>
      </c>
      <c r="F663" s="193">
        <v>2</v>
      </c>
      <c r="K663" s="176">
        <v>7</v>
      </c>
      <c r="M663" s="197">
        <v>0.8</v>
      </c>
      <c r="N663" s="198">
        <v>41822</v>
      </c>
      <c r="S663" s="176">
        <f>(AE663*BS663)/100</f>
        <v>2.5440021706688376</v>
      </c>
      <c r="T663" s="198"/>
      <c r="U663" s="176">
        <v>16.2</v>
      </c>
      <c r="Y663" s="200">
        <f>(AE663*BU663)/100</f>
        <v>0.94072446072446103</v>
      </c>
      <c r="Z663" s="198"/>
      <c r="AA663" s="200"/>
      <c r="AB663" s="198"/>
      <c r="AC663" s="378">
        <f t="shared" si="10"/>
        <v>4.6024691358024699</v>
      </c>
      <c r="AE663" s="176">
        <f>(M663/U663)*((100-CC663)/(100-9))*100</f>
        <v>5.0576583909917252</v>
      </c>
      <c r="AF663" s="198">
        <v>41822</v>
      </c>
      <c r="AG663" s="176">
        <v>5.8</v>
      </c>
      <c r="AH663" s="196">
        <v>41927</v>
      </c>
      <c r="AI663" s="176">
        <v>100</v>
      </c>
      <c r="AM663" s="176">
        <v>84</v>
      </c>
      <c r="BG663" s="201">
        <v>18.899999999999999</v>
      </c>
      <c r="BI663" s="201">
        <v>4.9000000000000004</v>
      </c>
      <c r="BK663" s="201">
        <v>1.1000000000000001</v>
      </c>
      <c r="BM663" s="201">
        <v>51.7</v>
      </c>
      <c r="BO663" s="201">
        <v>18.600000000000001</v>
      </c>
      <c r="BQ663" s="201">
        <v>10.4</v>
      </c>
      <c r="BS663" s="201">
        <v>50.3</v>
      </c>
      <c r="BU663" s="201">
        <v>18.600000000000001</v>
      </c>
      <c r="BW663" s="201">
        <v>70</v>
      </c>
      <c r="BY663" s="178">
        <v>6.2999999999999972</v>
      </c>
      <c r="CC663" s="201">
        <v>6.8</v>
      </c>
      <c r="CD663" s="198">
        <v>41822</v>
      </c>
      <c r="CI663" s="174" t="s">
        <v>9367</v>
      </c>
      <c r="CL663" s="174">
        <v>8</v>
      </c>
    </row>
    <row r="664" spans="1:90">
      <c r="A664" s="191" t="s">
        <v>7641</v>
      </c>
      <c r="B664" s="192" t="s">
        <v>269</v>
      </c>
      <c r="C664" s="192" t="s">
        <v>8997</v>
      </c>
      <c r="D664" s="192" t="s">
        <v>8258</v>
      </c>
      <c r="E664" s="193">
        <v>269</v>
      </c>
      <c r="F664" s="193">
        <v>3</v>
      </c>
      <c r="K664" s="176">
        <v>8</v>
      </c>
      <c r="M664" s="197">
        <v>2.65</v>
      </c>
      <c r="N664" s="198">
        <v>41822</v>
      </c>
      <c r="S664" s="176">
        <f>(AE664*BS664)/100</f>
        <v>8.8984059150725834</v>
      </c>
      <c r="T664" s="198"/>
      <c r="U664" s="176">
        <v>16.2</v>
      </c>
      <c r="Y664" s="200">
        <f>(AE664*BU664)/100</f>
        <v>2.7366795550128895</v>
      </c>
      <c r="Z664" s="198"/>
      <c r="AA664" s="200"/>
      <c r="AB664" s="198"/>
      <c r="AC664" s="378">
        <f t="shared" si="10"/>
        <v>15.278395061728396</v>
      </c>
      <c r="AE664" s="176">
        <f>(M664/U664)*((100-CC664)/(100-9))*100</f>
        <v>16.78944512277846</v>
      </c>
      <c r="AF664" s="198">
        <v>41822</v>
      </c>
      <c r="AG664" s="176">
        <v>4.9000000000000004</v>
      </c>
      <c r="AH664" s="196">
        <v>41927</v>
      </c>
      <c r="AI664" s="176">
        <v>125</v>
      </c>
      <c r="AM664" s="176">
        <v>86</v>
      </c>
      <c r="BG664" s="201">
        <v>42.5</v>
      </c>
      <c r="BI664" s="201">
        <v>4.4000000000000004</v>
      </c>
      <c r="BK664" s="201">
        <v>0.9</v>
      </c>
      <c r="BM664" s="201">
        <v>26.2</v>
      </c>
      <c r="BO664" s="201">
        <v>16.7</v>
      </c>
      <c r="BQ664" s="201">
        <v>8</v>
      </c>
      <c r="BS664" s="201">
        <v>53</v>
      </c>
      <c r="BU664" s="201">
        <v>16.3</v>
      </c>
      <c r="BW664" s="201">
        <v>49.6</v>
      </c>
      <c r="BY664" s="178">
        <v>5.9000000000000057</v>
      </c>
      <c r="CC664" s="201">
        <v>6.6</v>
      </c>
      <c r="CD664" s="198">
        <v>41822</v>
      </c>
      <c r="CI664" s="174" t="s">
        <v>9361</v>
      </c>
      <c r="CL664" s="174">
        <v>5</v>
      </c>
    </row>
    <row r="665" spans="1:90">
      <c r="A665" s="191" t="s">
        <v>7765</v>
      </c>
      <c r="B665" s="192" t="s">
        <v>269</v>
      </c>
      <c r="C665" s="192" t="s">
        <v>8997</v>
      </c>
      <c r="D665" s="192" t="s">
        <v>8754</v>
      </c>
      <c r="E665" s="193">
        <v>269</v>
      </c>
      <c r="F665" s="193">
        <v>4</v>
      </c>
      <c r="K665" s="176">
        <v>6</v>
      </c>
      <c r="M665" s="197">
        <v>3.25</v>
      </c>
      <c r="N665" s="198">
        <v>41822</v>
      </c>
      <c r="S665" s="176">
        <f>(AE665*BS665)/100</f>
        <v>10.426543209876543</v>
      </c>
      <c r="T665" s="198"/>
      <c r="U665" s="176">
        <v>16.2</v>
      </c>
      <c r="Y665" s="200">
        <f>(AE665*BU665)/100</f>
        <v>3.5507716049382712</v>
      </c>
      <c r="Z665" s="198"/>
      <c r="AA665" s="200"/>
      <c r="AB665" s="198"/>
      <c r="AC665" s="378">
        <f t="shared" si="10"/>
        <v>18.677469135802468</v>
      </c>
      <c r="AE665" s="176">
        <f>(M665/U665)*((100-CC665)/(100-9))*100</f>
        <v>20.52469135802469</v>
      </c>
      <c r="AF665" s="198">
        <v>41822</v>
      </c>
      <c r="AG665" s="176">
        <v>4.9000000000000004</v>
      </c>
      <c r="AH665" s="196">
        <v>41927</v>
      </c>
      <c r="AI665" s="176">
        <v>135</v>
      </c>
      <c r="AM665" s="176">
        <v>85</v>
      </c>
      <c r="BG665" s="201">
        <v>0</v>
      </c>
      <c r="BI665" s="201">
        <v>5.0999999999999996</v>
      </c>
      <c r="BK665" s="201">
        <v>1.6</v>
      </c>
      <c r="BM665" s="201">
        <v>62.8</v>
      </c>
      <c r="BO665" s="201">
        <v>21</v>
      </c>
      <c r="BQ665" s="201">
        <v>8.6999999999999993</v>
      </c>
      <c r="BS665" s="201">
        <v>50.8</v>
      </c>
      <c r="BU665" s="201">
        <v>17.3</v>
      </c>
      <c r="BW665" s="201">
        <v>18.899999999999999</v>
      </c>
      <c r="BY665" s="178">
        <v>6.9000000000000057</v>
      </c>
      <c r="CC665" s="201">
        <v>6.9</v>
      </c>
      <c r="CD665" s="198">
        <v>41822</v>
      </c>
      <c r="CI665" s="174" t="s">
        <v>9386</v>
      </c>
      <c r="CL665" s="174">
        <v>3</v>
      </c>
    </row>
    <row r="666" spans="1:90">
      <c r="A666" s="191" t="s">
        <v>7898</v>
      </c>
      <c r="B666" s="192" t="s">
        <v>269</v>
      </c>
      <c r="C666" s="192" t="s">
        <v>8997</v>
      </c>
      <c r="D666" s="192" t="s">
        <v>8986</v>
      </c>
      <c r="E666" s="193">
        <v>269</v>
      </c>
      <c r="F666" s="193">
        <v>5</v>
      </c>
      <c r="K666" s="176">
        <v>7</v>
      </c>
      <c r="M666" s="197">
        <v>4.8499999999999996</v>
      </c>
      <c r="N666" s="198">
        <v>41822</v>
      </c>
      <c r="S666" s="176">
        <f>(AE666*BS666)/100</f>
        <v>16.250888617555287</v>
      </c>
      <c r="T666" s="198"/>
      <c r="U666" s="176">
        <v>16.2</v>
      </c>
      <c r="Y666" s="200">
        <f>(AE666*BU666)/100</f>
        <v>4.8446045312711989</v>
      </c>
      <c r="Z666" s="198"/>
      <c r="AA666" s="200"/>
      <c r="AB666" s="198"/>
      <c r="AC666" s="378">
        <f t="shared" si="10"/>
        <v>27.90246913580247</v>
      </c>
      <c r="AE666" s="176">
        <f>(M666/U666)*((100-CC666)/(100-9))*100</f>
        <v>30.662053995387335</v>
      </c>
      <c r="AF666" s="198">
        <v>41822</v>
      </c>
      <c r="AG666" s="176">
        <v>5</v>
      </c>
      <c r="AH666" s="196">
        <v>41927</v>
      </c>
      <c r="AI666" s="176">
        <v>155</v>
      </c>
      <c r="AM666" s="176">
        <v>83</v>
      </c>
      <c r="BG666" s="201">
        <v>0</v>
      </c>
      <c r="BI666" s="201">
        <v>4.5999999999999996</v>
      </c>
      <c r="BK666" s="201">
        <v>1.5</v>
      </c>
      <c r="BM666" s="201">
        <v>62.7</v>
      </c>
      <c r="BO666" s="201">
        <v>20.3</v>
      </c>
      <c r="BQ666" s="201">
        <v>9.1</v>
      </c>
      <c r="BS666" s="201">
        <v>53</v>
      </c>
      <c r="BU666" s="201">
        <v>15.8</v>
      </c>
      <c r="BW666" s="201">
        <v>16.100000000000001</v>
      </c>
      <c r="BY666" s="178">
        <v>6.2000000000000028</v>
      </c>
      <c r="CC666" s="201">
        <v>6.8</v>
      </c>
      <c r="CD666" s="198">
        <v>41822</v>
      </c>
      <c r="CI666" s="174" t="s">
        <v>9358</v>
      </c>
      <c r="CL666" s="174">
        <v>2</v>
      </c>
    </row>
    <row r="667" spans="1:90">
      <c r="A667" s="191" t="s">
        <v>7803</v>
      </c>
      <c r="B667" s="192" t="s">
        <v>269</v>
      </c>
      <c r="C667" s="192" t="s">
        <v>8997</v>
      </c>
      <c r="D667" s="192" t="s">
        <v>8906</v>
      </c>
      <c r="E667" s="193">
        <v>269</v>
      </c>
      <c r="F667" s="193">
        <v>6</v>
      </c>
      <c r="K667" s="176">
        <v>8</v>
      </c>
      <c r="M667" s="197">
        <v>4.5999999999999996</v>
      </c>
      <c r="N667" s="198">
        <v>41822</v>
      </c>
      <c r="S667" s="176">
        <f>(AE667*BS667)/100</f>
        <v>15.296887803554473</v>
      </c>
      <c r="T667" s="198"/>
      <c r="U667" s="176">
        <v>16.2</v>
      </c>
      <c r="Y667" s="200">
        <f>(AE667*BU667)/100</f>
        <v>4.4785565052231728</v>
      </c>
      <c r="Z667" s="198"/>
      <c r="AA667" s="200"/>
      <c r="AB667" s="198"/>
      <c r="AC667" s="378">
        <f t="shared" si="10"/>
        <v>26.464197530864197</v>
      </c>
      <c r="AE667" s="176">
        <f>(M667/U667)*((100-CC667)/(100-9))*100</f>
        <v>29.08153574820242</v>
      </c>
      <c r="AF667" s="198">
        <v>41822</v>
      </c>
      <c r="AG667" s="176">
        <v>4.9000000000000004</v>
      </c>
      <c r="AH667" s="196">
        <v>41927</v>
      </c>
      <c r="AI667" s="176">
        <v>135</v>
      </c>
      <c r="AM667" s="176">
        <v>80</v>
      </c>
      <c r="BG667" s="201">
        <v>0</v>
      </c>
      <c r="BI667" s="201">
        <v>5</v>
      </c>
      <c r="BK667" s="201">
        <v>1.7</v>
      </c>
      <c r="BM667" s="201">
        <v>66.900000000000006</v>
      </c>
      <c r="BO667" s="201">
        <v>21</v>
      </c>
      <c r="BQ667" s="201">
        <v>7.5</v>
      </c>
      <c r="BS667" s="201">
        <v>52.6</v>
      </c>
      <c r="BU667" s="201">
        <v>15.4</v>
      </c>
      <c r="BW667" s="201">
        <v>6.7</v>
      </c>
      <c r="BY667" s="178">
        <v>6.5</v>
      </c>
      <c r="CC667" s="201">
        <v>6.8</v>
      </c>
      <c r="CD667" s="198">
        <v>41822</v>
      </c>
      <c r="CI667" s="174" t="s">
        <v>9382</v>
      </c>
      <c r="CL667" s="174">
        <v>1</v>
      </c>
    </row>
    <row r="668" spans="1:90">
      <c r="A668" s="191" t="s">
        <v>7617</v>
      </c>
      <c r="B668" s="192" t="s">
        <v>271</v>
      </c>
      <c r="C668" s="192" t="s">
        <v>8999</v>
      </c>
      <c r="D668" s="192" t="s">
        <v>8164</v>
      </c>
      <c r="E668" s="193">
        <v>269</v>
      </c>
      <c r="F668" s="193">
        <v>7</v>
      </c>
      <c r="I668" s="184"/>
      <c r="K668" s="176">
        <v>8</v>
      </c>
      <c r="M668" s="197">
        <v>1.4</v>
      </c>
      <c r="N668" s="198">
        <v>41822</v>
      </c>
      <c r="O668" s="179"/>
      <c r="S668" s="176">
        <f>(AE668*BS668)/100</f>
        <v>4.3864197530864191</v>
      </c>
      <c r="T668" s="198"/>
      <c r="U668" s="176">
        <v>16.2</v>
      </c>
      <c r="Y668" s="200">
        <f>(AE668*BU668)/100</f>
        <v>1.6693257359924025</v>
      </c>
      <c r="Z668" s="198"/>
      <c r="AA668" s="200"/>
      <c r="AB668" s="198"/>
      <c r="AC668" s="378">
        <f t="shared" si="10"/>
        <v>8.0802469135802468</v>
      </c>
      <c r="AE668" s="176">
        <f>(M668/U668)*((100-CC668)/(100-9))*100</f>
        <v>8.8793922127255449</v>
      </c>
      <c r="AF668" s="198">
        <v>41822</v>
      </c>
      <c r="AG668" s="176">
        <v>5.3</v>
      </c>
      <c r="AH668" s="196">
        <v>41927</v>
      </c>
      <c r="AI668" s="176">
        <v>80</v>
      </c>
      <c r="AM668" s="176">
        <v>76</v>
      </c>
      <c r="BG668" s="201">
        <v>41.8</v>
      </c>
      <c r="BI668" s="201">
        <v>4.0999999999999996</v>
      </c>
      <c r="BK668" s="201">
        <v>1</v>
      </c>
      <c r="BM668" s="201">
        <v>33.4</v>
      </c>
      <c r="BO668" s="201">
        <v>16.2</v>
      </c>
      <c r="BQ668" s="201">
        <v>8</v>
      </c>
      <c r="BS668" s="201">
        <v>49.4</v>
      </c>
      <c r="BU668" s="201">
        <v>18.8</v>
      </c>
      <c r="BW668" s="201">
        <v>64.400000000000006</v>
      </c>
      <c r="BY668" s="178">
        <v>6.0999999999999943</v>
      </c>
      <c r="CC668" s="201">
        <v>6.5</v>
      </c>
      <c r="CD668" s="198">
        <v>41822</v>
      </c>
      <c r="CI668" s="174" t="s">
        <v>9373</v>
      </c>
      <c r="CL668" s="174">
        <v>9</v>
      </c>
    </row>
    <row r="669" spans="1:90">
      <c r="A669" s="191" t="s">
        <v>7717</v>
      </c>
      <c r="B669" s="192" t="s">
        <v>271</v>
      </c>
      <c r="C669" s="192" t="s">
        <v>8999</v>
      </c>
      <c r="D669" s="192" t="s">
        <v>8564</v>
      </c>
      <c r="E669" s="193">
        <v>269</v>
      </c>
      <c r="F669" s="193">
        <v>8</v>
      </c>
      <c r="K669" s="176">
        <v>4</v>
      </c>
      <c r="M669" s="197">
        <v>2.25</v>
      </c>
      <c r="N669" s="198">
        <v>41822</v>
      </c>
      <c r="S669" s="176">
        <f>(AE669*BS669)/100</f>
        <v>6.7665445665445665</v>
      </c>
      <c r="T669" s="198"/>
      <c r="U669" s="176">
        <v>16.2</v>
      </c>
      <c r="Y669" s="200">
        <f>(AE669*BU669)/100</f>
        <v>2.6003663003663009</v>
      </c>
      <c r="Z669" s="198"/>
      <c r="AA669" s="200"/>
      <c r="AB669" s="198"/>
      <c r="AC669" s="378">
        <f t="shared" si="10"/>
        <v>12.722222222222221</v>
      </c>
      <c r="AE669" s="176">
        <f>(M669/U669)*((100-CC669)/(100-9))*100</f>
        <v>13.980463980463981</v>
      </c>
      <c r="AF669" s="198">
        <v>41822</v>
      </c>
      <c r="AG669" s="176">
        <v>4.2</v>
      </c>
      <c r="AH669" s="196">
        <v>41927</v>
      </c>
      <c r="AI669" s="176">
        <v>145</v>
      </c>
      <c r="AM669" s="176">
        <v>90</v>
      </c>
      <c r="BG669" s="201">
        <v>6.1</v>
      </c>
      <c r="BI669" s="201">
        <v>4.4000000000000004</v>
      </c>
      <c r="BK669" s="201">
        <v>1.6</v>
      </c>
      <c r="BM669" s="201">
        <v>67.5</v>
      </c>
      <c r="BO669" s="201">
        <v>18</v>
      </c>
      <c r="BQ669" s="201">
        <v>8.6</v>
      </c>
      <c r="BS669" s="201">
        <v>48.4</v>
      </c>
      <c r="BU669" s="201">
        <v>18.600000000000001</v>
      </c>
      <c r="BW669" s="201">
        <v>14.6</v>
      </c>
      <c r="BY669" s="178">
        <v>6.9000000000000057</v>
      </c>
      <c r="CC669" s="201">
        <v>8.4</v>
      </c>
      <c r="CD669" s="198">
        <v>41822</v>
      </c>
      <c r="CI669" s="174" t="s">
        <v>9399</v>
      </c>
      <c r="CL669" s="174">
        <v>6</v>
      </c>
    </row>
    <row r="670" spans="1:90">
      <c r="A670" s="191" t="s">
        <v>7667</v>
      </c>
      <c r="B670" s="192" t="s">
        <v>271</v>
      </c>
      <c r="C670" s="192" t="s">
        <v>8999</v>
      </c>
      <c r="D670" s="192" t="s">
        <v>8364</v>
      </c>
      <c r="E670" s="193">
        <v>269</v>
      </c>
      <c r="F670" s="193">
        <v>9</v>
      </c>
      <c r="K670" s="176">
        <v>6</v>
      </c>
      <c r="M670" s="197">
        <v>3.8</v>
      </c>
      <c r="N670" s="198">
        <v>41822</v>
      </c>
      <c r="S670" s="176">
        <f>(AE670*BS670)/100</f>
        <v>11.159116809116808</v>
      </c>
      <c r="T670" s="198"/>
      <c r="U670" s="176">
        <v>16.2</v>
      </c>
      <c r="Y670" s="200">
        <f>(AE670*BU670)/100</f>
        <v>4.4396486229819558</v>
      </c>
      <c r="Z670" s="198"/>
      <c r="AA670" s="200"/>
      <c r="AB670" s="198"/>
      <c r="AC670" s="378">
        <f t="shared" si="10"/>
        <v>21.838271604938271</v>
      </c>
      <c r="AE670" s="176">
        <f>(M670/U670)*((100-CC670)/(100-9))*100</f>
        <v>23.998100664767328</v>
      </c>
      <c r="AF670" s="198">
        <v>41822</v>
      </c>
      <c r="AG670" s="176">
        <v>4.0999999999999996</v>
      </c>
      <c r="AH670" s="196">
        <v>41927</v>
      </c>
      <c r="AI670" s="176">
        <v>170</v>
      </c>
      <c r="AM670" s="176">
        <v>96</v>
      </c>
      <c r="BG670" s="201">
        <v>1.2</v>
      </c>
      <c r="BI670" s="201">
        <v>4.5999999999999996</v>
      </c>
      <c r="BK670" s="201">
        <v>1.6</v>
      </c>
      <c r="BM670" s="201">
        <v>63</v>
      </c>
      <c r="BO670" s="201">
        <v>21.2</v>
      </c>
      <c r="BQ670" s="201">
        <v>7.6</v>
      </c>
      <c r="BS670" s="201">
        <v>46.5</v>
      </c>
      <c r="BU670" s="201">
        <v>18.5</v>
      </c>
      <c r="BW670" s="201">
        <v>14.3</v>
      </c>
      <c r="BY670" s="178">
        <v>6.4000000000000057</v>
      </c>
      <c r="CC670" s="201">
        <v>6.9</v>
      </c>
      <c r="CD670" s="198">
        <v>41822</v>
      </c>
      <c r="CI670" s="174" t="s">
        <v>9349</v>
      </c>
      <c r="CL670" s="174">
        <v>1</v>
      </c>
    </row>
    <row r="671" spans="1:90">
      <c r="A671" s="191" t="s">
        <v>7735</v>
      </c>
      <c r="B671" s="192" t="s">
        <v>271</v>
      </c>
      <c r="C671" s="192" t="s">
        <v>8999</v>
      </c>
      <c r="D671" s="192" t="s">
        <v>8636</v>
      </c>
      <c r="E671" s="193">
        <v>269</v>
      </c>
      <c r="F671" s="193">
        <v>10</v>
      </c>
      <c r="K671" s="176">
        <v>7</v>
      </c>
      <c r="M671" s="197">
        <v>6.4</v>
      </c>
      <c r="N671" s="198">
        <v>41822</v>
      </c>
      <c r="S671" s="176">
        <f>(AE671*BS671)/100</f>
        <v>20.900415140415145</v>
      </c>
      <c r="T671" s="198"/>
      <c r="U671" s="176">
        <v>16.2</v>
      </c>
      <c r="Y671" s="200">
        <f>(AE671*BU671)/100</f>
        <v>6.7642816442816445</v>
      </c>
      <c r="Z671" s="198"/>
      <c r="AA671" s="200"/>
      <c r="AB671" s="198"/>
      <c r="AC671" s="378">
        <f t="shared" si="10"/>
        <v>36.859259259259261</v>
      </c>
      <c r="AE671" s="176">
        <f>(M671/U671)*((100-CC671)/(100-9))*100</f>
        <v>40.504680504680508</v>
      </c>
      <c r="AF671" s="198">
        <v>41822</v>
      </c>
      <c r="AG671" s="176">
        <v>5.0999999999999996</v>
      </c>
      <c r="AH671" s="196">
        <v>41927</v>
      </c>
      <c r="AI671" s="176">
        <v>170</v>
      </c>
      <c r="AM671" s="176">
        <v>83</v>
      </c>
      <c r="BG671" s="201">
        <v>0</v>
      </c>
      <c r="BI671" s="201">
        <v>4.7</v>
      </c>
      <c r="BK671" s="201">
        <v>1.5</v>
      </c>
      <c r="BM671" s="201">
        <v>63</v>
      </c>
      <c r="BO671" s="201">
        <v>20.9</v>
      </c>
      <c r="BQ671" s="201">
        <v>9</v>
      </c>
      <c r="BS671" s="201">
        <v>51.6</v>
      </c>
      <c r="BU671" s="201">
        <v>16.7</v>
      </c>
      <c r="BW671" s="201">
        <v>15</v>
      </c>
      <c r="BY671" s="178">
        <v>6</v>
      </c>
      <c r="CC671" s="201">
        <v>6.7</v>
      </c>
      <c r="CD671" s="198">
        <v>41822</v>
      </c>
      <c r="CI671" s="174" t="s">
        <v>9355</v>
      </c>
      <c r="CL671" s="174">
        <v>1</v>
      </c>
    </row>
    <row r="672" spans="1:90">
      <c r="A672" s="191" t="s">
        <v>7811</v>
      </c>
      <c r="B672" s="192" t="s">
        <v>271</v>
      </c>
      <c r="C672" s="192" t="s">
        <v>8999</v>
      </c>
      <c r="D672" s="192" t="s">
        <v>8940</v>
      </c>
      <c r="E672" s="193">
        <v>269</v>
      </c>
      <c r="F672" s="193">
        <v>11</v>
      </c>
      <c r="K672" s="176">
        <v>8</v>
      </c>
      <c r="M672" s="197">
        <v>7.1</v>
      </c>
      <c r="N672" s="198">
        <v>41822</v>
      </c>
      <c r="S672" s="176">
        <f>(AE672*BS672)/100</f>
        <v>22.123565323565323</v>
      </c>
      <c r="T672" s="198"/>
      <c r="U672" s="176">
        <v>16.2</v>
      </c>
      <c r="Y672" s="200">
        <f>(AE672*BU672)/100</f>
        <v>7.5532980599647246</v>
      </c>
      <c r="Z672" s="198"/>
      <c r="AA672" s="200"/>
      <c r="AB672" s="198"/>
      <c r="AC672" s="378">
        <f t="shared" si="10"/>
        <v>40.671604938271606</v>
      </c>
      <c r="AE672" s="176">
        <f>(M672/U672)*((100-CC672)/(100-9))*100</f>
        <v>44.694071360738022</v>
      </c>
      <c r="AF672" s="198">
        <v>41822</v>
      </c>
      <c r="AG672" s="176">
        <v>4.0999999999999996</v>
      </c>
      <c r="AH672" s="196">
        <v>41927</v>
      </c>
      <c r="AI672" s="176">
        <v>160</v>
      </c>
      <c r="AM672" s="176">
        <v>84</v>
      </c>
      <c r="BG672" s="201">
        <v>0.1</v>
      </c>
      <c r="BI672" s="201">
        <v>4.7</v>
      </c>
      <c r="BK672" s="201">
        <v>1.6</v>
      </c>
      <c r="BM672" s="201">
        <v>63.8</v>
      </c>
      <c r="BO672" s="201">
        <v>20.100000000000001</v>
      </c>
      <c r="BQ672" s="201">
        <v>8.1999999999999993</v>
      </c>
      <c r="BS672" s="201">
        <v>49.5</v>
      </c>
      <c r="BU672" s="201">
        <v>16.899999999999999</v>
      </c>
      <c r="BW672" s="201">
        <v>10.1</v>
      </c>
      <c r="BY672" s="178">
        <v>6.7000000000000028</v>
      </c>
      <c r="CC672" s="201">
        <v>7.2</v>
      </c>
      <c r="CD672" s="198">
        <v>41822</v>
      </c>
      <c r="CI672" s="174" t="s">
        <v>9362</v>
      </c>
      <c r="CL672" s="174">
        <v>1</v>
      </c>
    </row>
    <row r="673" spans="1:91">
      <c r="A673" s="191" t="s">
        <v>7666</v>
      </c>
      <c r="B673" s="192" t="s">
        <v>271</v>
      </c>
      <c r="C673" s="192" t="s">
        <v>8999</v>
      </c>
      <c r="D673" s="192" t="s">
        <v>8360</v>
      </c>
      <c r="E673" s="193">
        <v>269</v>
      </c>
      <c r="F673" s="193">
        <v>12</v>
      </c>
      <c r="K673" s="176">
        <v>6</v>
      </c>
      <c r="M673" s="197">
        <v>3.35</v>
      </c>
      <c r="N673" s="198">
        <v>41822</v>
      </c>
      <c r="S673" s="176">
        <f>(AE673*BS673)/100</f>
        <v>10.068520214353548</v>
      </c>
      <c r="T673" s="198"/>
      <c r="U673" s="176">
        <v>16.2</v>
      </c>
      <c r="Y673" s="200">
        <f>(AE673*BU673)/100</f>
        <v>3.720517908017908</v>
      </c>
      <c r="Z673" s="198"/>
      <c r="AA673" s="200"/>
      <c r="AB673" s="198"/>
      <c r="AC673" s="378">
        <f t="shared" si="10"/>
        <v>19.128086419753085</v>
      </c>
      <c r="AE673" s="176">
        <f>(M673/U673)*((100-CC673)/(100-9))*100</f>
        <v>21.019875186541853</v>
      </c>
      <c r="AF673" s="198">
        <v>41822</v>
      </c>
      <c r="AG673" s="176">
        <v>4.3</v>
      </c>
      <c r="AH673" s="196">
        <v>41927</v>
      </c>
      <c r="AI673" s="176">
        <v>145</v>
      </c>
      <c r="AM673" s="176">
        <v>82</v>
      </c>
      <c r="BG673" s="201">
        <v>0</v>
      </c>
      <c r="BI673" s="201">
        <v>4.3</v>
      </c>
      <c r="BK673" s="201">
        <v>1.8</v>
      </c>
      <c r="BM673" s="201">
        <v>64.400000000000006</v>
      </c>
      <c r="BO673" s="201">
        <v>20.3</v>
      </c>
      <c r="BQ673" s="201">
        <v>7.3</v>
      </c>
      <c r="BS673" s="201">
        <v>47.9</v>
      </c>
      <c r="BU673" s="201">
        <v>17.7</v>
      </c>
      <c r="BW673" s="201">
        <v>8.3000000000000007</v>
      </c>
      <c r="BY673" s="178">
        <v>6.5</v>
      </c>
      <c r="CC673" s="201">
        <v>7.5</v>
      </c>
      <c r="CD673" s="198">
        <v>41822</v>
      </c>
      <c r="CI673" s="174" t="s">
        <v>9378</v>
      </c>
      <c r="CL673" s="174">
        <v>4</v>
      </c>
    </row>
    <row r="674" spans="1:91">
      <c r="A674" s="191" t="s">
        <v>7753</v>
      </c>
      <c r="B674" s="192" t="s">
        <v>269</v>
      </c>
      <c r="C674" s="192" t="s">
        <v>8997</v>
      </c>
      <c r="D674" s="192" t="s">
        <v>8706</v>
      </c>
      <c r="E674" s="193">
        <v>270</v>
      </c>
      <c r="F674" s="193">
        <v>1</v>
      </c>
      <c r="K674" s="176">
        <v>8</v>
      </c>
      <c r="M674" s="197">
        <v>3</v>
      </c>
      <c r="N674" s="198">
        <v>41822</v>
      </c>
      <c r="S674" s="176">
        <f>(AE674*BS674)/100</f>
        <v>8.6774725274725295</v>
      </c>
      <c r="T674" s="198"/>
      <c r="U674" s="176">
        <v>16.2</v>
      </c>
      <c r="Y674" s="200">
        <f>(AE674*BU674)/100</f>
        <v>4.1213268213268224</v>
      </c>
      <c r="Z674" s="198"/>
      <c r="AA674" s="200"/>
      <c r="AB674" s="198"/>
      <c r="AC674" s="378">
        <f t="shared" si="10"/>
        <v>17.203703703703706</v>
      </c>
      <c r="AE674" s="176">
        <f>(M674/U674)*((100-CC674)/(100-9))*100</f>
        <v>18.90516890516891</v>
      </c>
      <c r="AF674" s="198">
        <v>41822</v>
      </c>
      <c r="AG674" s="176">
        <v>5</v>
      </c>
      <c r="AH674" s="196">
        <v>41927</v>
      </c>
      <c r="AI674" s="176">
        <v>100</v>
      </c>
      <c r="AM674" s="176">
        <v>91</v>
      </c>
      <c r="BG674" s="201">
        <v>46</v>
      </c>
      <c r="BI674" s="201">
        <v>4.0999999999999996</v>
      </c>
      <c r="BK674" s="201">
        <v>1.3</v>
      </c>
      <c r="BM674" s="201">
        <v>39.299999999999997</v>
      </c>
      <c r="BO674" s="201">
        <v>14.1</v>
      </c>
      <c r="BQ674" s="201">
        <v>9</v>
      </c>
      <c r="BS674" s="201">
        <v>45.9</v>
      </c>
      <c r="BU674" s="201">
        <v>21.8</v>
      </c>
      <c r="BW674" s="201">
        <v>62.7</v>
      </c>
      <c r="BY674" s="178">
        <v>6.7000000000000028</v>
      </c>
      <c r="CC674" s="201">
        <v>7.1</v>
      </c>
      <c r="CD674" s="198">
        <v>41822</v>
      </c>
      <c r="CI674" s="174" t="s">
        <v>9337</v>
      </c>
      <c r="CL674" s="174">
        <v>7</v>
      </c>
    </row>
    <row r="675" spans="1:91">
      <c r="A675" s="191" t="s">
        <v>7705</v>
      </c>
      <c r="B675" s="192" t="s">
        <v>269</v>
      </c>
      <c r="C675" s="192" t="s">
        <v>8997</v>
      </c>
      <c r="D675" s="192" t="s">
        <v>8514</v>
      </c>
      <c r="E675" s="193">
        <v>270</v>
      </c>
      <c r="F675" s="193">
        <v>2</v>
      </c>
      <c r="K675" s="176">
        <v>6</v>
      </c>
      <c r="M675" s="197">
        <v>2.1</v>
      </c>
      <c r="N675" s="198">
        <v>41822</v>
      </c>
      <c r="S675" s="176">
        <f>(AE675*BS675)/100</f>
        <v>6.9021367521367525</v>
      </c>
      <c r="T675" s="198"/>
      <c r="U675" s="176">
        <v>16.2</v>
      </c>
      <c r="Y675" s="200">
        <f>(AE675*BU675)/100</f>
        <v>2.2918803418803422</v>
      </c>
      <c r="Z675" s="198"/>
      <c r="AA675" s="200"/>
      <c r="AB675" s="198"/>
      <c r="AC675" s="378">
        <f t="shared" si="10"/>
        <v>12.055555555555557</v>
      </c>
      <c r="AE675" s="176">
        <f>(M675/U675)*((100-CC675)/(100-9))*100</f>
        <v>13.247863247863249</v>
      </c>
      <c r="AF675" s="198">
        <v>41822</v>
      </c>
      <c r="AG675" s="176">
        <v>4.3</v>
      </c>
      <c r="AH675" s="196">
        <v>41927</v>
      </c>
      <c r="AI675" s="176">
        <v>120</v>
      </c>
      <c r="AM675" s="176">
        <v>80</v>
      </c>
      <c r="BG675" s="201">
        <v>0</v>
      </c>
      <c r="BI675" s="201">
        <v>4.3</v>
      </c>
      <c r="BK675" s="201">
        <v>1.7</v>
      </c>
      <c r="BM675" s="201">
        <v>64.7</v>
      </c>
      <c r="BO675" s="201">
        <v>17.899999999999999</v>
      </c>
      <c r="BQ675" s="201">
        <v>9.1999999999999993</v>
      </c>
      <c r="BS675" s="201">
        <v>52.1</v>
      </c>
      <c r="BU675" s="201">
        <v>17.3</v>
      </c>
      <c r="BW675" s="201">
        <v>12.8</v>
      </c>
      <c r="BY675" s="178">
        <v>6.9000000000000057</v>
      </c>
      <c r="CC675" s="201">
        <v>7</v>
      </c>
      <c r="CD675" s="198">
        <v>41822</v>
      </c>
      <c r="CI675" s="174" t="s">
        <v>9354</v>
      </c>
      <c r="CL675" s="174">
        <v>3</v>
      </c>
    </row>
    <row r="676" spans="1:91">
      <c r="A676" s="202" t="s">
        <v>7746</v>
      </c>
      <c r="B676" s="203" t="s">
        <v>269</v>
      </c>
      <c r="C676" s="203" t="s">
        <v>8997</v>
      </c>
      <c r="D676" s="203" t="s">
        <v>8678</v>
      </c>
      <c r="E676" s="204">
        <v>270</v>
      </c>
      <c r="F676" s="204">
        <v>3</v>
      </c>
      <c r="G676" s="204"/>
      <c r="H676" s="204"/>
      <c r="I676" s="206"/>
      <c r="J676" s="206"/>
      <c r="K676" s="177">
        <v>7</v>
      </c>
      <c r="L676" s="207"/>
      <c r="M676" s="208">
        <v>1.2</v>
      </c>
      <c r="N676" s="209">
        <v>41822</v>
      </c>
      <c r="O676" s="183"/>
      <c r="P676" s="210"/>
      <c r="Q676" s="183"/>
      <c r="R676" s="210"/>
      <c r="S676" s="177">
        <f>(AE676*BS676)/100</f>
        <v>3.6982336182336173</v>
      </c>
      <c r="T676" s="209"/>
      <c r="U676" s="177">
        <v>16.2</v>
      </c>
      <c r="V676" s="210"/>
      <c r="W676" s="183"/>
      <c r="X676" s="210"/>
      <c r="Y676" s="213">
        <f>(AE676*BU676)/100</f>
        <v>1.5308262108262105</v>
      </c>
      <c r="Z676" s="209"/>
      <c r="AA676" s="213"/>
      <c r="AB676" s="209"/>
      <c r="AC676" s="378">
        <f t="shared" si="10"/>
        <v>6.8962962962962955</v>
      </c>
      <c r="AD676" s="207"/>
      <c r="AE676" s="177">
        <f>(M676/U676)*((100-CC676)/(100-9))*100</f>
        <v>7.5783475783475769</v>
      </c>
      <c r="AF676" s="209">
        <v>41822</v>
      </c>
      <c r="AG676" s="177">
        <v>6.1</v>
      </c>
      <c r="AH676" s="207">
        <v>41927</v>
      </c>
      <c r="AI676" s="177">
        <v>90</v>
      </c>
      <c r="AJ676" s="207"/>
      <c r="AK676" s="183"/>
      <c r="AL676" s="210"/>
      <c r="AM676" s="177">
        <v>82</v>
      </c>
      <c r="AN676" s="210"/>
      <c r="AO676" s="183"/>
      <c r="AP676" s="183"/>
      <c r="AQ676" s="183"/>
      <c r="AR676" s="183"/>
      <c r="AS676" s="183"/>
      <c r="AT676" s="183"/>
      <c r="AU676" s="183"/>
      <c r="AV676" s="183"/>
      <c r="AW676" s="183"/>
      <c r="AX676" s="183"/>
      <c r="AY676" s="183"/>
      <c r="AZ676" s="183"/>
      <c r="BA676" s="183"/>
      <c r="BB676" s="183"/>
      <c r="BC676" s="183"/>
      <c r="BD676" s="183"/>
      <c r="BE676" s="182"/>
      <c r="BF676" s="182"/>
      <c r="BG676" s="211">
        <v>42.1</v>
      </c>
      <c r="BH676" s="181"/>
      <c r="BI676" s="211">
        <v>4.5999999999999996</v>
      </c>
      <c r="BJ676" s="181"/>
      <c r="BK676" s="211">
        <v>0.9</v>
      </c>
      <c r="BL676" s="181"/>
      <c r="BM676" s="211">
        <v>35.1</v>
      </c>
      <c r="BN676" s="181"/>
      <c r="BO676" s="211">
        <v>16.7</v>
      </c>
      <c r="BP676" s="181"/>
      <c r="BQ676" s="211">
        <v>10.6</v>
      </c>
      <c r="BR676" s="181"/>
      <c r="BS676" s="211">
        <v>48.8</v>
      </c>
      <c r="BT676" s="181"/>
      <c r="BU676" s="211">
        <v>20.2</v>
      </c>
      <c r="BV676" s="181"/>
      <c r="BW676" s="211">
        <v>82.2</v>
      </c>
      <c r="BX676" s="181"/>
      <c r="BY676" s="181">
        <v>6.7999999999999972</v>
      </c>
      <c r="BZ676" s="181"/>
      <c r="CA676" s="182"/>
      <c r="CB676" s="182"/>
      <c r="CC676" s="211">
        <v>6.9</v>
      </c>
      <c r="CD676" s="209">
        <v>41822</v>
      </c>
      <c r="CE676" s="181"/>
      <c r="CF676" s="181"/>
      <c r="CG676" s="182"/>
      <c r="CH676" s="182"/>
      <c r="CI676" s="175" t="s">
        <v>9351</v>
      </c>
      <c r="CJ676" s="181"/>
      <c r="CK676" s="181"/>
      <c r="CL676" s="175">
        <v>8</v>
      </c>
      <c r="CM676" s="175"/>
    </row>
    <row r="677" spans="1:91">
      <c r="A677" s="191" t="s">
        <v>7654</v>
      </c>
      <c r="B677" s="192" t="s">
        <v>269</v>
      </c>
      <c r="C677" s="192" t="s">
        <v>8997</v>
      </c>
      <c r="D677" s="192" t="s">
        <v>8310</v>
      </c>
      <c r="E677" s="193">
        <v>270</v>
      </c>
      <c r="F677" s="193">
        <v>4</v>
      </c>
      <c r="K677" s="176">
        <v>7</v>
      </c>
      <c r="M677" s="197">
        <v>0.95</v>
      </c>
      <c r="N677" s="198">
        <v>41822</v>
      </c>
      <c r="S677" s="176">
        <f>(AE677*BS677)/100</f>
        <v>2.7120818070818071</v>
      </c>
      <c r="T677" s="198"/>
      <c r="U677" s="176">
        <v>16.2</v>
      </c>
      <c r="Y677" s="200">
        <f>(AE677*BU677)/100</f>
        <v>1.1469597069597066</v>
      </c>
      <c r="Z677" s="198"/>
      <c r="AA677" s="200"/>
      <c r="AB677" s="198"/>
      <c r="AC677" s="378">
        <f t="shared" si="10"/>
        <v>5.4361111111111109</v>
      </c>
      <c r="AE677" s="176">
        <f>(M677/U677)*((100-CC677)/(100-9))*100</f>
        <v>5.973748473748473</v>
      </c>
      <c r="AF677" s="198">
        <v>41822</v>
      </c>
      <c r="AG677" s="176">
        <v>4.3</v>
      </c>
      <c r="AH677" s="196">
        <v>41927</v>
      </c>
      <c r="AI677" s="176">
        <v>90</v>
      </c>
      <c r="AM677" s="176">
        <v>82</v>
      </c>
      <c r="BG677" s="201">
        <v>12.9</v>
      </c>
      <c r="BI677" s="201">
        <v>4.7</v>
      </c>
      <c r="BK677" s="201">
        <v>1.3</v>
      </c>
      <c r="BM677" s="201">
        <v>52.7</v>
      </c>
      <c r="BO677" s="201">
        <v>19.5</v>
      </c>
      <c r="BQ677" s="201">
        <v>11.1</v>
      </c>
      <c r="BS677" s="201">
        <v>45.4</v>
      </c>
      <c r="BU677" s="201">
        <v>19.2</v>
      </c>
      <c r="BW677" s="201">
        <v>78.5</v>
      </c>
      <c r="BY677" s="178">
        <v>7.2000000000000028</v>
      </c>
      <c r="CC677" s="201">
        <v>7.3</v>
      </c>
      <c r="CD677" s="198">
        <v>41822</v>
      </c>
      <c r="CI677" s="174" t="s">
        <v>9370</v>
      </c>
      <c r="CL677" s="174">
        <v>9</v>
      </c>
    </row>
    <row r="678" spans="1:91">
      <c r="A678" s="191" t="s">
        <v>7757</v>
      </c>
      <c r="B678" s="192" t="s">
        <v>269</v>
      </c>
      <c r="C678" s="192" t="s">
        <v>8997</v>
      </c>
      <c r="D678" s="192" t="s">
        <v>8722</v>
      </c>
      <c r="E678" s="193">
        <v>270</v>
      </c>
      <c r="F678" s="193">
        <v>5</v>
      </c>
      <c r="K678" s="176">
        <v>9</v>
      </c>
      <c r="M678" s="197">
        <v>3.1</v>
      </c>
      <c r="N678" s="198">
        <v>41822</v>
      </c>
      <c r="S678" s="176">
        <f>(AE678*BS678)/100</f>
        <v>9.9030932030932046</v>
      </c>
      <c r="T678" s="198"/>
      <c r="U678" s="176">
        <v>16.2</v>
      </c>
      <c r="Y678" s="200">
        <f>(AE678*BU678)/100</f>
        <v>3.5382309048975715</v>
      </c>
      <c r="Z678" s="198"/>
      <c r="AA678" s="200"/>
      <c r="AB678" s="198"/>
      <c r="AC678" s="378">
        <f t="shared" si="10"/>
        <v>17.987654320987655</v>
      </c>
      <c r="AE678" s="176">
        <f>(M678/U678)*((100-CC678)/(100-9))*100</f>
        <v>19.766653099986435</v>
      </c>
      <c r="AF678" s="198">
        <v>41822</v>
      </c>
      <c r="AG678" s="176">
        <v>4.2</v>
      </c>
      <c r="AH678" s="196">
        <v>41927</v>
      </c>
      <c r="AI678" s="176">
        <v>130</v>
      </c>
      <c r="AM678" s="176">
        <v>87</v>
      </c>
      <c r="BG678" s="201">
        <v>57.6</v>
      </c>
      <c r="BI678" s="201">
        <v>4.4000000000000004</v>
      </c>
      <c r="BK678" s="201">
        <v>0.7</v>
      </c>
      <c r="BM678" s="201">
        <v>20.5</v>
      </c>
      <c r="BO678" s="201">
        <v>17.600000000000001</v>
      </c>
      <c r="BQ678" s="201">
        <v>8.6999999999999993</v>
      </c>
      <c r="BS678" s="201">
        <v>50.1</v>
      </c>
      <c r="BU678" s="201">
        <v>17.899999999999999</v>
      </c>
      <c r="BW678" s="201">
        <v>48.3</v>
      </c>
      <c r="BY678" s="178">
        <v>6.2000000000000028</v>
      </c>
      <c r="CC678" s="201">
        <v>6</v>
      </c>
      <c r="CD678" s="198">
        <v>41822</v>
      </c>
      <c r="CI678" s="174" t="s">
        <v>9355</v>
      </c>
      <c r="CL678" s="174">
        <v>2</v>
      </c>
    </row>
    <row r="679" spans="1:91">
      <c r="A679" s="191" t="s">
        <v>7731</v>
      </c>
      <c r="B679" s="192" t="s">
        <v>269</v>
      </c>
      <c r="C679" s="192" t="s">
        <v>8997</v>
      </c>
      <c r="D679" s="192" t="s">
        <v>8618</v>
      </c>
      <c r="E679" s="193">
        <v>270</v>
      </c>
      <c r="F679" s="193">
        <v>6</v>
      </c>
      <c r="K679" s="176">
        <v>6</v>
      </c>
      <c r="M679" s="197">
        <v>2.4</v>
      </c>
      <c r="N679" s="198">
        <v>41822</v>
      </c>
      <c r="S679" s="176">
        <f>(AE679*BS679)/100</f>
        <v>7.5318192918192928</v>
      </c>
      <c r="T679" s="198"/>
      <c r="U679" s="176">
        <v>16.2</v>
      </c>
      <c r="Y679" s="200">
        <f>(AE679*BU679)/100</f>
        <v>2.6618477818477824</v>
      </c>
      <c r="Z679" s="198"/>
      <c r="AA679" s="200"/>
      <c r="AB679" s="198"/>
      <c r="AC679" s="378">
        <f t="shared" si="10"/>
        <v>13.762962962962963</v>
      </c>
      <c r="AE679" s="176">
        <f>(M679/U679)*((100-CC679)/(100-9))*100</f>
        <v>15.124135124135126</v>
      </c>
      <c r="AF679" s="198">
        <v>41822</v>
      </c>
      <c r="AG679" s="176">
        <v>4.2</v>
      </c>
      <c r="AH679" s="196">
        <v>41927</v>
      </c>
      <c r="AI679" s="176">
        <v>125</v>
      </c>
      <c r="AM679" s="176">
        <v>87</v>
      </c>
      <c r="BG679" s="201">
        <v>10.7</v>
      </c>
      <c r="BI679" s="201">
        <v>4.8</v>
      </c>
      <c r="BK679" s="201">
        <v>1.3</v>
      </c>
      <c r="BM679" s="201">
        <v>57.2</v>
      </c>
      <c r="BO679" s="201">
        <v>20.2</v>
      </c>
      <c r="BQ679" s="201">
        <v>9.3000000000000007</v>
      </c>
      <c r="BS679" s="201">
        <v>49.8</v>
      </c>
      <c r="BU679" s="201">
        <v>17.600000000000001</v>
      </c>
      <c r="BW679" s="201">
        <v>20.5</v>
      </c>
      <c r="BY679" s="178">
        <v>6.9000000000000057</v>
      </c>
      <c r="CC679" s="201">
        <v>7.1</v>
      </c>
      <c r="CD679" s="198">
        <v>41822</v>
      </c>
      <c r="CI679" s="174" t="s">
        <v>9367</v>
      </c>
      <c r="CL679" s="174">
        <v>4</v>
      </c>
    </row>
    <row r="680" spans="1:91">
      <c r="A680" s="191" t="s">
        <v>7716</v>
      </c>
      <c r="B680" s="192" t="s">
        <v>271</v>
      </c>
      <c r="C680" s="192" t="s">
        <v>8999</v>
      </c>
      <c r="D680" s="192" t="s">
        <v>8560</v>
      </c>
      <c r="E680" s="193">
        <v>270</v>
      </c>
      <c r="F680" s="193">
        <v>7</v>
      </c>
      <c r="K680" s="176">
        <v>7</v>
      </c>
      <c r="M680" s="197">
        <v>5.05</v>
      </c>
      <c r="N680" s="198">
        <v>41822</v>
      </c>
      <c r="S680" s="176">
        <f>(AE680*BS680)/100</f>
        <v>16.349434947768284</v>
      </c>
      <c r="T680" s="198"/>
      <c r="U680" s="176">
        <v>16.2</v>
      </c>
      <c r="Y680" s="200">
        <f>(AE680*BU680)/100</f>
        <v>5.6951064984398325</v>
      </c>
      <c r="Z680" s="198"/>
      <c r="AA680" s="200"/>
      <c r="AB680" s="198"/>
      <c r="AC680" s="378">
        <f t="shared" si="10"/>
        <v>29.115432098765435</v>
      </c>
      <c r="AE680" s="176">
        <f>(M680/U680)*((100-CC680)/(100-9))*100</f>
        <v>31.994980328313666</v>
      </c>
      <c r="AF680" s="198">
        <v>41822</v>
      </c>
      <c r="AG680" s="176">
        <v>4.4000000000000004</v>
      </c>
      <c r="AH680" s="196">
        <v>41927</v>
      </c>
      <c r="AI680" s="176">
        <v>145</v>
      </c>
      <c r="AM680" s="176">
        <v>85</v>
      </c>
      <c r="BG680" s="201">
        <v>0</v>
      </c>
      <c r="BI680" s="201">
        <v>4.5</v>
      </c>
      <c r="BK680" s="201">
        <v>1.7</v>
      </c>
      <c r="BM680" s="201">
        <v>67.599999999999994</v>
      </c>
      <c r="BO680" s="201">
        <v>19.899999999999999</v>
      </c>
      <c r="BQ680" s="201">
        <v>7.6</v>
      </c>
      <c r="BS680" s="201">
        <v>51.1</v>
      </c>
      <c r="BU680" s="201">
        <v>17.8</v>
      </c>
      <c r="BW680" s="201">
        <v>14.3</v>
      </c>
      <c r="BY680" s="178">
        <v>6.2000000000000028</v>
      </c>
      <c r="CC680" s="201">
        <v>6.6</v>
      </c>
      <c r="CD680" s="198">
        <v>41822</v>
      </c>
      <c r="CI680" s="174" t="s">
        <v>9358</v>
      </c>
      <c r="CL680" s="174">
        <v>3</v>
      </c>
    </row>
    <row r="681" spans="1:91">
      <c r="A681" s="202" t="s">
        <v>7616</v>
      </c>
      <c r="B681" s="203" t="s">
        <v>271</v>
      </c>
      <c r="C681" s="203" t="s">
        <v>8999</v>
      </c>
      <c r="D681" s="203" t="s">
        <v>8160</v>
      </c>
      <c r="E681" s="204">
        <v>270</v>
      </c>
      <c r="F681" s="204">
        <v>8</v>
      </c>
      <c r="G681" s="204"/>
      <c r="H681" s="204"/>
      <c r="I681" s="185"/>
      <c r="J681" s="206"/>
      <c r="K681" s="177">
        <v>8</v>
      </c>
      <c r="L681" s="207"/>
      <c r="M681" s="208">
        <v>1.95</v>
      </c>
      <c r="N681" s="209">
        <v>41822</v>
      </c>
      <c r="O681" s="182"/>
      <c r="P681" s="210"/>
      <c r="Q681" s="183"/>
      <c r="R681" s="210"/>
      <c r="S681" s="177">
        <f>(AE681*BS681)/100</f>
        <v>5.49830687830688</v>
      </c>
      <c r="T681" s="209"/>
      <c r="U681" s="177">
        <v>16.2</v>
      </c>
      <c r="V681" s="210"/>
      <c r="W681" s="183"/>
      <c r="X681" s="210"/>
      <c r="Y681" s="213">
        <f>(AE681*BU681)/100</f>
        <v>2.7121693121693129</v>
      </c>
      <c r="Z681" s="209"/>
      <c r="AA681" s="213"/>
      <c r="AB681" s="209"/>
      <c r="AC681" s="378">
        <f t="shared" si="10"/>
        <v>11.21851851851852</v>
      </c>
      <c r="AD681" s="207"/>
      <c r="AE681" s="177">
        <f>(M681/U681)*((100-CC681)/(100-9))*100</f>
        <v>12.328042328042331</v>
      </c>
      <c r="AF681" s="209">
        <v>41822</v>
      </c>
      <c r="AG681" s="177">
        <v>5.2</v>
      </c>
      <c r="AH681" s="207">
        <v>41927</v>
      </c>
      <c r="AI681" s="177">
        <v>20</v>
      </c>
      <c r="AJ681" s="207"/>
      <c r="AK681" s="183"/>
      <c r="AL681" s="210"/>
      <c r="AM681" s="177">
        <v>76</v>
      </c>
      <c r="AN681" s="210"/>
      <c r="AO681" s="183"/>
      <c r="AP681" s="183"/>
      <c r="AQ681" s="183"/>
      <c r="AR681" s="183"/>
      <c r="AS681" s="183"/>
      <c r="AT681" s="183"/>
      <c r="AU681" s="183"/>
      <c r="AV681" s="183"/>
      <c r="AW681" s="183"/>
      <c r="AX681" s="183"/>
      <c r="AY681" s="183"/>
      <c r="AZ681" s="183"/>
      <c r="BA681" s="183"/>
      <c r="BB681" s="183"/>
      <c r="BC681" s="183"/>
      <c r="BD681" s="183"/>
      <c r="BE681" s="182"/>
      <c r="BF681" s="182"/>
      <c r="BG681" s="211">
        <v>42.2</v>
      </c>
      <c r="BH681" s="181"/>
      <c r="BI681" s="211">
        <v>4.4000000000000004</v>
      </c>
      <c r="BJ681" s="181"/>
      <c r="BK681" s="211">
        <v>1.1000000000000001</v>
      </c>
      <c r="BL681" s="181"/>
      <c r="BM681" s="211">
        <v>38.799999999999997</v>
      </c>
      <c r="BN681" s="181"/>
      <c r="BO681" s="211">
        <v>17</v>
      </c>
      <c r="BP681" s="181"/>
      <c r="BQ681" s="211">
        <v>9.5</v>
      </c>
      <c r="BR681" s="181"/>
      <c r="BS681" s="211">
        <v>44.6</v>
      </c>
      <c r="BT681" s="181"/>
      <c r="BU681" s="211">
        <v>22</v>
      </c>
      <c r="BV681" s="181"/>
      <c r="BW681" s="211">
        <v>67</v>
      </c>
      <c r="BX681" s="181"/>
      <c r="BY681" s="181">
        <v>6.9000000000000057</v>
      </c>
      <c r="BZ681" s="181"/>
      <c r="CA681" s="182"/>
      <c r="CB681" s="182"/>
      <c r="CC681" s="211">
        <v>6.8</v>
      </c>
      <c r="CD681" s="209">
        <v>41822</v>
      </c>
      <c r="CE681" s="181"/>
      <c r="CF681" s="181"/>
      <c r="CG681" s="182"/>
      <c r="CH681" s="182"/>
      <c r="CI681" s="175" t="s">
        <v>9380</v>
      </c>
      <c r="CJ681" s="181"/>
      <c r="CK681" s="181"/>
      <c r="CL681" s="175">
        <v>9</v>
      </c>
      <c r="CM681" s="175"/>
    </row>
    <row r="682" spans="1:91">
      <c r="A682" s="191" t="s">
        <v>7650</v>
      </c>
      <c r="B682" s="192" t="s">
        <v>271</v>
      </c>
      <c r="C682" s="192" t="s">
        <v>8999</v>
      </c>
      <c r="D682" s="192" t="s">
        <v>8296</v>
      </c>
      <c r="E682" s="193">
        <v>270</v>
      </c>
      <c r="F682" s="193">
        <v>9</v>
      </c>
      <c r="K682" s="176">
        <v>8</v>
      </c>
      <c r="M682" s="197">
        <v>3.25</v>
      </c>
      <c r="N682" s="198">
        <v>41822</v>
      </c>
      <c r="S682" s="176">
        <f>(AE682*BS682)/100</f>
        <v>9.103174603174601</v>
      </c>
      <c r="T682" s="198"/>
      <c r="U682" s="176">
        <v>16.2</v>
      </c>
      <c r="Y682" s="200">
        <f>(AE682*BU682)/100</f>
        <v>4.3055555555555545</v>
      </c>
      <c r="Z682" s="198"/>
      <c r="AA682" s="200"/>
      <c r="AB682" s="198"/>
      <c r="AC682" s="378">
        <f t="shared" si="10"/>
        <v>18.657407407407408</v>
      </c>
      <c r="AE682" s="176">
        <f>(M682/U682)*((100-CC682)/(100-9))*100</f>
        <v>20.5026455026455</v>
      </c>
      <c r="AF682" s="198">
        <v>41822</v>
      </c>
      <c r="AG682" s="176">
        <v>5.3</v>
      </c>
      <c r="AH682" s="196">
        <v>41927</v>
      </c>
      <c r="AI682" s="176">
        <v>145</v>
      </c>
      <c r="AM682" s="176">
        <v>79</v>
      </c>
      <c r="BG682" s="201">
        <v>0</v>
      </c>
      <c r="BI682" s="201">
        <v>4.3</v>
      </c>
      <c r="BK682" s="201">
        <v>1.7</v>
      </c>
      <c r="BM682" s="201">
        <v>58.1</v>
      </c>
      <c r="BO682" s="201">
        <v>22.1</v>
      </c>
      <c r="BQ682" s="201">
        <v>9.5</v>
      </c>
      <c r="BS682" s="201">
        <v>44.4</v>
      </c>
      <c r="BU682" s="201">
        <v>21</v>
      </c>
      <c r="BW682" s="201">
        <v>22.5</v>
      </c>
      <c r="BY682" s="178">
        <v>6.2999999999999972</v>
      </c>
      <c r="CC682" s="201">
        <v>7</v>
      </c>
      <c r="CD682" s="198">
        <v>41822</v>
      </c>
      <c r="CI682" s="174" t="s">
        <v>9355</v>
      </c>
      <c r="CL682" s="174">
        <v>5</v>
      </c>
    </row>
    <row r="683" spans="1:91">
      <c r="A683" s="191" t="s">
        <v>7897</v>
      </c>
      <c r="B683" s="192" t="s">
        <v>271</v>
      </c>
      <c r="C683" s="192" t="s">
        <v>8999</v>
      </c>
      <c r="D683" s="192" t="s">
        <v>8968</v>
      </c>
      <c r="E683" s="193">
        <v>270</v>
      </c>
      <c r="F683" s="193">
        <v>10</v>
      </c>
      <c r="K683" s="176">
        <v>7</v>
      </c>
      <c r="M683" s="197">
        <v>5.6</v>
      </c>
      <c r="N683" s="198">
        <v>41822</v>
      </c>
      <c r="S683" s="176">
        <f>(AE683*BS683)/100</f>
        <v>18.039772079772078</v>
      </c>
      <c r="T683" s="198"/>
      <c r="U683" s="176">
        <v>16.2</v>
      </c>
      <c r="Y683" s="200">
        <f>(AE683*BU683)/100</f>
        <v>6.0605128205128214</v>
      </c>
      <c r="Z683" s="198"/>
      <c r="AA683" s="200"/>
      <c r="AB683" s="198"/>
      <c r="AC683" s="378">
        <f t="shared" si="10"/>
        <v>32.251851851851846</v>
      </c>
      <c r="AE683" s="176">
        <f>(M683/U683)*((100-CC683)/(100-9))*100</f>
        <v>35.441595441595439</v>
      </c>
      <c r="AF683" s="198">
        <v>41822</v>
      </c>
      <c r="AG683" s="176">
        <v>4.4000000000000004</v>
      </c>
      <c r="AH683" s="196">
        <v>41927</v>
      </c>
      <c r="AI683" s="176">
        <v>160</v>
      </c>
      <c r="AM683" s="176">
        <v>78</v>
      </c>
      <c r="BG683" s="201">
        <v>0</v>
      </c>
      <c r="BI683" s="201">
        <v>4.5</v>
      </c>
      <c r="BK683" s="201">
        <v>1.5</v>
      </c>
      <c r="BM683" s="201">
        <v>64.3</v>
      </c>
      <c r="BO683" s="201">
        <v>19.899999999999999</v>
      </c>
      <c r="BQ683" s="201">
        <v>8.9</v>
      </c>
      <c r="BS683" s="201">
        <v>50.9</v>
      </c>
      <c r="BU683" s="201">
        <v>17.100000000000001</v>
      </c>
      <c r="BW683" s="201">
        <v>17.899999999999999</v>
      </c>
      <c r="BY683" s="178">
        <v>6.2999999999999972</v>
      </c>
      <c r="CC683" s="201">
        <v>6.7</v>
      </c>
      <c r="CD683" s="198">
        <v>41822</v>
      </c>
      <c r="CI683" s="174" t="s">
        <v>9381</v>
      </c>
      <c r="CL683" s="174">
        <v>1</v>
      </c>
    </row>
    <row r="684" spans="1:91">
      <c r="A684" s="191" t="s">
        <v>7724</v>
      </c>
      <c r="B684" s="192" t="s">
        <v>271</v>
      </c>
      <c r="C684" s="192" t="s">
        <v>8999</v>
      </c>
      <c r="D684" s="192" t="s">
        <v>8592</v>
      </c>
      <c r="E684" s="193">
        <v>270</v>
      </c>
      <c r="F684" s="193">
        <v>11</v>
      </c>
      <c r="K684" s="176">
        <v>6</v>
      </c>
      <c r="M684" s="197">
        <v>5.25</v>
      </c>
      <c r="N684" s="198">
        <v>41822</v>
      </c>
      <c r="S684" s="176">
        <f>(AE684*BS684)/100</f>
        <v>16.242307692307694</v>
      </c>
      <c r="T684" s="198"/>
      <c r="U684" s="176">
        <v>16.2</v>
      </c>
      <c r="Y684" s="200">
        <f>(AE684*BU684)/100</f>
        <v>5.7112179487179491</v>
      </c>
      <c r="Z684" s="198"/>
      <c r="AA684" s="200"/>
      <c r="AB684" s="198"/>
      <c r="AC684" s="378">
        <f t="shared" si="10"/>
        <v>30.041666666666668</v>
      </c>
      <c r="AE684" s="176">
        <f>(M684/U684)*((100-CC684)/(100-9))*100</f>
        <v>33.012820512820511</v>
      </c>
      <c r="AF684" s="198">
        <v>41822</v>
      </c>
      <c r="AG684" s="176">
        <v>4.9000000000000004</v>
      </c>
      <c r="AH684" s="196">
        <v>41927</v>
      </c>
      <c r="AI684" s="176">
        <v>165</v>
      </c>
      <c r="AM684" s="176">
        <v>84</v>
      </c>
      <c r="BG684" s="201">
        <v>1</v>
      </c>
      <c r="BI684" s="201">
        <v>4.5999999999999996</v>
      </c>
      <c r="BK684" s="201">
        <v>1.8</v>
      </c>
      <c r="BM684" s="201">
        <v>65.7</v>
      </c>
      <c r="BO684" s="201">
        <v>19.5</v>
      </c>
      <c r="BQ684" s="201">
        <v>7.4</v>
      </c>
      <c r="BS684" s="201">
        <v>49.2</v>
      </c>
      <c r="BU684" s="201">
        <v>17.3</v>
      </c>
      <c r="BW684" s="201">
        <v>10.6</v>
      </c>
      <c r="BY684" s="178">
        <v>6.9000000000000057</v>
      </c>
      <c r="CC684" s="201">
        <v>7.3</v>
      </c>
      <c r="CD684" s="198">
        <v>41822</v>
      </c>
      <c r="CI684" s="174" t="s">
        <v>9362</v>
      </c>
      <c r="CL684" s="174">
        <v>1</v>
      </c>
    </row>
    <row r="685" spans="1:91">
      <c r="A685" s="191" t="s">
        <v>7676</v>
      </c>
      <c r="B685" s="192" t="s">
        <v>271</v>
      </c>
      <c r="C685" s="192" t="s">
        <v>8999</v>
      </c>
      <c r="D685" s="192" t="s">
        <v>8400</v>
      </c>
      <c r="E685" s="193">
        <v>270</v>
      </c>
      <c r="F685" s="193">
        <v>12</v>
      </c>
      <c r="K685" s="176">
        <v>7</v>
      </c>
      <c r="M685" s="197">
        <v>5.15</v>
      </c>
      <c r="N685" s="198">
        <v>41822</v>
      </c>
      <c r="S685" s="176">
        <f>(AE685*BS685)/100</f>
        <v>15.94592592592593</v>
      </c>
      <c r="T685" s="198"/>
      <c r="U685" s="176">
        <v>16.2</v>
      </c>
      <c r="Y685" s="200">
        <f>(AE685*BU685)/100</f>
        <v>5.7456980056980065</v>
      </c>
      <c r="Z685" s="198"/>
      <c r="AA685" s="200"/>
      <c r="AB685" s="198"/>
      <c r="AC685" s="378">
        <f t="shared" si="10"/>
        <v>29.374074074074077</v>
      </c>
      <c r="AE685" s="176">
        <f>(M685/U685)*((100-CC685)/(100-9))*100</f>
        <v>32.279202279202288</v>
      </c>
      <c r="AF685" s="198">
        <v>41822</v>
      </c>
      <c r="AG685" s="176">
        <v>4.5999999999999996</v>
      </c>
      <c r="AH685" s="196">
        <v>41927</v>
      </c>
      <c r="AI685" s="176">
        <v>140</v>
      </c>
      <c r="AM685" s="176">
        <v>90</v>
      </c>
      <c r="BG685" s="201">
        <v>0</v>
      </c>
      <c r="BI685" s="201">
        <v>4.2</v>
      </c>
      <c r="BK685" s="201">
        <v>1.6</v>
      </c>
      <c r="BM685" s="201">
        <v>64.3</v>
      </c>
      <c r="BO685" s="201">
        <v>20.399999999999999</v>
      </c>
      <c r="BQ685" s="201">
        <v>9.1999999999999993</v>
      </c>
      <c r="BS685" s="201">
        <v>49.4</v>
      </c>
      <c r="BU685" s="201">
        <v>17.8</v>
      </c>
      <c r="BW685" s="201">
        <v>15.2</v>
      </c>
      <c r="BY685" s="178">
        <v>6.7999999999999972</v>
      </c>
      <c r="CC685" s="201">
        <v>7.6</v>
      </c>
      <c r="CD685" s="198">
        <v>41822</v>
      </c>
      <c r="CI685" s="174" t="s">
        <v>9403</v>
      </c>
      <c r="CL685" s="174">
        <v>1</v>
      </c>
    </row>
    <row r="686" spans="1:91">
      <c r="A686" s="191" t="s">
        <v>7694</v>
      </c>
      <c r="B686" s="192" t="s">
        <v>269</v>
      </c>
      <c r="C686" s="192" t="s">
        <v>8997</v>
      </c>
      <c r="D686" s="192" t="s">
        <v>8470</v>
      </c>
      <c r="E686" s="193">
        <v>271</v>
      </c>
      <c r="F686" s="193">
        <v>1</v>
      </c>
      <c r="K686" s="176">
        <v>7</v>
      </c>
      <c r="M686" s="197">
        <v>4.25</v>
      </c>
      <c r="N686" s="198">
        <v>41822</v>
      </c>
      <c r="S686" s="176">
        <f>(AE686*BS686)/100</f>
        <v>13.347917514584182</v>
      </c>
      <c r="T686" s="198"/>
      <c r="U686" s="176">
        <v>16.2</v>
      </c>
      <c r="Y686" s="200">
        <f>(AE686*BU686)/100</f>
        <v>4.5649877899877911</v>
      </c>
      <c r="Z686" s="198"/>
      <c r="AA686" s="200"/>
      <c r="AB686" s="198"/>
      <c r="AC686" s="378">
        <f t="shared" si="10"/>
        <v>24.293209876543209</v>
      </c>
      <c r="AE686" s="176">
        <f>(M686/U686)*((100-CC686)/(100-9))*100</f>
        <v>26.695835029168364</v>
      </c>
      <c r="AF686" s="198">
        <v>41822</v>
      </c>
      <c r="AG686" s="176">
        <v>4.0999999999999996</v>
      </c>
      <c r="AH686" s="196">
        <v>41927</v>
      </c>
      <c r="AI686" s="176">
        <v>145</v>
      </c>
      <c r="AM686" s="176">
        <v>79</v>
      </c>
      <c r="BG686" s="201">
        <v>0.1</v>
      </c>
      <c r="BI686" s="201">
        <v>4.8</v>
      </c>
      <c r="BK686" s="201">
        <v>1.6</v>
      </c>
      <c r="BM686" s="201">
        <v>64.5</v>
      </c>
      <c r="BO686" s="201">
        <v>19</v>
      </c>
      <c r="BQ686" s="201">
        <v>9.5</v>
      </c>
      <c r="BS686" s="201">
        <v>50</v>
      </c>
      <c r="BU686" s="201">
        <v>17.100000000000001</v>
      </c>
      <c r="BW686" s="201">
        <v>12.6</v>
      </c>
      <c r="BY686" s="178">
        <v>6.7999999999999972</v>
      </c>
      <c r="CC686" s="201">
        <v>7.4</v>
      </c>
      <c r="CD686" s="198">
        <v>41822</v>
      </c>
      <c r="CI686" s="174" t="s">
        <v>9339</v>
      </c>
      <c r="CL686" s="174">
        <v>5</v>
      </c>
    </row>
    <row r="687" spans="1:91">
      <c r="A687" s="202" t="s">
        <v>7740</v>
      </c>
      <c r="B687" s="203" t="s">
        <v>269</v>
      </c>
      <c r="C687" s="203" t="s">
        <v>8997</v>
      </c>
      <c r="D687" s="203" t="s">
        <v>8654</v>
      </c>
      <c r="E687" s="204">
        <v>271</v>
      </c>
      <c r="F687" s="204">
        <v>2</v>
      </c>
      <c r="G687" s="204"/>
      <c r="H687" s="204"/>
      <c r="I687" s="206"/>
      <c r="J687" s="206"/>
      <c r="K687" s="177">
        <v>8</v>
      </c>
      <c r="L687" s="207"/>
      <c r="M687" s="208">
        <v>1.65</v>
      </c>
      <c r="N687" s="209">
        <v>41822</v>
      </c>
      <c r="O687" s="183"/>
      <c r="P687" s="210"/>
      <c r="Q687" s="183"/>
      <c r="R687" s="210"/>
      <c r="S687" s="177">
        <f>(AE687*BS687)/100</f>
        <v>5.0855525030525026</v>
      </c>
      <c r="T687" s="209"/>
      <c r="U687" s="177">
        <v>16.2</v>
      </c>
      <c r="V687" s="210"/>
      <c r="W687" s="183"/>
      <c r="X687" s="210"/>
      <c r="Y687" s="213">
        <f>(AE687*BU687)/100</f>
        <v>2.140735653235653</v>
      </c>
      <c r="Z687" s="209"/>
      <c r="AA687" s="213"/>
      <c r="AB687" s="209"/>
      <c r="AC687" s="378">
        <f t="shared" si="10"/>
        <v>9.5027777777777764</v>
      </c>
      <c r="AD687" s="207"/>
      <c r="AE687" s="177">
        <f>(M687/U687)*((100-CC687)/(100-9))*100</f>
        <v>10.442612942612941</v>
      </c>
      <c r="AF687" s="209">
        <v>41822</v>
      </c>
      <c r="AG687" s="177">
        <v>5.4</v>
      </c>
      <c r="AH687" s="207">
        <v>41927</v>
      </c>
      <c r="AI687" s="177">
        <v>80</v>
      </c>
      <c r="AJ687" s="207"/>
      <c r="AK687" s="183"/>
      <c r="AL687" s="210"/>
      <c r="AM687" s="177">
        <v>61</v>
      </c>
      <c r="AN687" s="210"/>
      <c r="AO687" s="183"/>
      <c r="AP687" s="183"/>
      <c r="AQ687" s="183"/>
      <c r="AR687" s="183"/>
      <c r="AS687" s="183"/>
      <c r="AT687" s="183"/>
      <c r="AU687" s="183"/>
      <c r="AV687" s="183"/>
      <c r="AW687" s="183"/>
      <c r="AX687" s="183"/>
      <c r="AY687" s="183"/>
      <c r="AZ687" s="183"/>
      <c r="BA687" s="183"/>
      <c r="BB687" s="183"/>
      <c r="BC687" s="183"/>
      <c r="BD687" s="183"/>
      <c r="BE687" s="182"/>
      <c r="BF687" s="182"/>
      <c r="BG687" s="211">
        <v>48.7</v>
      </c>
      <c r="BH687" s="181"/>
      <c r="BI687" s="211">
        <v>4.5</v>
      </c>
      <c r="BJ687" s="181"/>
      <c r="BK687" s="211">
        <v>0.9</v>
      </c>
      <c r="BL687" s="181"/>
      <c r="BM687" s="211">
        <v>26.8</v>
      </c>
      <c r="BN687" s="181"/>
      <c r="BO687" s="211">
        <v>16.3</v>
      </c>
      <c r="BP687" s="181"/>
      <c r="BQ687" s="211">
        <v>12.3</v>
      </c>
      <c r="BR687" s="181"/>
      <c r="BS687" s="211">
        <v>48.7</v>
      </c>
      <c r="BT687" s="181"/>
      <c r="BU687" s="211">
        <v>20.5</v>
      </c>
      <c r="BV687" s="181"/>
      <c r="BW687" s="211">
        <v>81.599999999999994</v>
      </c>
      <c r="BX687" s="181"/>
      <c r="BY687" s="181">
        <v>6.5</v>
      </c>
      <c r="BZ687" s="181"/>
      <c r="CA687" s="182"/>
      <c r="CB687" s="182"/>
      <c r="CC687" s="211">
        <v>6.7</v>
      </c>
      <c r="CD687" s="209">
        <v>41822</v>
      </c>
      <c r="CE687" s="181"/>
      <c r="CF687" s="181"/>
      <c r="CG687" s="182"/>
      <c r="CH687" s="182"/>
      <c r="CI687" s="175" t="s">
        <v>9370</v>
      </c>
      <c r="CJ687" s="181"/>
      <c r="CK687" s="181"/>
      <c r="CL687" s="175">
        <v>5</v>
      </c>
      <c r="CM687" s="175"/>
    </row>
    <row r="688" spans="1:91">
      <c r="A688" s="202" t="s">
        <v>7629</v>
      </c>
      <c r="B688" s="203" t="s">
        <v>269</v>
      </c>
      <c r="C688" s="203" t="s">
        <v>8997</v>
      </c>
      <c r="D688" s="203" t="s">
        <v>8210</v>
      </c>
      <c r="E688" s="204">
        <v>271</v>
      </c>
      <c r="F688" s="204">
        <v>3</v>
      </c>
      <c r="G688" s="204"/>
      <c r="H688" s="204"/>
      <c r="I688" s="185"/>
      <c r="J688" s="206"/>
      <c r="K688" s="177">
        <v>8</v>
      </c>
      <c r="L688" s="207"/>
      <c r="M688" s="208">
        <v>0.85</v>
      </c>
      <c r="N688" s="209">
        <v>41822</v>
      </c>
      <c r="O688" s="182"/>
      <c r="P688" s="210"/>
      <c r="Q688" s="183"/>
      <c r="R688" s="210"/>
      <c r="S688" s="177">
        <f>(AE688*BS688)/100</f>
        <v>2.6198300773300773</v>
      </c>
      <c r="T688" s="209"/>
      <c r="U688" s="177">
        <v>16.2</v>
      </c>
      <c r="V688" s="210"/>
      <c r="W688" s="183"/>
      <c r="X688" s="210"/>
      <c r="Y688" s="213">
        <f>(AE688*BU688)/100</f>
        <v>1.0436284086284084</v>
      </c>
      <c r="Z688" s="209"/>
      <c r="AA688" s="213"/>
      <c r="AB688" s="209"/>
      <c r="AC688" s="378">
        <f t="shared" si="10"/>
        <v>4.8953703703703706</v>
      </c>
      <c r="AD688" s="207"/>
      <c r="AE688" s="177">
        <f>(M688/U688)*((100-CC688)/(100-9))*100</f>
        <v>5.3795278795278794</v>
      </c>
      <c r="AF688" s="209">
        <v>41822</v>
      </c>
      <c r="AG688" s="177">
        <v>5.0999999999999996</v>
      </c>
      <c r="AH688" s="207">
        <v>41927</v>
      </c>
      <c r="AI688" s="177">
        <v>50</v>
      </c>
      <c r="AJ688" s="207"/>
      <c r="AK688" s="183"/>
      <c r="AL688" s="210"/>
      <c r="AM688" s="177">
        <v>69</v>
      </c>
      <c r="AN688" s="210"/>
      <c r="AO688" s="183"/>
      <c r="AP688" s="183"/>
      <c r="AQ688" s="183"/>
      <c r="AR688" s="183"/>
      <c r="AS688" s="183"/>
      <c r="AT688" s="183"/>
      <c r="AU688" s="183"/>
      <c r="AV688" s="183"/>
      <c r="AW688" s="183"/>
      <c r="AX688" s="183"/>
      <c r="AY688" s="183"/>
      <c r="AZ688" s="183"/>
      <c r="BA688" s="183"/>
      <c r="BB688" s="183"/>
      <c r="BC688" s="183"/>
      <c r="BD688" s="183"/>
      <c r="BE688" s="182"/>
      <c r="BF688" s="182"/>
      <c r="BG688" s="211">
        <v>32.1</v>
      </c>
      <c r="BH688" s="181"/>
      <c r="BI688" s="211">
        <v>4.2</v>
      </c>
      <c r="BJ688" s="181"/>
      <c r="BK688" s="211">
        <v>1.1000000000000001</v>
      </c>
      <c r="BL688" s="181"/>
      <c r="BM688" s="211">
        <v>41.5</v>
      </c>
      <c r="BN688" s="181"/>
      <c r="BO688" s="211">
        <v>16</v>
      </c>
      <c r="BP688" s="181"/>
      <c r="BQ688" s="211">
        <v>10.6</v>
      </c>
      <c r="BR688" s="181"/>
      <c r="BS688" s="211">
        <v>48.7</v>
      </c>
      <c r="BT688" s="181"/>
      <c r="BU688" s="211">
        <v>19.399999999999999</v>
      </c>
      <c r="BV688" s="181"/>
      <c r="BW688" s="211">
        <v>57.5</v>
      </c>
      <c r="BX688" s="181"/>
      <c r="BY688" s="181">
        <v>7.0999999999999943</v>
      </c>
      <c r="BZ688" s="181"/>
      <c r="CA688" s="182"/>
      <c r="CB688" s="182"/>
      <c r="CC688" s="211">
        <v>6.7</v>
      </c>
      <c r="CD688" s="209">
        <v>41822</v>
      </c>
      <c r="CE688" s="181"/>
      <c r="CF688" s="181"/>
      <c r="CG688" s="182"/>
      <c r="CH688" s="182"/>
      <c r="CI688" s="175" t="s">
        <v>9351</v>
      </c>
      <c r="CJ688" s="181"/>
      <c r="CK688" s="181"/>
      <c r="CL688" s="175">
        <v>8</v>
      </c>
      <c r="CM688" s="175"/>
    </row>
    <row r="689" spans="1:91">
      <c r="A689" s="191" t="s">
        <v>7771</v>
      </c>
      <c r="B689" s="192" t="s">
        <v>269</v>
      </c>
      <c r="C689" s="192" t="s">
        <v>8997</v>
      </c>
      <c r="D689" s="192" t="s">
        <v>8778</v>
      </c>
      <c r="E689" s="193">
        <v>271</v>
      </c>
      <c r="F689" s="193">
        <v>4</v>
      </c>
      <c r="K689" s="176">
        <v>4</v>
      </c>
      <c r="M689" s="197">
        <v>3</v>
      </c>
      <c r="N689" s="198">
        <v>41822</v>
      </c>
      <c r="S689" s="176">
        <f>(AE689*BS689)/100</f>
        <v>9.5087912087912088</v>
      </c>
      <c r="T689" s="198"/>
      <c r="U689" s="176">
        <v>16.2</v>
      </c>
      <c r="Y689" s="200">
        <f>(AE689*BU689)/100</f>
        <v>3.1945054945054947</v>
      </c>
      <c r="Z689" s="198"/>
      <c r="AA689" s="200"/>
      <c r="AB689" s="198"/>
      <c r="AC689" s="378">
        <f t="shared" si="10"/>
        <v>17</v>
      </c>
      <c r="AE689" s="176">
        <f>(M689/U689)*((100-CC689)/(100-9))*100</f>
        <v>18.681318681318682</v>
      </c>
      <c r="AF689" s="198">
        <v>41822</v>
      </c>
      <c r="AG689" s="176">
        <v>4.5</v>
      </c>
      <c r="AH689" s="196">
        <v>41927</v>
      </c>
      <c r="AI689" s="176">
        <v>120</v>
      </c>
      <c r="AM689" s="176">
        <v>87</v>
      </c>
      <c r="BG689" s="201">
        <v>0</v>
      </c>
      <c r="BI689" s="201">
        <v>4.8</v>
      </c>
      <c r="BK689" s="201">
        <v>1.7</v>
      </c>
      <c r="BM689" s="201">
        <v>64.8</v>
      </c>
      <c r="BO689" s="201">
        <v>18.100000000000001</v>
      </c>
      <c r="BQ689" s="201">
        <v>7.6</v>
      </c>
      <c r="BS689" s="201">
        <v>50.9</v>
      </c>
      <c r="BU689" s="201">
        <v>17.100000000000001</v>
      </c>
      <c r="BW689" s="201">
        <v>15.7</v>
      </c>
      <c r="BY689" s="178">
        <v>7.4000000000000057</v>
      </c>
      <c r="CC689" s="201">
        <v>8.1999999999999993</v>
      </c>
      <c r="CD689" s="198">
        <v>41822</v>
      </c>
      <c r="CI689" s="174" t="s">
        <v>9387</v>
      </c>
      <c r="CL689" s="174">
        <v>7</v>
      </c>
    </row>
    <row r="690" spans="1:91">
      <c r="A690" s="191" t="s">
        <v>7658</v>
      </c>
      <c r="B690" s="192" t="s">
        <v>269</v>
      </c>
      <c r="C690" s="192" t="s">
        <v>8997</v>
      </c>
      <c r="D690" s="192" t="s">
        <v>8326</v>
      </c>
      <c r="E690" s="193">
        <v>271</v>
      </c>
      <c r="F690" s="193">
        <v>5</v>
      </c>
      <c r="K690" s="176">
        <v>8</v>
      </c>
      <c r="M690" s="197">
        <v>2.95</v>
      </c>
      <c r="N690" s="198">
        <v>41822</v>
      </c>
      <c r="S690" s="176">
        <f>(AE690*BS690)/100</f>
        <v>8.9520553520553534</v>
      </c>
      <c r="T690" s="198"/>
      <c r="U690" s="176">
        <v>16.2</v>
      </c>
      <c r="Y690" s="200">
        <f>(AE690*BU690)/100</f>
        <v>3.4689214489214506</v>
      </c>
      <c r="Z690" s="198"/>
      <c r="AA690" s="200"/>
      <c r="AB690" s="198"/>
      <c r="AC690" s="378">
        <f t="shared" si="10"/>
        <v>16.971604938271607</v>
      </c>
      <c r="AE690" s="176">
        <f>(M690/U690)*((100-CC690)/(100-9))*100</f>
        <v>18.650115316781989</v>
      </c>
      <c r="AF690" s="198">
        <v>41822</v>
      </c>
      <c r="AG690" s="176">
        <v>5.5</v>
      </c>
      <c r="AH690" s="196">
        <v>41927</v>
      </c>
      <c r="AI690" s="176">
        <v>130</v>
      </c>
      <c r="AM690" s="176">
        <v>78</v>
      </c>
      <c r="BG690" s="201">
        <v>1.9</v>
      </c>
      <c r="BI690" s="201">
        <v>4.8</v>
      </c>
      <c r="BK690" s="201">
        <v>1.5</v>
      </c>
      <c r="BM690" s="201">
        <v>62.9</v>
      </c>
      <c r="BO690" s="201">
        <v>20.2</v>
      </c>
      <c r="BQ690" s="201">
        <v>8.6999999999999993</v>
      </c>
      <c r="BS690" s="201">
        <v>48</v>
      </c>
      <c r="BU690" s="201">
        <v>18.600000000000001</v>
      </c>
      <c r="BW690" s="201">
        <v>57.6</v>
      </c>
      <c r="BY690" s="178">
        <v>6.5999999999999943</v>
      </c>
      <c r="CC690" s="201">
        <v>6.8</v>
      </c>
      <c r="CD690" s="198">
        <v>41822</v>
      </c>
      <c r="CI690" s="174" t="s">
        <v>9349</v>
      </c>
      <c r="CL690" s="174">
        <v>1</v>
      </c>
    </row>
    <row r="691" spans="1:91">
      <c r="A691" s="191" t="s">
        <v>7698</v>
      </c>
      <c r="B691" s="192" t="s">
        <v>269</v>
      </c>
      <c r="C691" s="192" t="s">
        <v>8997</v>
      </c>
      <c r="D691" s="192" t="s">
        <v>8486</v>
      </c>
      <c r="E691" s="193">
        <v>271</v>
      </c>
      <c r="F691" s="193">
        <v>6</v>
      </c>
      <c r="K691" s="176">
        <v>6</v>
      </c>
      <c r="M691" s="197">
        <v>2.7</v>
      </c>
      <c r="N691" s="198">
        <v>41822</v>
      </c>
      <c r="S691" s="176">
        <f>(AE691*BS691)/100</f>
        <v>8.4641758241758236</v>
      </c>
      <c r="T691" s="198"/>
      <c r="U691" s="176">
        <v>16.2</v>
      </c>
      <c r="Y691" s="200">
        <f>(AE691*BU691)/100</f>
        <v>2.9063736263736271</v>
      </c>
      <c r="Z691" s="198"/>
      <c r="AA691" s="200"/>
      <c r="AB691" s="198"/>
      <c r="AC691" s="378">
        <f t="shared" si="10"/>
        <v>15.466666666666669</v>
      </c>
      <c r="AE691" s="176">
        <f>(M691/U691)*((100-CC691)/(100-9))*100</f>
        <v>16.996336996336996</v>
      </c>
      <c r="AF691" s="198">
        <v>41822</v>
      </c>
      <c r="AG691" s="176">
        <v>5.4</v>
      </c>
      <c r="AH691" s="196">
        <v>41927</v>
      </c>
      <c r="AI691" s="176">
        <v>120</v>
      </c>
      <c r="AM691" s="176">
        <v>82</v>
      </c>
      <c r="BG691" s="201">
        <v>11.7</v>
      </c>
      <c r="BI691" s="201">
        <v>4.7</v>
      </c>
      <c r="BK691" s="201">
        <v>1.5</v>
      </c>
      <c r="BM691" s="201">
        <v>68.900000000000006</v>
      </c>
      <c r="BO691" s="201">
        <v>19</v>
      </c>
      <c r="BQ691" s="201">
        <v>8</v>
      </c>
      <c r="BS691" s="201">
        <v>49.8</v>
      </c>
      <c r="BU691" s="201">
        <v>17.100000000000001</v>
      </c>
      <c r="BW691" s="201">
        <v>22.6</v>
      </c>
      <c r="BY691" s="178">
        <v>6.7000000000000028</v>
      </c>
      <c r="CC691" s="201">
        <v>7.2</v>
      </c>
      <c r="CD691" s="198">
        <v>41822</v>
      </c>
      <c r="CI691" s="174" t="s">
        <v>9359</v>
      </c>
      <c r="CL691" s="174">
        <v>2</v>
      </c>
    </row>
    <row r="692" spans="1:91">
      <c r="A692" s="191" t="s">
        <v>7741</v>
      </c>
      <c r="B692" s="192" t="s">
        <v>271</v>
      </c>
      <c r="C692" s="192" t="s">
        <v>8999</v>
      </c>
      <c r="D692" s="192" t="s">
        <v>8660</v>
      </c>
      <c r="E692" s="193">
        <v>271</v>
      </c>
      <c r="F692" s="193">
        <v>7</v>
      </c>
      <c r="K692" s="176">
        <v>7</v>
      </c>
      <c r="M692" s="197">
        <v>4.5</v>
      </c>
      <c r="N692" s="198">
        <v>41822</v>
      </c>
      <c r="S692" s="176">
        <f>(AE692*BS692)/100</f>
        <v>14.174603174603176</v>
      </c>
      <c r="T692" s="198"/>
      <c r="U692" s="176">
        <v>16.2</v>
      </c>
      <c r="Y692" s="200">
        <f>(AE692*BU692)/100</f>
        <v>5.5665445665445672</v>
      </c>
      <c r="Z692" s="198"/>
      <c r="AA692" s="200"/>
      <c r="AB692" s="198"/>
      <c r="AC692" s="378">
        <f t="shared" si="10"/>
        <v>26.111111111111111</v>
      </c>
      <c r="AE692" s="176">
        <f>(M692/U692)*((100-CC692)/(100-9))*100</f>
        <v>28.693528693528698</v>
      </c>
      <c r="AF692" s="198">
        <v>41822</v>
      </c>
      <c r="AG692" s="176">
        <v>4.4000000000000004</v>
      </c>
      <c r="AH692" s="196">
        <v>41927</v>
      </c>
      <c r="AI692" s="176">
        <v>140</v>
      </c>
      <c r="AM692" s="176">
        <v>86</v>
      </c>
      <c r="BG692" s="201">
        <v>58.7</v>
      </c>
      <c r="BI692" s="201">
        <v>4.4000000000000004</v>
      </c>
      <c r="BK692" s="201">
        <v>0.7</v>
      </c>
      <c r="BM692" s="201">
        <v>22.6</v>
      </c>
      <c r="BO692" s="201">
        <v>14.9</v>
      </c>
      <c r="BQ692" s="201">
        <v>9.4</v>
      </c>
      <c r="BS692" s="201">
        <v>49.4</v>
      </c>
      <c r="BU692" s="201">
        <v>19.399999999999999</v>
      </c>
      <c r="BW692" s="201">
        <v>78.7</v>
      </c>
      <c r="BY692" s="178">
        <v>5.9000000000000057</v>
      </c>
      <c r="CC692" s="201">
        <v>6</v>
      </c>
      <c r="CD692" s="198">
        <v>41822</v>
      </c>
      <c r="CI692" s="174" t="s">
        <v>9353</v>
      </c>
      <c r="CL692" s="174">
        <v>4</v>
      </c>
    </row>
    <row r="693" spans="1:91">
      <c r="A693" s="191" t="s">
        <v>7677</v>
      </c>
      <c r="B693" s="192" t="s">
        <v>271</v>
      </c>
      <c r="C693" s="192" t="s">
        <v>8999</v>
      </c>
      <c r="D693" s="192" t="s">
        <v>8404</v>
      </c>
      <c r="E693" s="193">
        <v>271</v>
      </c>
      <c r="F693" s="193">
        <v>8</v>
      </c>
      <c r="K693" s="176">
        <v>7</v>
      </c>
      <c r="M693" s="197">
        <v>5.65</v>
      </c>
      <c r="N693" s="198">
        <v>41822</v>
      </c>
      <c r="S693" s="176">
        <f>(AE693*BS693)/100</f>
        <v>18.060683760683762</v>
      </c>
      <c r="T693" s="198"/>
      <c r="U693" s="176">
        <v>16.2</v>
      </c>
      <c r="Y693" s="200">
        <f>(AE693*BU693)/100</f>
        <v>5.9485585402252079</v>
      </c>
      <c r="Z693" s="198"/>
      <c r="AA693" s="200"/>
      <c r="AB693" s="198"/>
      <c r="AC693" s="378">
        <f t="shared" si="10"/>
        <v>32.60956790123457</v>
      </c>
      <c r="AE693" s="176">
        <f>(M693/U693)*((100-CC693)/(100-9))*100</f>
        <v>35.83469000135667</v>
      </c>
      <c r="AF693" s="198">
        <v>41822</v>
      </c>
      <c r="AG693" s="176">
        <v>5.6</v>
      </c>
      <c r="AH693" s="196">
        <v>41927</v>
      </c>
      <c r="AI693" s="176">
        <v>155</v>
      </c>
      <c r="AM693" s="176">
        <v>87</v>
      </c>
      <c r="BG693" s="201">
        <v>5.0999999999999996</v>
      </c>
      <c r="BI693" s="201">
        <v>4.7</v>
      </c>
      <c r="BK693" s="201">
        <v>1.5</v>
      </c>
      <c r="BM693" s="201">
        <v>65.099999999999994</v>
      </c>
      <c r="BO693" s="201">
        <v>20.8</v>
      </c>
      <c r="BQ693" s="201">
        <v>7.9</v>
      </c>
      <c r="BS693" s="201">
        <v>50.4</v>
      </c>
      <c r="BU693" s="201">
        <v>16.600000000000001</v>
      </c>
      <c r="BW693" s="201">
        <v>17.2</v>
      </c>
      <c r="BY693" s="178">
        <v>6.2999999999999972</v>
      </c>
      <c r="CC693" s="201">
        <v>6.5</v>
      </c>
      <c r="CD693" s="198">
        <v>41822</v>
      </c>
      <c r="CI693" s="174" t="s">
        <v>9400</v>
      </c>
      <c r="CL693" s="174">
        <v>3</v>
      </c>
    </row>
    <row r="694" spans="1:91">
      <c r="A694" s="191" t="s">
        <v>7668</v>
      </c>
      <c r="B694" s="192" t="s">
        <v>271</v>
      </c>
      <c r="C694" s="192" t="s">
        <v>8999</v>
      </c>
      <c r="D694" s="192" t="s">
        <v>8368</v>
      </c>
      <c r="E694" s="193">
        <v>271</v>
      </c>
      <c r="F694" s="193">
        <v>9</v>
      </c>
      <c r="K694" s="176">
        <v>7</v>
      </c>
      <c r="M694" s="197">
        <v>6.6</v>
      </c>
      <c r="N694" s="198">
        <v>41822</v>
      </c>
      <c r="S694" s="176">
        <f>(AE694*BS694)/100</f>
        <v>21.074871794871797</v>
      </c>
      <c r="T694" s="198"/>
      <c r="U694" s="176">
        <v>16.2</v>
      </c>
      <c r="Y694" s="200">
        <f>(AE694*BU694)/100</f>
        <v>7.4849247049247047</v>
      </c>
      <c r="Z694" s="198"/>
      <c r="AA694" s="200"/>
      <c r="AB694" s="198"/>
      <c r="AC694" s="378">
        <f t="shared" si="10"/>
        <v>38.05185185185185</v>
      </c>
      <c r="AE694" s="176">
        <f>(M694/U694)*((100-CC694)/(100-9))*100</f>
        <v>41.815221815221818</v>
      </c>
      <c r="AF694" s="198">
        <v>41822</v>
      </c>
      <c r="AG694" s="176">
        <v>4.5</v>
      </c>
      <c r="AH694" s="196">
        <v>41927</v>
      </c>
      <c r="AI694" s="176">
        <v>170</v>
      </c>
      <c r="AM694" s="176">
        <v>84</v>
      </c>
      <c r="BG694" s="201">
        <v>1.5</v>
      </c>
      <c r="BI694" s="201">
        <v>4.5999999999999996</v>
      </c>
      <c r="BK694" s="201">
        <v>1.7</v>
      </c>
      <c r="BM694" s="201">
        <v>68.7</v>
      </c>
      <c r="BO694" s="201">
        <v>19.100000000000001</v>
      </c>
      <c r="BQ694" s="201">
        <v>6</v>
      </c>
      <c r="BS694" s="201">
        <v>50.4</v>
      </c>
      <c r="BU694" s="201">
        <v>17.899999999999999</v>
      </c>
      <c r="BW694" s="201">
        <v>14</v>
      </c>
      <c r="BY694" s="178">
        <v>6.4000000000000057</v>
      </c>
      <c r="CC694" s="201">
        <v>6.6</v>
      </c>
      <c r="CD694" s="198">
        <v>41822</v>
      </c>
      <c r="CI694" s="174" t="s">
        <v>9347</v>
      </c>
      <c r="CL694" s="174">
        <v>2</v>
      </c>
    </row>
    <row r="695" spans="1:91">
      <c r="A695" s="191" t="s">
        <v>7898</v>
      </c>
      <c r="B695" s="192" t="s">
        <v>271</v>
      </c>
      <c r="C695" s="192" t="s">
        <v>8999</v>
      </c>
      <c r="D695" s="192" t="s">
        <v>8984</v>
      </c>
      <c r="E695" s="193">
        <v>271</v>
      </c>
      <c r="F695" s="193">
        <v>10</v>
      </c>
      <c r="K695" s="176">
        <v>6</v>
      </c>
      <c r="M695" s="197">
        <v>7.35</v>
      </c>
      <c r="N695" s="198">
        <v>41822</v>
      </c>
      <c r="S695" s="176">
        <f>(AE695*BS695)/100</f>
        <v>23.562877492877497</v>
      </c>
      <c r="T695" s="198"/>
      <c r="U695" s="176">
        <v>16.2</v>
      </c>
      <c r="Y695" s="200">
        <f>(AE695*BU695)/100</f>
        <v>8.1026495726495735</v>
      </c>
      <c r="Z695" s="198"/>
      <c r="AA695" s="200"/>
      <c r="AB695" s="198"/>
      <c r="AC695" s="378">
        <f t="shared" si="10"/>
        <v>42.375925925925927</v>
      </c>
      <c r="AE695" s="176">
        <f>(M695/U695)*((100-CC695)/(100-9))*100</f>
        <v>46.566951566951573</v>
      </c>
      <c r="AF695" s="198">
        <v>41822</v>
      </c>
      <c r="AG695" s="176">
        <v>4.8</v>
      </c>
      <c r="AH695" s="196">
        <v>41927</v>
      </c>
      <c r="AI695" s="176">
        <v>165</v>
      </c>
      <c r="AM695" s="176">
        <v>86</v>
      </c>
      <c r="BG695" s="201">
        <v>0</v>
      </c>
      <c r="BI695" s="201">
        <v>4.5</v>
      </c>
      <c r="BK695" s="201">
        <v>1.7</v>
      </c>
      <c r="BM695" s="201">
        <v>64.3</v>
      </c>
      <c r="BO695" s="201">
        <v>20.399999999999999</v>
      </c>
      <c r="BQ695" s="201">
        <v>8.3000000000000007</v>
      </c>
      <c r="BS695" s="201">
        <v>50.6</v>
      </c>
      <c r="BU695" s="201">
        <v>17.399999999999999</v>
      </c>
      <c r="BW695" s="201">
        <v>11.2</v>
      </c>
      <c r="BY695" s="178">
        <v>6.2000000000000028</v>
      </c>
      <c r="CC695" s="201">
        <v>6.6</v>
      </c>
      <c r="CD695" s="198">
        <v>41822</v>
      </c>
      <c r="CI695" s="174" t="s">
        <v>9362</v>
      </c>
      <c r="CL695" s="174">
        <v>1</v>
      </c>
    </row>
    <row r="696" spans="1:91">
      <c r="A696" s="202" t="s">
        <v>7661</v>
      </c>
      <c r="B696" s="203" t="s">
        <v>271</v>
      </c>
      <c r="C696" s="203" t="s">
        <v>8999</v>
      </c>
      <c r="D696" s="203" t="s">
        <v>8340</v>
      </c>
      <c r="E696" s="204">
        <v>271</v>
      </c>
      <c r="F696" s="204">
        <v>11</v>
      </c>
      <c r="G696" s="204"/>
      <c r="H696" s="204"/>
      <c r="I696" s="206"/>
      <c r="J696" s="206"/>
      <c r="K696" s="177">
        <v>7</v>
      </c>
      <c r="L696" s="207"/>
      <c r="M696" s="208">
        <v>2</v>
      </c>
      <c r="N696" s="209">
        <v>41822</v>
      </c>
      <c r="O696" s="183"/>
      <c r="P696" s="210"/>
      <c r="Q696" s="183"/>
      <c r="R696" s="210"/>
      <c r="S696" s="177">
        <f>(AE696*BS696)/100</f>
        <v>6.0121557454890784</v>
      </c>
      <c r="T696" s="209"/>
      <c r="U696" s="177">
        <v>16.2</v>
      </c>
      <c r="V696" s="210"/>
      <c r="W696" s="183"/>
      <c r="X696" s="210"/>
      <c r="Y696" s="213">
        <f>(AE696*BU696)/100</f>
        <v>2.6271604938271604</v>
      </c>
      <c r="Z696" s="209"/>
      <c r="AA696" s="213"/>
      <c r="AB696" s="209"/>
      <c r="AC696" s="378">
        <f t="shared" si="10"/>
        <v>11.493827160493828</v>
      </c>
      <c r="AD696" s="207"/>
      <c r="AE696" s="177">
        <f>(M696/U696)*((100-CC696)/(100-9))*100</f>
        <v>12.630579297245964</v>
      </c>
      <c r="AF696" s="209">
        <v>41822</v>
      </c>
      <c r="AG696" s="177">
        <v>4.9000000000000004</v>
      </c>
      <c r="AH696" s="207">
        <v>41927</v>
      </c>
      <c r="AI696" s="177">
        <v>30</v>
      </c>
      <c r="AJ696" s="207"/>
      <c r="AK696" s="183"/>
      <c r="AL696" s="210"/>
      <c r="AM696" s="177">
        <v>85</v>
      </c>
      <c r="AN696" s="210"/>
      <c r="AO696" s="183"/>
      <c r="AP696" s="183"/>
      <c r="AQ696" s="183"/>
      <c r="AR696" s="183"/>
      <c r="AS696" s="183"/>
      <c r="AT696" s="183"/>
      <c r="AU696" s="183"/>
      <c r="AV696" s="183"/>
      <c r="AW696" s="183"/>
      <c r="AX696" s="183"/>
      <c r="AY696" s="183"/>
      <c r="AZ696" s="183"/>
      <c r="BA696" s="183"/>
      <c r="BB696" s="183"/>
      <c r="BC696" s="183"/>
      <c r="BD696" s="183"/>
      <c r="BE696" s="182"/>
      <c r="BF696" s="182"/>
      <c r="BG696" s="211">
        <v>4.9000000000000004</v>
      </c>
      <c r="BH696" s="181"/>
      <c r="BI696" s="211">
        <v>4.0999999999999996</v>
      </c>
      <c r="BJ696" s="181"/>
      <c r="BK696" s="211">
        <v>1.5</v>
      </c>
      <c r="BL696" s="181"/>
      <c r="BM696" s="211">
        <v>65</v>
      </c>
      <c r="BN696" s="181"/>
      <c r="BO696" s="211">
        <v>19.399999999999999</v>
      </c>
      <c r="BP696" s="181"/>
      <c r="BQ696" s="211">
        <v>8</v>
      </c>
      <c r="BR696" s="181"/>
      <c r="BS696" s="211">
        <v>47.6</v>
      </c>
      <c r="BT696" s="181"/>
      <c r="BU696" s="211">
        <v>20.8</v>
      </c>
      <c r="BV696" s="181"/>
      <c r="BW696" s="211">
        <v>66.599999999999994</v>
      </c>
      <c r="BX696" s="181"/>
      <c r="BY696" s="181">
        <v>6.5</v>
      </c>
      <c r="BZ696" s="181"/>
      <c r="CA696" s="182"/>
      <c r="CB696" s="182"/>
      <c r="CC696" s="211">
        <v>6.9</v>
      </c>
      <c r="CD696" s="209">
        <v>41822</v>
      </c>
      <c r="CE696" s="181"/>
      <c r="CF696" s="181"/>
      <c r="CG696" s="182"/>
      <c r="CH696" s="182"/>
      <c r="CI696" s="175" t="s">
        <v>9349</v>
      </c>
      <c r="CJ696" s="181"/>
      <c r="CK696" s="181"/>
      <c r="CL696" s="175">
        <v>9</v>
      </c>
      <c r="CM696" s="175"/>
    </row>
    <row r="697" spans="1:91">
      <c r="A697" s="191" t="s">
        <v>7753</v>
      </c>
      <c r="B697" s="192" t="s">
        <v>271</v>
      </c>
      <c r="C697" s="192" t="s">
        <v>8999</v>
      </c>
      <c r="D697" s="192" t="s">
        <v>8708</v>
      </c>
      <c r="E697" s="193">
        <v>271</v>
      </c>
      <c r="F697" s="193">
        <v>12</v>
      </c>
      <c r="K697" s="176">
        <v>7</v>
      </c>
      <c r="M697" s="197">
        <v>3.3</v>
      </c>
      <c r="N697" s="198">
        <v>41822</v>
      </c>
      <c r="S697" s="176">
        <f>(AE697*BS697)/100</f>
        <v>10.403483923483925</v>
      </c>
      <c r="T697" s="198"/>
      <c r="U697" s="176">
        <v>16.2</v>
      </c>
      <c r="Y697" s="200">
        <f>(AE697*BU697)/100</f>
        <v>4.3417765567765567</v>
      </c>
      <c r="Z697" s="198"/>
      <c r="AA697" s="200"/>
      <c r="AB697" s="198"/>
      <c r="AC697" s="378">
        <f t="shared" si="10"/>
        <v>19.087037037037035</v>
      </c>
      <c r="AE697" s="176">
        <f>(M697/U697)*((100-CC697)/(100-9))*100</f>
        <v>20.974765974765976</v>
      </c>
      <c r="AF697" s="198">
        <v>41822</v>
      </c>
      <c r="AG697" s="176">
        <v>5.4</v>
      </c>
      <c r="AH697" s="196">
        <v>41927</v>
      </c>
      <c r="AI697" s="176">
        <v>110</v>
      </c>
      <c r="AM697" s="176">
        <v>86</v>
      </c>
      <c r="BG697" s="201">
        <v>59.3</v>
      </c>
      <c r="BI697" s="201">
        <v>3.2</v>
      </c>
      <c r="BK697" s="201">
        <v>1.2</v>
      </c>
      <c r="BM697" s="201">
        <v>27</v>
      </c>
      <c r="BO697" s="201">
        <v>10.199999999999999</v>
      </c>
      <c r="BQ697" s="201">
        <v>8.9</v>
      </c>
      <c r="BS697" s="201">
        <v>49.6</v>
      </c>
      <c r="BU697" s="201">
        <v>20.7</v>
      </c>
      <c r="BW697" s="201">
        <v>60.5</v>
      </c>
      <c r="BY697" s="178">
        <v>6.2999999999999972</v>
      </c>
      <c r="CC697" s="201">
        <v>6.3</v>
      </c>
      <c r="CD697" s="198">
        <v>41822</v>
      </c>
      <c r="CI697" s="174" t="s">
        <v>9350</v>
      </c>
      <c r="CL697" s="174">
        <v>6</v>
      </c>
    </row>
    <row r="698" spans="1:91">
      <c r="A698" s="191" t="s">
        <v>7897</v>
      </c>
      <c r="B698" s="192" t="s">
        <v>269</v>
      </c>
      <c r="C698" s="192" t="s">
        <v>8997</v>
      </c>
      <c r="D698" s="192" t="s">
        <v>8958</v>
      </c>
      <c r="E698" s="193">
        <v>272</v>
      </c>
      <c r="F698" s="193">
        <v>1</v>
      </c>
      <c r="K698" s="176">
        <v>7</v>
      </c>
      <c r="M698" s="197">
        <v>3.55</v>
      </c>
      <c r="N698" s="198">
        <v>41822</v>
      </c>
      <c r="S698" s="176">
        <f>(AE698*BS698)/100</f>
        <v>11.419335232668566</v>
      </c>
      <c r="T698" s="198"/>
      <c r="U698" s="176">
        <v>16.2</v>
      </c>
      <c r="Y698" s="200">
        <f>(AE698*BU698)/100</f>
        <v>3.8660371727038392</v>
      </c>
      <c r="Z698" s="198"/>
      <c r="AA698" s="200"/>
      <c r="AB698" s="198"/>
      <c r="AC698" s="378">
        <f t="shared" si="10"/>
        <v>20.335802469135803</v>
      </c>
      <c r="AE698" s="176">
        <f>(M698/U698)*((100-CC698)/(100-9))*100</f>
        <v>22.347035680369011</v>
      </c>
      <c r="AF698" s="198">
        <v>41822</v>
      </c>
      <c r="AG698" s="176">
        <v>4.5999999999999996</v>
      </c>
      <c r="AH698" s="196">
        <v>41927</v>
      </c>
      <c r="AI698" s="176">
        <v>130</v>
      </c>
      <c r="AM698" s="176">
        <v>85</v>
      </c>
      <c r="BG698" s="201">
        <v>0</v>
      </c>
      <c r="BI698" s="201">
        <v>4.5</v>
      </c>
      <c r="BK698" s="201">
        <v>1.5</v>
      </c>
      <c r="BM698" s="201">
        <v>64</v>
      </c>
      <c r="BO698" s="201">
        <v>20.399999999999999</v>
      </c>
      <c r="BQ698" s="201">
        <v>8.8000000000000007</v>
      </c>
      <c r="BS698" s="201">
        <v>51.1</v>
      </c>
      <c r="BU698" s="201">
        <v>17.3</v>
      </c>
      <c r="BW698" s="201">
        <v>13.7</v>
      </c>
      <c r="BY698" s="178">
        <v>6.9000000000000057</v>
      </c>
      <c r="CC698" s="201">
        <v>7.2</v>
      </c>
      <c r="CD698" s="198">
        <v>41822</v>
      </c>
      <c r="CI698" s="174" t="s">
        <v>9348</v>
      </c>
      <c r="CL698" s="174" t="s">
        <v>9001</v>
      </c>
    </row>
    <row r="699" spans="1:91">
      <c r="A699" s="191" t="s">
        <v>7612</v>
      </c>
      <c r="B699" s="192" t="s">
        <v>269</v>
      </c>
      <c r="C699" s="192" t="s">
        <v>8997</v>
      </c>
      <c r="D699" s="192" t="s">
        <v>8142</v>
      </c>
      <c r="E699" s="193">
        <v>272</v>
      </c>
      <c r="F699" s="193">
        <v>2</v>
      </c>
      <c r="I699" s="184"/>
      <c r="K699" s="176">
        <v>7</v>
      </c>
      <c r="M699" s="197">
        <v>0.8</v>
      </c>
      <c r="N699" s="198">
        <v>41822</v>
      </c>
      <c r="O699" s="179"/>
      <c r="S699" s="176">
        <f>(AE699*BS699)/100</f>
        <v>2.5008547008547009</v>
      </c>
      <c r="T699" s="198"/>
      <c r="U699" s="176">
        <v>16.2</v>
      </c>
      <c r="Y699" s="200">
        <f>(AE699*BU699)/100</f>
        <v>0.89424501424501412</v>
      </c>
      <c r="Z699" s="198"/>
      <c r="AA699" s="200"/>
      <c r="AB699" s="198"/>
      <c r="AC699" s="378">
        <f t="shared" si="10"/>
        <v>4.5975308641975312</v>
      </c>
      <c r="AE699" s="176">
        <f>(M699/U699)*((100-CC699)/(100-9))*100</f>
        <v>5.0522317188983852</v>
      </c>
      <c r="AF699" s="198">
        <v>41822</v>
      </c>
      <c r="AG699" s="176">
        <v>5.3</v>
      </c>
      <c r="AH699" s="196">
        <v>41927</v>
      </c>
      <c r="AI699" s="176">
        <v>40</v>
      </c>
      <c r="AM699" s="176">
        <v>87</v>
      </c>
      <c r="BG699" s="201">
        <v>24.4</v>
      </c>
      <c r="BI699" s="201">
        <v>4.4000000000000004</v>
      </c>
      <c r="BK699" s="201">
        <v>1.2</v>
      </c>
      <c r="BM699" s="201">
        <v>44.6</v>
      </c>
      <c r="BO699" s="201">
        <v>17</v>
      </c>
      <c r="BQ699" s="201">
        <v>9</v>
      </c>
      <c r="BS699" s="201">
        <v>49.5</v>
      </c>
      <c r="BU699" s="201">
        <v>17.7</v>
      </c>
      <c r="BW699" s="201">
        <v>48.7</v>
      </c>
      <c r="BY699" s="178">
        <v>6.5</v>
      </c>
      <c r="CC699" s="201">
        <v>6.9</v>
      </c>
      <c r="CD699" s="198">
        <v>41822</v>
      </c>
      <c r="CI699" s="174" t="s">
        <v>9349</v>
      </c>
      <c r="CL699" s="174">
        <v>5</v>
      </c>
    </row>
    <row r="700" spans="1:91">
      <c r="A700" s="191" t="s">
        <v>7769</v>
      </c>
      <c r="B700" s="192" t="s">
        <v>269</v>
      </c>
      <c r="C700" s="192" t="s">
        <v>8997</v>
      </c>
      <c r="D700" s="192" t="s">
        <v>8770</v>
      </c>
      <c r="E700" s="193">
        <v>272</v>
      </c>
      <c r="F700" s="193">
        <v>3</v>
      </c>
      <c r="K700" s="176">
        <v>6</v>
      </c>
      <c r="M700" s="197">
        <v>2.65</v>
      </c>
      <c r="N700" s="198">
        <v>41822</v>
      </c>
      <c r="S700" s="176">
        <f>(AE700*BS700)/100</f>
        <v>8.6689981006647674</v>
      </c>
      <c r="T700" s="198"/>
      <c r="U700" s="176">
        <v>16.2</v>
      </c>
      <c r="Y700" s="200">
        <f>(AE700*BU700)/100</f>
        <v>2.7948314339981004</v>
      </c>
      <c r="Z700" s="198"/>
      <c r="AA700" s="200"/>
      <c r="AB700" s="198"/>
      <c r="AC700" s="378">
        <f t="shared" si="10"/>
        <v>15.229320987654321</v>
      </c>
      <c r="AE700" s="176">
        <f>(M700/U700)*((100-CC700)/(100-9))*100</f>
        <v>16.735517568850902</v>
      </c>
      <c r="AF700" s="198">
        <v>41822</v>
      </c>
      <c r="AG700" s="176">
        <v>4.9000000000000004</v>
      </c>
      <c r="AH700" s="196">
        <v>41927</v>
      </c>
      <c r="AI700" s="176">
        <v>135</v>
      </c>
      <c r="AM700" s="176">
        <v>79</v>
      </c>
      <c r="BG700" s="201">
        <v>1.1000000000000001</v>
      </c>
      <c r="BI700" s="201">
        <v>4.2</v>
      </c>
      <c r="BK700" s="201">
        <v>1.6</v>
      </c>
      <c r="BM700" s="201">
        <v>66.400000000000006</v>
      </c>
      <c r="BO700" s="201">
        <v>17.8</v>
      </c>
      <c r="BQ700" s="201">
        <v>8.3000000000000007</v>
      </c>
      <c r="BS700" s="201">
        <v>51.8</v>
      </c>
      <c r="BU700" s="201">
        <v>16.7</v>
      </c>
      <c r="BW700" s="201">
        <v>18.8</v>
      </c>
      <c r="BY700" s="178">
        <v>6.9000000000000057</v>
      </c>
      <c r="CC700" s="201">
        <v>6.9</v>
      </c>
      <c r="CD700" s="198">
        <v>41822</v>
      </c>
      <c r="CI700" s="174" t="s">
        <v>9360</v>
      </c>
      <c r="CL700" s="174">
        <v>3</v>
      </c>
    </row>
    <row r="701" spans="1:91">
      <c r="A701" s="191" t="s">
        <v>7712</v>
      </c>
      <c r="B701" s="192" t="s">
        <v>269</v>
      </c>
      <c r="C701" s="192" t="s">
        <v>8997</v>
      </c>
      <c r="D701" s="192" t="s">
        <v>8542</v>
      </c>
      <c r="E701" s="193">
        <v>272</v>
      </c>
      <c r="F701" s="193">
        <v>4</v>
      </c>
      <c r="K701" s="176">
        <v>3</v>
      </c>
      <c r="M701" s="197">
        <v>2.5499999999999998</v>
      </c>
      <c r="N701" s="198">
        <v>41822</v>
      </c>
      <c r="S701" s="176">
        <f>(AE701*BS701)/100</f>
        <v>7.9468253968253961</v>
      </c>
      <c r="T701" s="198"/>
      <c r="U701" s="176">
        <v>16.2</v>
      </c>
      <c r="Y701" s="200">
        <f>(AE701*BU701)/100</f>
        <v>2.8634310134310135</v>
      </c>
      <c r="Z701" s="198"/>
      <c r="AA701" s="200"/>
      <c r="AB701" s="198"/>
      <c r="AC701" s="378">
        <f t="shared" si="10"/>
        <v>14.638888888888889</v>
      </c>
      <c r="AE701" s="176">
        <f>(M701/U701)*((100-CC701)/(100-9))*100</f>
        <v>16.086691086691086</v>
      </c>
      <c r="AF701" s="198">
        <v>41822</v>
      </c>
      <c r="AG701" s="176">
        <v>4.9000000000000004</v>
      </c>
      <c r="AH701" s="196">
        <v>41927</v>
      </c>
      <c r="AI701" s="176">
        <v>130</v>
      </c>
      <c r="AM701" s="176">
        <v>85</v>
      </c>
      <c r="BG701" s="201">
        <v>0</v>
      </c>
      <c r="BI701" s="201">
        <v>5</v>
      </c>
      <c r="BK701" s="201">
        <v>1.6</v>
      </c>
      <c r="BM701" s="201">
        <v>62.3</v>
      </c>
      <c r="BO701" s="201">
        <v>20.5</v>
      </c>
      <c r="BQ701" s="201">
        <v>8</v>
      </c>
      <c r="BS701" s="201">
        <v>49.4</v>
      </c>
      <c r="BU701" s="201">
        <v>17.8</v>
      </c>
      <c r="BW701" s="201">
        <v>14.1</v>
      </c>
      <c r="BY701" s="178">
        <v>6.7999999999999972</v>
      </c>
      <c r="CC701" s="201">
        <v>7</v>
      </c>
      <c r="CD701" s="198">
        <v>41822</v>
      </c>
      <c r="CI701" s="174" t="s">
        <v>9337</v>
      </c>
      <c r="CL701" s="174">
        <v>5</v>
      </c>
    </row>
    <row r="702" spans="1:91">
      <c r="A702" s="191" t="s">
        <v>7721</v>
      </c>
      <c r="B702" s="192" t="s">
        <v>269</v>
      </c>
      <c r="C702" s="192" t="s">
        <v>8997</v>
      </c>
      <c r="D702" s="192" t="s">
        <v>8578</v>
      </c>
      <c r="E702" s="193">
        <v>272</v>
      </c>
      <c r="F702" s="193">
        <v>5</v>
      </c>
      <c r="K702" s="176">
        <v>6</v>
      </c>
      <c r="M702" s="197">
        <v>3.8</v>
      </c>
      <c r="N702" s="198">
        <v>41822</v>
      </c>
      <c r="S702" s="176">
        <f>(AE702*BS702)/100</f>
        <v>12.096975986975984</v>
      </c>
      <c r="T702" s="198"/>
      <c r="U702" s="176">
        <v>16.2</v>
      </c>
      <c r="Y702" s="200">
        <f>(AE702*BU702)/100</f>
        <v>4.0162922262922249</v>
      </c>
      <c r="Z702" s="198"/>
      <c r="AA702" s="200"/>
      <c r="AB702" s="198"/>
      <c r="AC702" s="378">
        <f t="shared" si="10"/>
        <v>21.885185185185183</v>
      </c>
      <c r="AE702" s="176">
        <f>(M702/U702)*((100-CC702)/(100-9))*100</f>
        <v>24.049654049654045</v>
      </c>
      <c r="AF702" s="198">
        <v>41822</v>
      </c>
      <c r="AG702" s="176">
        <v>5.2</v>
      </c>
      <c r="AH702" s="196">
        <v>41927</v>
      </c>
      <c r="AI702" s="176">
        <v>160</v>
      </c>
      <c r="AM702" s="176">
        <v>80</v>
      </c>
      <c r="BG702" s="201">
        <v>0.6</v>
      </c>
      <c r="BI702" s="201">
        <v>4.9000000000000004</v>
      </c>
      <c r="BK702" s="201">
        <v>1.5</v>
      </c>
      <c r="BM702" s="201">
        <v>61.8</v>
      </c>
      <c r="BO702" s="201">
        <v>22.1</v>
      </c>
      <c r="BQ702" s="201">
        <v>8.8000000000000007</v>
      </c>
      <c r="BS702" s="201">
        <v>50.3</v>
      </c>
      <c r="BU702" s="201">
        <v>16.7</v>
      </c>
      <c r="BW702" s="201">
        <v>11.9</v>
      </c>
      <c r="BY702" s="178">
        <v>6.2999999999999972</v>
      </c>
      <c r="CC702" s="201">
        <v>6.7</v>
      </c>
      <c r="CD702" s="198">
        <v>41822</v>
      </c>
      <c r="CI702" s="174" t="s">
        <v>9353</v>
      </c>
      <c r="CL702" s="174">
        <v>2</v>
      </c>
    </row>
    <row r="703" spans="1:91">
      <c r="A703" s="191" t="s">
        <v>7742</v>
      </c>
      <c r="B703" s="192" t="s">
        <v>269</v>
      </c>
      <c r="C703" s="192" t="s">
        <v>8997</v>
      </c>
      <c r="D703" s="192" t="s">
        <v>8662</v>
      </c>
      <c r="E703" s="193">
        <v>272</v>
      </c>
      <c r="F703" s="193">
        <v>6</v>
      </c>
      <c r="K703" s="176">
        <v>8</v>
      </c>
      <c r="M703" s="197">
        <v>1.95</v>
      </c>
      <c r="N703" s="198">
        <v>41822</v>
      </c>
      <c r="S703" s="176">
        <f>(AE703*BS703)/100</f>
        <v>5.9120238095238111</v>
      </c>
      <c r="T703" s="198"/>
      <c r="U703" s="176">
        <v>16.2</v>
      </c>
      <c r="Y703" s="200">
        <f>(AE703*BU703)/100</f>
        <v>2.255740740740741</v>
      </c>
      <c r="Z703" s="198"/>
      <c r="AA703" s="200"/>
      <c r="AB703" s="198"/>
      <c r="AC703" s="378">
        <f t="shared" si="10"/>
        <v>11.278703703703705</v>
      </c>
      <c r="AE703" s="176">
        <f>(M703/U703)*((100-CC703)/(100-9))*100</f>
        <v>12.394179894179896</v>
      </c>
      <c r="AF703" s="198">
        <v>41822</v>
      </c>
      <c r="AG703" s="176">
        <v>4.8</v>
      </c>
      <c r="AH703" s="196">
        <v>41927</v>
      </c>
      <c r="AI703" s="176">
        <v>120</v>
      </c>
      <c r="AM703" s="176">
        <v>93</v>
      </c>
      <c r="BG703" s="201">
        <v>48.5</v>
      </c>
      <c r="BI703" s="201">
        <v>4.8</v>
      </c>
      <c r="BK703" s="201">
        <v>0.7</v>
      </c>
      <c r="BM703" s="201">
        <v>29.8</v>
      </c>
      <c r="BO703" s="201">
        <v>16.7</v>
      </c>
      <c r="BQ703" s="201">
        <v>8.1</v>
      </c>
      <c r="BS703" s="201">
        <v>47.7</v>
      </c>
      <c r="BU703" s="201">
        <v>18.2</v>
      </c>
      <c r="BW703" s="201">
        <v>79.900000000000006</v>
      </c>
      <c r="BY703" s="178">
        <v>6.7999999999999972</v>
      </c>
      <c r="CC703" s="201">
        <v>6.3</v>
      </c>
      <c r="CD703" s="198">
        <v>41822</v>
      </c>
      <c r="CI703" s="174" t="s">
        <v>9351</v>
      </c>
      <c r="CL703" s="174">
        <v>7</v>
      </c>
    </row>
    <row r="704" spans="1:91">
      <c r="A704" s="191" t="s">
        <v>7610</v>
      </c>
      <c r="B704" s="192" t="s">
        <v>271</v>
      </c>
      <c r="C704" s="192" t="s">
        <v>8999</v>
      </c>
      <c r="D704" s="192" t="s">
        <v>8136</v>
      </c>
      <c r="E704" s="193">
        <v>272</v>
      </c>
      <c r="F704" s="193">
        <v>7</v>
      </c>
      <c r="I704" s="184"/>
      <c r="K704" s="176">
        <v>9</v>
      </c>
      <c r="M704" s="197">
        <v>1.6</v>
      </c>
      <c r="N704" s="198">
        <v>41822</v>
      </c>
      <c r="O704" s="179"/>
      <c r="S704" s="176">
        <f>(AE704*BS704)/100</f>
        <v>4.7846750780084122</v>
      </c>
      <c r="T704" s="198"/>
      <c r="U704" s="176">
        <v>16.2</v>
      </c>
      <c r="Y704" s="200">
        <f>(AE704*BU704)/100</f>
        <v>1.9767195767195771</v>
      </c>
      <c r="Z704" s="198"/>
      <c r="AA704" s="200"/>
      <c r="AB704" s="198"/>
      <c r="AC704" s="378">
        <f t="shared" si="10"/>
        <v>9.2246913580246925</v>
      </c>
      <c r="AE704" s="176">
        <f>(M704/U704)*((100-CC704)/(100-9))*100</f>
        <v>10.137023470356805</v>
      </c>
      <c r="AF704" s="198">
        <v>41822</v>
      </c>
      <c r="AG704" s="176">
        <v>4.3</v>
      </c>
      <c r="AH704" s="196">
        <v>41927</v>
      </c>
      <c r="AI704" s="176">
        <v>100</v>
      </c>
      <c r="AM704" s="176">
        <v>89</v>
      </c>
      <c r="BG704" s="201">
        <v>44.5</v>
      </c>
      <c r="BI704" s="201">
        <v>4.0999999999999996</v>
      </c>
      <c r="BK704" s="201">
        <v>0.9</v>
      </c>
      <c r="BM704" s="201">
        <v>31.8</v>
      </c>
      <c r="BO704" s="201">
        <v>15.6</v>
      </c>
      <c r="BQ704" s="201">
        <v>7.9</v>
      </c>
      <c r="BS704" s="201">
        <v>47.2</v>
      </c>
      <c r="BU704" s="201">
        <v>19.5</v>
      </c>
      <c r="BW704" s="201">
        <v>66.7</v>
      </c>
      <c r="BY704" s="178">
        <v>6.5</v>
      </c>
      <c r="CC704" s="201">
        <v>6.6</v>
      </c>
      <c r="CD704" s="198">
        <v>41822</v>
      </c>
      <c r="CI704" s="174" t="s">
        <v>9349</v>
      </c>
      <c r="CL704" s="174">
        <v>9</v>
      </c>
    </row>
    <row r="705" spans="1:91">
      <c r="A705" s="191" t="s">
        <v>7631</v>
      </c>
      <c r="B705" s="192" t="s">
        <v>271</v>
      </c>
      <c r="C705" s="192" t="s">
        <v>8999</v>
      </c>
      <c r="D705" s="192" t="s">
        <v>8220</v>
      </c>
      <c r="E705" s="193">
        <v>272</v>
      </c>
      <c r="F705" s="193">
        <v>8</v>
      </c>
      <c r="I705" s="184"/>
      <c r="K705" s="176">
        <v>8</v>
      </c>
      <c r="M705" s="197">
        <v>3</v>
      </c>
      <c r="N705" s="198">
        <v>41822</v>
      </c>
      <c r="O705" s="179"/>
      <c r="S705" s="176">
        <f>(AE705*BS705)/100</f>
        <v>8.9606227106227099</v>
      </c>
      <c r="T705" s="198"/>
      <c r="U705" s="176">
        <v>16.2</v>
      </c>
      <c r="Y705" s="200">
        <f>(AE705*BU705)/100</f>
        <v>3.7728937728937728</v>
      </c>
      <c r="Z705" s="198"/>
      <c r="AA705" s="200"/>
      <c r="AB705" s="198"/>
      <c r="AC705" s="378">
        <f t="shared" si="10"/>
        <v>17.166666666666668</v>
      </c>
      <c r="AE705" s="176">
        <f>(M705/U705)*((100-CC705)/(100-9))*100</f>
        <v>18.864468864468865</v>
      </c>
      <c r="AF705" s="198">
        <v>41822</v>
      </c>
      <c r="AG705" s="176">
        <v>4.5</v>
      </c>
      <c r="AH705" s="196">
        <v>41927</v>
      </c>
      <c r="AI705" s="176">
        <v>160</v>
      </c>
      <c r="AM705" s="176">
        <v>90</v>
      </c>
      <c r="BG705" s="201">
        <v>43</v>
      </c>
      <c r="BI705" s="201">
        <v>4</v>
      </c>
      <c r="BK705" s="201">
        <v>1</v>
      </c>
      <c r="BM705" s="201">
        <v>35.700000000000003</v>
      </c>
      <c r="BO705" s="201">
        <v>14</v>
      </c>
      <c r="BQ705" s="201">
        <v>7.5</v>
      </c>
      <c r="BS705" s="201">
        <v>47.5</v>
      </c>
      <c r="BU705" s="201">
        <v>20</v>
      </c>
      <c r="BW705" s="201">
        <v>75.2</v>
      </c>
      <c r="BY705" s="178">
        <v>7.0999999999999943</v>
      </c>
      <c r="CC705" s="201">
        <v>7.3</v>
      </c>
      <c r="CD705" s="198">
        <v>41822</v>
      </c>
      <c r="CI705" s="174" t="s">
        <v>9355</v>
      </c>
      <c r="CL705" s="174">
        <v>5</v>
      </c>
    </row>
    <row r="706" spans="1:91" s="181" customFormat="1">
      <c r="A706" s="191" t="s">
        <v>7807</v>
      </c>
      <c r="B706" s="192" t="s">
        <v>271</v>
      </c>
      <c r="C706" s="192" t="s">
        <v>8999</v>
      </c>
      <c r="D706" s="192" t="s">
        <v>8924</v>
      </c>
      <c r="E706" s="193">
        <v>272</v>
      </c>
      <c r="F706" s="193">
        <v>9</v>
      </c>
      <c r="G706" s="193"/>
      <c r="H706" s="193"/>
      <c r="I706" s="195"/>
      <c r="J706" s="195"/>
      <c r="K706" s="176">
        <v>7</v>
      </c>
      <c r="L706" s="196"/>
      <c r="M706" s="197">
        <v>6</v>
      </c>
      <c r="N706" s="198">
        <v>41822</v>
      </c>
      <c r="O706" s="180"/>
      <c r="P706" s="199"/>
      <c r="Q706" s="180"/>
      <c r="R706" s="199"/>
      <c r="S706" s="176">
        <f>(AE706*BS706)/100</f>
        <v>19.076923076923077</v>
      </c>
      <c r="T706" s="198"/>
      <c r="U706" s="176">
        <v>16.2</v>
      </c>
      <c r="V706" s="199"/>
      <c r="W706" s="180"/>
      <c r="X706" s="199"/>
      <c r="Y706" s="200">
        <f>(AE706*BU706)/100</f>
        <v>6.8888888888888893</v>
      </c>
      <c r="Z706" s="198"/>
      <c r="AA706" s="200"/>
      <c r="AB706" s="198"/>
      <c r="AC706" s="378">
        <f t="shared" si="10"/>
        <v>34.44444444444445</v>
      </c>
      <c r="AD706" s="196"/>
      <c r="AE706" s="176">
        <f>(M706/U706)*((100-CC706)/(100-9))*100</f>
        <v>37.851037851037852</v>
      </c>
      <c r="AF706" s="198">
        <v>41822</v>
      </c>
      <c r="AG706" s="176">
        <v>4.8</v>
      </c>
      <c r="AH706" s="196">
        <v>41927</v>
      </c>
      <c r="AI706" s="176">
        <v>155</v>
      </c>
      <c r="AJ706" s="196"/>
      <c r="AK706" s="180"/>
      <c r="AL706" s="199"/>
      <c r="AM706" s="176">
        <v>87</v>
      </c>
      <c r="AN706" s="199"/>
      <c r="AO706" s="180"/>
      <c r="AP706" s="180"/>
      <c r="AQ706" s="180"/>
      <c r="AR706" s="180"/>
      <c r="AS706" s="180"/>
      <c r="AT706" s="180"/>
      <c r="AU706" s="180"/>
      <c r="AV706" s="180"/>
      <c r="AW706" s="180"/>
      <c r="AX706" s="180"/>
      <c r="AY706" s="180"/>
      <c r="AZ706" s="180"/>
      <c r="BA706" s="180"/>
      <c r="BB706" s="180"/>
      <c r="BC706" s="180"/>
      <c r="BD706" s="180"/>
      <c r="BE706" s="179"/>
      <c r="BF706" s="179"/>
      <c r="BG706" s="201">
        <v>0</v>
      </c>
      <c r="BH706" s="178"/>
      <c r="BI706" s="201">
        <v>4.5999999999999996</v>
      </c>
      <c r="BJ706" s="178"/>
      <c r="BK706" s="201">
        <v>1.6</v>
      </c>
      <c r="BL706" s="178"/>
      <c r="BM706" s="201">
        <v>63.8</v>
      </c>
      <c r="BN706" s="178"/>
      <c r="BO706" s="201">
        <v>21.1</v>
      </c>
      <c r="BP706" s="178"/>
      <c r="BQ706" s="201">
        <v>8.6</v>
      </c>
      <c r="BR706" s="178"/>
      <c r="BS706" s="201">
        <v>50.4</v>
      </c>
      <c r="BT706" s="178"/>
      <c r="BU706" s="201">
        <v>18.2</v>
      </c>
      <c r="BV706" s="178"/>
      <c r="BW706" s="201">
        <v>19</v>
      </c>
      <c r="BX706" s="178"/>
      <c r="BY706" s="178">
        <v>6.2999999999999972</v>
      </c>
      <c r="BZ706" s="178"/>
      <c r="CA706" s="179"/>
      <c r="CB706" s="179"/>
      <c r="CC706" s="201">
        <v>7</v>
      </c>
      <c r="CD706" s="198">
        <v>41822</v>
      </c>
      <c r="CE706" s="178"/>
      <c r="CF706" s="178"/>
      <c r="CG706" s="179"/>
      <c r="CH706" s="179"/>
      <c r="CI706" s="174" t="s">
        <v>9358</v>
      </c>
      <c r="CJ706" s="178"/>
      <c r="CK706" s="178"/>
      <c r="CL706" s="174">
        <v>1</v>
      </c>
      <c r="CM706" s="174"/>
    </row>
    <row r="707" spans="1:91" s="181" customFormat="1">
      <c r="A707" s="191" t="s">
        <v>7669</v>
      </c>
      <c r="B707" s="192" t="s">
        <v>271</v>
      </c>
      <c r="C707" s="192" t="s">
        <v>8999</v>
      </c>
      <c r="D707" s="192" t="s">
        <v>8372</v>
      </c>
      <c r="E707" s="193">
        <v>272</v>
      </c>
      <c r="F707" s="193">
        <v>10</v>
      </c>
      <c r="G707" s="193"/>
      <c r="H707" s="193"/>
      <c r="I707" s="195"/>
      <c r="J707" s="195"/>
      <c r="K707" s="176">
        <v>7</v>
      </c>
      <c r="L707" s="196"/>
      <c r="M707" s="197">
        <v>6.35</v>
      </c>
      <c r="N707" s="198">
        <v>41822</v>
      </c>
      <c r="O707" s="180"/>
      <c r="P707" s="199"/>
      <c r="Q707" s="180"/>
      <c r="R707" s="199"/>
      <c r="S707" s="176">
        <f>(AE707*BS707)/100</f>
        <v>20.118412698412698</v>
      </c>
      <c r="T707" s="198"/>
      <c r="U707" s="176">
        <v>16.2</v>
      </c>
      <c r="V707" s="199"/>
      <c r="W707" s="180"/>
      <c r="X707" s="199"/>
      <c r="Y707" s="200">
        <f>(AE707*BU707)/100</f>
        <v>7.1361904761904755</v>
      </c>
      <c r="Z707" s="198"/>
      <c r="AA707" s="200"/>
      <c r="AB707" s="198"/>
      <c r="AC707" s="378">
        <f t="shared" ref="AC707:AC770" si="11">(M707/16.2)*(100-CC707)</f>
        <v>36.68888888888889</v>
      </c>
      <c r="AD707" s="196"/>
      <c r="AE707" s="176">
        <f>(M707/U707)*((100-CC707)/(100-9))*100</f>
        <v>40.317460317460316</v>
      </c>
      <c r="AF707" s="198">
        <v>41822</v>
      </c>
      <c r="AG707" s="176">
        <v>4.3</v>
      </c>
      <c r="AH707" s="196">
        <v>41927</v>
      </c>
      <c r="AI707" s="176">
        <v>155</v>
      </c>
      <c r="AJ707" s="196"/>
      <c r="AK707" s="180"/>
      <c r="AL707" s="199"/>
      <c r="AM707" s="176">
        <v>82</v>
      </c>
      <c r="AN707" s="199"/>
      <c r="AO707" s="180"/>
      <c r="AP707" s="180"/>
      <c r="AQ707" s="180"/>
      <c r="AR707" s="180"/>
      <c r="AS707" s="180"/>
      <c r="AT707" s="180"/>
      <c r="AU707" s="180"/>
      <c r="AV707" s="180"/>
      <c r="AW707" s="180"/>
      <c r="AX707" s="180"/>
      <c r="AY707" s="180"/>
      <c r="AZ707" s="180"/>
      <c r="BA707" s="180"/>
      <c r="BB707" s="180"/>
      <c r="BC707" s="180"/>
      <c r="BD707" s="180"/>
      <c r="BE707" s="179"/>
      <c r="BF707" s="179"/>
      <c r="BG707" s="201">
        <v>4.9000000000000004</v>
      </c>
      <c r="BH707" s="178"/>
      <c r="BI707" s="201">
        <v>4.3</v>
      </c>
      <c r="BJ707" s="178"/>
      <c r="BK707" s="201">
        <v>1.5</v>
      </c>
      <c r="BL707" s="178"/>
      <c r="BM707" s="201">
        <v>63</v>
      </c>
      <c r="BN707" s="178"/>
      <c r="BO707" s="201">
        <v>18.600000000000001</v>
      </c>
      <c r="BP707" s="178"/>
      <c r="BQ707" s="201">
        <v>8.6</v>
      </c>
      <c r="BR707" s="178"/>
      <c r="BS707" s="201">
        <v>49.9</v>
      </c>
      <c r="BT707" s="178"/>
      <c r="BU707" s="201">
        <v>17.7</v>
      </c>
      <c r="BV707" s="178"/>
      <c r="BW707" s="201">
        <v>21.2</v>
      </c>
      <c r="BX707" s="178"/>
      <c r="BY707" s="178">
        <v>6.2000000000000028</v>
      </c>
      <c r="BZ707" s="178"/>
      <c r="CA707" s="179"/>
      <c r="CB707" s="179"/>
      <c r="CC707" s="201">
        <v>6.4</v>
      </c>
      <c r="CD707" s="198">
        <v>41822</v>
      </c>
      <c r="CE707" s="178"/>
      <c r="CF707" s="178"/>
      <c r="CG707" s="179"/>
      <c r="CH707" s="179"/>
      <c r="CI707" s="174" t="s">
        <v>9344</v>
      </c>
      <c r="CJ707" s="178"/>
      <c r="CK707" s="178"/>
      <c r="CL707" s="174">
        <v>1</v>
      </c>
      <c r="CM707" s="174"/>
    </row>
    <row r="708" spans="1:91" s="181" customFormat="1">
      <c r="A708" s="191" t="s">
        <v>7697</v>
      </c>
      <c r="B708" s="192" t="s">
        <v>271</v>
      </c>
      <c r="C708" s="192" t="s">
        <v>8999</v>
      </c>
      <c r="D708" s="192" t="s">
        <v>8484</v>
      </c>
      <c r="E708" s="193">
        <v>272</v>
      </c>
      <c r="F708" s="193">
        <v>11</v>
      </c>
      <c r="G708" s="193"/>
      <c r="H708" s="193"/>
      <c r="I708" s="195"/>
      <c r="J708" s="195"/>
      <c r="K708" s="176">
        <v>7</v>
      </c>
      <c r="L708" s="196"/>
      <c r="M708" s="197">
        <v>4.5999999999999996</v>
      </c>
      <c r="N708" s="198">
        <v>41822</v>
      </c>
      <c r="O708" s="180"/>
      <c r="P708" s="199"/>
      <c r="Q708" s="180"/>
      <c r="R708" s="199"/>
      <c r="S708" s="176">
        <f>(AE708*BS708)/100</f>
        <v>15.096562203228871</v>
      </c>
      <c r="T708" s="198"/>
      <c r="U708" s="176">
        <v>16.2</v>
      </c>
      <c r="V708" s="199"/>
      <c r="W708" s="180"/>
      <c r="X708" s="199"/>
      <c r="Y708" s="200">
        <f>(AE708*BU708)/100</f>
        <v>4.9253262786596119</v>
      </c>
      <c r="Z708" s="198"/>
      <c r="AA708" s="200"/>
      <c r="AB708" s="198"/>
      <c r="AC708" s="378">
        <f t="shared" si="11"/>
        <v>26.520987654320987</v>
      </c>
      <c r="AD708" s="196"/>
      <c r="AE708" s="176">
        <f>(M708/U708)*((100-CC708)/(100-9))*100</f>
        <v>29.143942477275814</v>
      </c>
      <c r="AF708" s="198">
        <v>41822</v>
      </c>
      <c r="AG708" s="176">
        <v>4.3</v>
      </c>
      <c r="AH708" s="196">
        <v>41927</v>
      </c>
      <c r="AI708" s="176">
        <v>165</v>
      </c>
      <c r="AJ708" s="196"/>
      <c r="AK708" s="180"/>
      <c r="AL708" s="199"/>
      <c r="AM708" s="176">
        <v>92</v>
      </c>
      <c r="AN708" s="199"/>
      <c r="AO708" s="180"/>
      <c r="AP708" s="180"/>
      <c r="AQ708" s="180"/>
      <c r="AR708" s="180"/>
      <c r="AS708" s="180"/>
      <c r="AT708" s="180"/>
      <c r="AU708" s="180"/>
      <c r="AV708" s="180"/>
      <c r="AW708" s="180"/>
      <c r="AX708" s="180"/>
      <c r="AY708" s="180"/>
      <c r="AZ708" s="180"/>
      <c r="BA708" s="180"/>
      <c r="BB708" s="180"/>
      <c r="BC708" s="180"/>
      <c r="BD708" s="180"/>
      <c r="BE708" s="179"/>
      <c r="BF708" s="179"/>
      <c r="BG708" s="201">
        <v>26.5</v>
      </c>
      <c r="BH708" s="178"/>
      <c r="BI708" s="201">
        <v>4.4000000000000004</v>
      </c>
      <c r="BJ708" s="178"/>
      <c r="BK708" s="201">
        <v>1.5</v>
      </c>
      <c r="BL708" s="178"/>
      <c r="BM708" s="201">
        <v>48.9</v>
      </c>
      <c r="BN708" s="178"/>
      <c r="BO708" s="201">
        <v>16.7</v>
      </c>
      <c r="BP708" s="178"/>
      <c r="BQ708" s="201">
        <v>5.6</v>
      </c>
      <c r="BR708" s="178"/>
      <c r="BS708" s="201">
        <v>51.8</v>
      </c>
      <c r="BT708" s="178"/>
      <c r="BU708" s="201">
        <v>16.899999999999999</v>
      </c>
      <c r="BV708" s="178"/>
      <c r="BW708" s="201">
        <v>10.3</v>
      </c>
      <c r="BX708" s="178"/>
      <c r="BY708" s="178">
        <v>6</v>
      </c>
      <c r="BZ708" s="178"/>
      <c r="CA708" s="179"/>
      <c r="CB708" s="179"/>
      <c r="CC708" s="201">
        <v>6.6</v>
      </c>
      <c r="CD708" s="198">
        <v>41822</v>
      </c>
      <c r="CE708" s="178"/>
      <c r="CF708" s="178"/>
      <c r="CG708" s="179"/>
      <c r="CH708" s="179"/>
      <c r="CI708" s="174" t="s">
        <v>9362</v>
      </c>
      <c r="CJ708" s="178"/>
      <c r="CK708" s="178"/>
      <c r="CL708" s="174">
        <v>2</v>
      </c>
      <c r="CM708" s="174"/>
    </row>
    <row r="709" spans="1:91" s="181" customFormat="1">
      <c r="A709" s="191" t="s">
        <v>7665</v>
      </c>
      <c r="B709" s="192" t="s">
        <v>271</v>
      </c>
      <c r="C709" s="192" t="s">
        <v>8999</v>
      </c>
      <c r="D709" s="192" t="s">
        <v>8356</v>
      </c>
      <c r="E709" s="193">
        <v>272</v>
      </c>
      <c r="F709" s="193">
        <v>12</v>
      </c>
      <c r="G709" s="193"/>
      <c r="H709" s="193"/>
      <c r="I709" s="195"/>
      <c r="J709" s="195"/>
      <c r="K709" s="176">
        <v>7</v>
      </c>
      <c r="L709" s="196"/>
      <c r="M709" s="197">
        <v>3.8</v>
      </c>
      <c r="N709" s="198">
        <v>41822</v>
      </c>
      <c r="O709" s="180"/>
      <c r="P709" s="199"/>
      <c r="Q709" s="180"/>
      <c r="R709" s="199"/>
      <c r="S709" s="176">
        <f>(AE709*BS709)/100</f>
        <v>11.871661918328583</v>
      </c>
      <c r="T709" s="198"/>
      <c r="U709" s="176">
        <v>16.2</v>
      </c>
      <c r="V709" s="199"/>
      <c r="W709" s="180"/>
      <c r="X709" s="199"/>
      <c r="Y709" s="200">
        <f>(AE709*BU709)/100</f>
        <v>4.2554226020892676</v>
      </c>
      <c r="Z709" s="198"/>
      <c r="AA709" s="200"/>
      <c r="AB709" s="198"/>
      <c r="AC709" s="378">
        <f t="shared" si="11"/>
        <v>22.002469135802468</v>
      </c>
      <c r="AD709" s="196"/>
      <c r="AE709" s="176">
        <f>(M709/U709)*((100-CC709)/(100-9))*100</f>
        <v>24.178537511870839</v>
      </c>
      <c r="AF709" s="198">
        <v>41822</v>
      </c>
      <c r="AG709" s="176">
        <v>4.5999999999999996</v>
      </c>
      <c r="AH709" s="196">
        <v>41927</v>
      </c>
      <c r="AI709" s="176">
        <v>155</v>
      </c>
      <c r="AJ709" s="196"/>
      <c r="AK709" s="180"/>
      <c r="AL709" s="199"/>
      <c r="AM709" s="176">
        <v>90</v>
      </c>
      <c r="AN709" s="199"/>
      <c r="AO709" s="180"/>
      <c r="AP709" s="180"/>
      <c r="AQ709" s="180"/>
      <c r="AR709" s="180"/>
      <c r="AS709" s="180"/>
      <c r="AT709" s="180"/>
      <c r="AU709" s="180"/>
      <c r="AV709" s="180"/>
      <c r="AW709" s="180"/>
      <c r="AX709" s="180"/>
      <c r="AY709" s="180"/>
      <c r="AZ709" s="180"/>
      <c r="BA709" s="180"/>
      <c r="BB709" s="180"/>
      <c r="BC709" s="180"/>
      <c r="BD709" s="180"/>
      <c r="BE709" s="179"/>
      <c r="BF709" s="179"/>
      <c r="BG709" s="201">
        <v>0</v>
      </c>
      <c r="BH709" s="178"/>
      <c r="BI709" s="201">
        <v>4.5999999999999996</v>
      </c>
      <c r="BJ709" s="178"/>
      <c r="BK709" s="201">
        <v>1.6</v>
      </c>
      <c r="BL709" s="178"/>
      <c r="BM709" s="201">
        <v>63.8</v>
      </c>
      <c r="BN709" s="178"/>
      <c r="BO709" s="201">
        <v>20.5</v>
      </c>
      <c r="BP709" s="178"/>
      <c r="BQ709" s="201">
        <v>8.4</v>
      </c>
      <c r="BR709" s="178"/>
      <c r="BS709" s="201">
        <v>49.1</v>
      </c>
      <c r="BT709" s="178"/>
      <c r="BU709" s="201">
        <v>17.600000000000001</v>
      </c>
      <c r="BV709" s="178"/>
      <c r="BW709" s="201">
        <v>18.7</v>
      </c>
      <c r="BX709" s="178"/>
      <c r="BY709" s="178">
        <v>6.4000000000000057</v>
      </c>
      <c r="BZ709" s="178"/>
      <c r="CA709" s="179"/>
      <c r="CB709" s="179"/>
      <c r="CC709" s="201">
        <v>6.2</v>
      </c>
      <c r="CD709" s="198">
        <v>41822</v>
      </c>
      <c r="CE709" s="178"/>
      <c r="CF709" s="178"/>
      <c r="CG709" s="179"/>
      <c r="CH709" s="179"/>
      <c r="CI709" s="174" t="s">
        <v>9350</v>
      </c>
      <c r="CJ709" s="178"/>
      <c r="CK709" s="178"/>
      <c r="CL709" s="174">
        <v>2</v>
      </c>
      <c r="CM709" s="174"/>
    </row>
    <row r="710" spans="1:91">
      <c r="A710" s="191" t="s">
        <v>7701</v>
      </c>
      <c r="B710" s="192" t="s">
        <v>269</v>
      </c>
      <c r="C710" s="192" t="s">
        <v>8997</v>
      </c>
      <c r="D710" s="192" t="s">
        <v>8498</v>
      </c>
      <c r="E710" s="193">
        <v>273</v>
      </c>
      <c r="F710" s="193">
        <v>1</v>
      </c>
      <c r="K710" s="176">
        <v>8</v>
      </c>
      <c r="M710" s="197">
        <v>4.55</v>
      </c>
      <c r="N710" s="198">
        <v>41822</v>
      </c>
      <c r="S710" s="176">
        <f>(AE710*BS710)/100</f>
        <v>14.81111111111111</v>
      </c>
      <c r="T710" s="198"/>
      <c r="U710" s="176">
        <v>16.2</v>
      </c>
      <c r="Y710" s="200">
        <f>(AE710*BU710)/100</f>
        <v>4.7074074074074073</v>
      </c>
      <c r="Z710" s="198"/>
      <c r="AA710" s="200"/>
      <c r="AB710" s="198"/>
      <c r="AC710" s="378">
        <f t="shared" si="11"/>
        <v>26.120370370370374</v>
      </c>
      <c r="AE710" s="176">
        <f>(M710/U710)*((100-CC710)/(100-9))*100</f>
        <v>28.703703703703702</v>
      </c>
      <c r="AF710" s="198">
        <v>41822</v>
      </c>
      <c r="AG710" s="176">
        <v>4.5</v>
      </c>
      <c r="AH710" s="196">
        <v>41927</v>
      </c>
      <c r="AI710" s="176">
        <v>135</v>
      </c>
      <c r="AM710" s="176">
        <v>88</v>
      </c>
      <c r="BG710" s="201">
        <v>0</v>
      </c>
      <c r="BI710" s="201">
        <v>4.5</v>
      </c>
      <c r="BK710" s="201">
        <v>1.6</v>
      </c>
      <c r="BM710" s="201">
        <v>63.9</v>
      </c>
      <c r="BO710" s="201">
        <v>20.399999999999999</v>
      </c>
      <c r="BQ710" s="201">
        <v>7.7</v>
      </c>
      <c r="BS710" s="201">
        <v>51.6</v>
      </c>
      <c r="BU710" s="201">
        <v>16.399999999999999</v>
      </c>
      <c r="BW710" s="201">
        <v>10.199999999999999</v>
      </c>
      <c r="BY710" s="178">
        <v>6.7000000000000028</v>
      </c>
      <c r="CC710" s="201">
        <v>7</v>
      </c>
      <c r="CD710" s="198">
        <v>41822</v>
      </c>
      <c r="CI710" s="174" t="s">
        <v>9345</v>
      </c>
      <c r="CL710" s="174">
        <v>1</v>
      </c>
    </row>
    <row r="711" spans="1:91">
      <c r="A711" s="191" t="s">
        <v>7624</v>
      </c>
      <c r="B711" s="192" t="s">
        <v>269</v>
      </c>
      <c r="C711" s="192" t="s">
        <v>8997</v>
      </c>
      <c r="D711" s="192" t="s">
        <v>8190</v>
      </c>
      <c r="E711" s="193">
        <v>273</v>
      </c>
      <c r="F711" s="193">
        <v>2</v>
      </c>
      <c r="I711" s="184"/>
      <c r="K711" s="176">
        <v>7</v>
      </c>
      <c r="M711" s="197">
        <v>1</v>
      </c>
      <c r="N711" s="198">
        <v>41822</v>
      </c>
      <c r="O711" s="179"/>
      <c r="S711" s="176">
        <f>(AE711*BS711)/100</f>
        <v>3.0923076923076924</v>
      </c>
      <c r="T711" s="198"/>
      <c r="U711" s="176">
        <v>16.2</v>
      </c>
      <c r="Y711" s="200">
        <f>(AE711*BU711)/100</f>
        <v>1.2661918328584993</v>
      </c>
      <c r="Z711" s="198"/>
      <c r="AA711" s="200"/>
      <c r="AB711" s="198"/>
      <c r="AC711" s="378">
        <f t="shared" si="11"/>
        <v>5.7901234567901234</v>
      </c>
      <c r="AE711" s="176">
        <f>(M711/U711)*((100-CC711)/(100-9))*100</f>
        <v>6.3627730294396958</v>
      </c>
      <c r="AF711" s="198">
        <v>41822</v>
      </c>
      <c r="AG711" s="176">
        <v>3.7</v>
      </c>
      <c r="AH711" s="196">
        <v>41927</v>
      </c>
      <c r="AI711" s="176">
        <v>100</v>
      </c>
      <c r="AM711" s="176">
        <v>80</v>
      </c>
      <c r="BG711" s="201">
        <v>40.700000000000003</v>
      </c>
      <c r="BI711" s="201">
        <v>4.2</v>
      </c>
      <c r="BK711" s="201">
        <v>0.9</v>
      </c>
      <c r="BM711" s="201">
        <v>31.7</v>
      </c>
      <c r="BO711" s="201">
        <v>15.7</v>
      </c>
      <c r="BQ711" s="201">
        <v>10.4</v>
      </c>
      <c r="BS711" s="201">
        <v>48.6</v>
      </c>
      <c r="BU711" s="201">
        <v>19.899999999999999</v>
      </c>
      <c r="BW711" s="201">
        <v>79.599999999999994</v>
      </c>
      <c r="BY711" s="178">
        <v>6.7999999999999972</v>
      </c>
      <c r="CC711" s="201">
        <v>6.2</v>
      </c>
      <c r="CD711" s="198">
        <v>41822</v>
      </c>
      <c r="CI711" s="174" t="s">
        <v>9367</v>
      </c>
      <c r="CL711" s="174">
        <v>3</v>
      </c>
    </row>
    <row r="712" spans="1:91">
      <c r="A712" s="191" t="s">
        <v>7652</v>
      </c>
      <c r="B712" s="192" t="s">
        <v>269</v>
      </c>
      <c r="C712" s="192" t="s">
        <v>8997</v>
      </c>
      <c r="D712" s="192" t="s">
        <v>8302</v>
      </c>
      <c r="E712" s="193">
        <v>273</v>
      </c>
      <c r="F712" s="193">
        <v>3</v>
      </c>
      <c r="K712" s="176">
        <v>8</v>
      </c>
      <c r="M712" s="197">
        <v>1.1000000000000001</v>
      </c>
      <c r="N712" s="198">
        <v>41822</v>
      </c>
      <c r="S712" s="176">
        <f>(AE712*BS712)/100</f>
        <v>3.2713844797178138</v>
      </c>
      <c r="T712" s="198"/>
      <c r="U712" s="176">
        <v>16.2</v>
      </c>
      <c r="Y712" s="200">
        <f>(AE712*BU712)/100</f>
        <v>1.363650793650794</v>
      </c>
      <c r="Z712" s="198"/>
      <c r="AA712" s="200"/>
      <c r="AB712" s="198"/>
      <c r="AC712" s="378">
        <f t="shared" si="11"/>
        <v>6.2672839506172844</v>
      </c>
      <c r="AE712" s="176">
        <f>(M712/U712)*((100-CC712)/(100-9))*100</f>
        <v>6.8871252204585547</v>
      </c>
      <c r="AF712" s="198">
        <v>41822</v>
      </c>
      <c r="AG712" s="176">
        <v>4.7</v>
      </c>
      <c r="AH712" s="196">
        <v>41927</v>
      </c>
      <c r="AI712" s="176">
        <v>50</v>
      </c>
      <c r="AM712" s="176">
        <v>80</v>
      </c>
      <c r="BG712" s="201">
        <v>2.2000000000000002</v>
      </c>
      <c r="BI712" s="201">
        <v>4.8</v>
      </c>
      <c r="BK712" s="201">
        <v>1.4</v>
      </c>
      <c r="BM712" s="201">
        <v>62.4</v>
      </c>
      <c r="BO712" s="201">
        <v>20.100000000000001</v>
      </c>
      <c r="BQ712" s="201">
        <v>9.4</v>
      </c>
      <c r="BS712" s="201">
        <v>47.5</v>
      </c>
      <c r="BU712" s="201">
        <v>19.8</v>
      </c>
      <c r="BW712" s="201">
        <v>52.7</v>
      </c>
      <c r="BY712" s="178">
        <v>6.7999999999999972</v>
      </c>
      <c r="CC712" s="201">
        <v>7.7</v>
      </c>
      <c r="CD712" s="198">
        <v>41822</v>
      </c>
      <c r="CI712" s="174" t="s">
        <v>9367</v>
      </c>
      <c r="CL712" s="174">
        <v>8</v>
      </c>
    </row>
    <row r="713" spans="1:91">
      <c r="A713" s="191" t="s">
        <v>7766</v>
      </c>
      <c r="B713" s="192" t="s">
        <v>269</v>
      </c>
      <c r="C713" s="192" t="s">
        <v>8997</v>
      </c>
      <c r="D713" s="192" t="s">
        <v>8758</v>
      </c>
      <c r="E713" s="193">
        <v>273</v>
      </c>
      <c r="F713" s="193">
        <v>4</v>
      </c>
      <c r="K713" s="176">
        <v>4</v>
      </c>
      <c r="M713" s="197">
        <v>3.4</v>
      </c>
      <c r="N713" s="198">
        <v>41822</v>
      </c>
      <c r="S713" s="176">
        <f>(AE713*BS713)/100</f>
        <v>10.955970695970695</v>
      </c>
      <c r="T713" s="198"/>
      <c r="U713" s="176">
        <v>16.2</v>
      </c>
      <c r="Y713" s="200">
        <f>(AE713*BU713)/100</f>
        <v>3.5665635598968937</v>
      </c>
      <c r="Z713" s="198"/>
      <c r="AA713" s="200"/>
      <c r="AB713" s="198"/>
      <c r="AC713" s="378">
        <f t="shared" si="11"/>
        <v>19.434567901234569</v>
      </c>
      <c r="AE713" s="176">
        <f>(M713/U713)*((100-CC713)/(100-9))*100</f>
        <v>21.356668023334691</v>
      </c>
      <c r="AF713" s="198">
        <v>41822</v>
      </c>
      <c r="AG713" s="176">
        <v>4.8</v>
      </c>
      <c r="AH713" s="196">
        <v>41927</v>
      </c>
      <c r="AI713" s="176">
        <v>125</v>
      </c>
      <c r="AM713" s="176">
        <v>84</v>
      </c>
      <c r="BG713" s="201">
        <v>0</v>
      </c>
      <c r="BI713" s="201">
        <v>4.0999999999999996</v>
      </c>
      <c r="BK713" s="201">
        <v>1.7</v>
      </c>
      <c r="BM713" s="201">
        <v>66.7</v>
      </c>
      <c r="BO713" s="201">
        <v>18.100000000000001</v>
      </c>
      <c r="BQ713" s="201">
        <v>6.9</v>
      </c>
      <c r="BS713" s="201">
        <v>51.3</v>
      </c>
      <c r="BU713" s="201">
        <v>16.7</v>
      </c>
      <c r="BW713" s="201">
        <v>10.6</v>
      </c>
      <c r="BY713" s="178">
        <v>7.2999999999999972</v>
      </c>
      <c r="CC713" s="201">
        <v>7.4</v>
      </c>
      <c r="CD713" s="198">
        <v>41822</v>
      </c>
      <c r="CI713" s="174" t="s">
        <v>9388</v>
      </c>
      <c r="CL713" s="174">
        <v>3</v>
      </c>
    </row>
    <row r="714" spans="1:91">
      <c r="A714" s="191" t="s">
        <v>7727</v>
      </c>
      <c r="B714" s="192" t="s">
        <v>269</v>
      </c>
      <c r="C714" s="192" t="s">
        <v>8997</v>
      </c>
      <c r="D714" s="192" t="s">
        <v>8602</v>
      </c>
      <c r="E714" s="193">
        <v>273</v>
      </c>
      <c r="F714" s="193">
        <v>5</v>
      </c>
      <c r="K714" s="176">
        <v>6</v>
      </c>
      <c r="M714" s="197">
        <v>3.95</v>
      </c>
      <c r="N714" s="198">
        <v>41822</v>
      </c>
      <c r="S714" s="176">
        <f>(AE714*BS714)/100</f>
        <v>12.683567358567359</v>
      </c>
      <c r="T714" s="198"/>
      <c r="U714" s="176">
        <v>16.2</v>
      </c>
      <c r="Y714" s="200">
        <f>(AE714*BU714)/100</f>
        <v>4.0866503866503869</v>
      </c>
      <c r="Z714" s="198"/>
      <c r="AA714" s="200"/>
      <c r="AB714" s="198"/>
      <c r="AC714" s="378">
        <f t="shared" si="11"/>
        <v>22.675925925925927</v>
      </c>
      <c r="AE714" s="176">
        <f>(M714/U714)*((100-CC714)/(100-9))*100</f>
        <v>24.91859991859992</v>
      </c>
      <c r="AF714" s="198">
        <v>41822</v>
      </c>
      <c r="AG714" s="176">
        <v>5.4</v>
      </c>
      <c r="AH714" s="196">
        <v>41927</v>
      </c>
      <c r="AI714" s="176">
        <v>145</v>
      </c>
      <c r="AM714" s="176">
        <v>80</v>
      </c>
      <c r="BG714" s="201">
        <v>4.3</v>
      </c>
      <c r="BI714" s="201">
        <v>5</v>
      </c>
      <c r="BK714" s="201">
        <v>1.5</v>
      </c>
      <c r="BM714" s="201">
        <v>63.9</v>
      </c>
      <c r="BO714" s="201">
        <v>21.5</v>
      </c>
      <c r="BQ714" s="201">
        <v>7.6</v>
      </c>
      <c r="BS714" s="201">
        <v>50.9</v>
      </c>
      <c r="BU714" s="201">
        <v>16.399999999999999</v>
      </c>
      <c r="BW714" s="201">
        <v>11.6</v>
      </c>
      <c r="BY714" s="178">
        <v>6.4000000000000057</v>
      </c>
      <c r="CC714" s="201">
        <v>7</v>
      </c>
      <c r="CD714" s="198">
        <v>41822</v>
      </c>
      <c r="CI714" s="174" t="s">
        <v>9384</v>
      </c>
      <c r="CL714" s="174">
        <v>2</v>
      </c>
    </row>
    <row r="715" spans="1:91">
      <c r="A715" s="191" t="s">
        <v>7686</v>
      </c>
      <c r="B715" s="192" t="s">
        <v>269</v>
      </c>
      <c r="C715" s="192" t="s">
        <v>8997</v>
      </c>
      <c r="D715" s="192" t="s">
        <v>8438</v>
      </c>
      <c r="E715" s="193">
        <v>273</v>
      </c>
      <c r="F715" s="193">
        <v>6</v>
      </c>
      <c r="K715" s="176">
        <v>9</v>
      </c>
      <c r="M715" s="197">
        <v>2.9</v>
      </c>
      <c r="N715" s="198">
        <v>41822</v>
      </c>
      <c r="S715" s="176">
        <f>(AE715*BS715)/100</f>
        <v>9.1192233075566413</v>
      </c>
      <c r="T715" s="198"/>
      <c r="U715" s="176">
        <v>16.2</v>
      </c>
      <c r="Y715" s="200">
        <f>(AE715*BU715)/100</f>
        <v>3.2163994030660699</v>
      </c>
      <c r="Z715" s="198"/>
      <c r="AA715" s="200"/>
      <c r="AB715" s="198"/>
      <c r="AC715" s="378">
        <f t="shared" si="11"/>
        <v>16.630246913580248</v>
      </c>
      <c r="AE715" s="176">
        <f>(M715/U715)*((100-CC715)/(100-9))*100</f>
        <v>18.274996608329943</v>
      </c>
      <c r="AF715" s="198">
        <v>41822</v>
      </c>
      <c r="AG715" s="176">
        <v>5.3</v>
      </c>
      <c r="AH715" s="196">
        <v>41927</v>
      </c>
      <c r="AI715" s="176">
        <v>120</v>
      </c>
      <c r="AM715" s="176">
        <v>86</v>
      </c>
      <c r="BG715" s="201">
        <v>3.1</v>
      </c>
      <c r="BI715" s="201">
        <v>4.7</v>
      </c>
      <c r="BK715" s="201">
        <v>1.5</v>
      </c>
      <c r="BM715" s="201">
        <v>62.6</v>
      </c>
      <c r="BO715" s="201">
        <v>20.2</v>
      </c>
      <c r="BQ715" s="201">
        <v>8.6999999999999993</v>
      </c>
      <c r="BS715" s="201">
        <v>49.9</v>
      </c>
      <c r="BU715" s="201">
        <v>17.600000000000001</v>
      </c>
      <c r="BW715" s="201">
        <v>23.1</v>
      </c>
      <c r="BY715" s="178">
        <v>6.7000000000000028</v>
      </c>
      <c r="CC715" s="201">
        <v>7.1</v>
      </c>
      <c r="CD715" s="198">
        <v>41822</v>
      </c>
      <c r="CI715" s="174" t="s">
        <v>9369</v>
      </c>
      <c r="CL715" s="174">
        <v>2</v>
      </c>
    </row>
    <row r="716" spans="1:91">
      <c r="A716" s="191" t="s">
        <v>7898</v>
      </c>
      <c r="B716" s="192" t="s">
        <v>271</v>
      </c>
      <c r="C716" s="192" t="s">
        <v>8999</v>
      </c>
      <c r="D716" s="192" t="s">
        <v>8980</v>
      </c>
      <c r="E716" s="193">
        <v>273</v>
      </c>
      <c r="F716" s="193">
        <v>7</v>
      </c>
      <c r="K716" s="176">
        <v>8</v>
      </c>
      <c r="M716" s="197">
        <v>5.9</v>
      </c>
      <c r="N716" s="198">
        <v>41822</v>
      </c>
      <c r="S716" s="176">
        <f>(AE716*BS716)/100</f>
        <v>19.026559489892829</v>
      </c>
      <c r="T716" s="198"/>
      <c r="U716" s="176">
        <v>16.2</v>
      </c>
      <c r="Y716" s="200">
        <f>(AE716*BU716)/100</f>
        <v>6.3920268620268645</v>
      </c>
      <c r="Z716" s="198"/>
      <c r="AA716" s="200"/>
      <c r="AB716" s="198"/>
      <c r="AC716" s="378">
        <f t="shared" si="11"/>
        <v>34.016049382716055</v>
      </c>
      <c r="AE716" s="176">
        <f>(M716/U716)*((100-CC716)/(100-9))*100</f>
        <v>37.380274046940727</v>
      </c>
      <c r="AF716" s="198">
        <v>41822</v>
      </c>
      <c r="AG716" s="176">
        <v>4.5</v>
      </c>
      <c r="AH716" s="196">
        <v>41927</v>
      </c>
      <c r="AI716" s="176">
        <v>160</v>
      </c>
      <c r="AM716" s="176">
        <v>86</v>
      </c>
      <c r="BG716" s="201">
        <v>0</v>
      </c>
      <c r="BI716" s="201">
        <v>4.8</v>
      </c>
      <c r="BK716" s="201">
        <v>1.6</v>
      </c>
      <c r="BM716" s="201">
        <v>63</v>
      </c>
      <c r="BO716" s="201">
        <v>22</v>
      </c>
      <c r="BQ716" s="201">
        <v>8</v>
      </c>
      <c r="BS716" s="201">
        <v>50.9</v>
      </c>
      <c r="BU716" s="201">
        <v>17.100000000000001</v>
      </c>
      <c r="BW716" s="201">
        <v>9.1</v>
      </c>
      <c r="BY716" s="178">
        <v>6</v>
      </c>
      <c r="CC716" s="201">
        <v>6.6</v>
      </c>
      <c r="CD716" s="198">
        <v>41822</v>
      </c>
      <c r="CI716" s="174" t="s">
        <v>9368</v>
      </c>
      <c r="CL716" s="174">
        <v>4</v>
      </c>
    </row>
    <row r="717" spans="1:91">
      <c r="A717" s="191" t="s">
        <v>7672</v>
      </c>
      <c r="B717" s="192" t="s">
        <v>271</v>
      </c>
      <c r="C717" s="192" t="s">
        <v>8999</v>
      </c>
      <c r="D717" s="192" t="s">
        <v>8384</v>
      </c>
      <c r="E717" s="193">
        <v>273</v>
      </c>
      <c r="F717" s="193">
        <v>8</v>
      </c>
      <c r="K717" s="176">
        <v>8</v>
      </c>
      <c r="M717" s="197">
        <v>4.5</v>
      </c>
      <c r="N717" s="198">
        <v>41822</v>
      </c>
      <c r="S717" s="176">
        <f>(AE717*BS717)/100</f>
        <v>14.258974358974358</v>
      </c>
      <c r="T717" s="198"/>
      <c r="U717" s="176">
        <v>16.2</v>
      </c>
      <c r="Y717" s="200">
        <f>(AE717*BU717)/100</f>
        <v>5.0393162393162392</v>
      </c>
      <c r="Z717" s="198"/>
      <c r="AA717" s="200"/>
      <c r="AB717" s="198"/>
      <c r="AC717" s="378">
        <f t="shared" si="11"/>
        <v>26.055555555555557</v>
      </c>
      <c r="AE717" s="176">
        <f>(M717/U717)*((100-CC717)/(100-9))*100</f>
        <v>28.63247863247863</v>
      </c>
      <c r="AF717" s="198">
        <v>41822</v>
      </c>
      <c r="AG717" s="176">
        <v>4.9000000000000004</v>
      </c>
      <c r="AH717" s="196">
        <v>41927</v>
      </c>
      <c r="AI717" s="176">
        <v>155</v>
      </c>
      <c r="AM717" s="176">
        <v>85</v>
      </c>
      <c r="BG717" s="201">
        <v>0</v>
      </c>
      <c r="BI717" s="201">
        <v>4.5</v>
      </c>
      <c r="BK717" s="201">
        <v>1.5</v>
      </c>
      <c r="BM717" s="201">
        <v>65.5</v>
      </c>
      <c r="BO717" s="201">
        <v>19.3</v>
      </c>
      <c r="BQ717" s="201">
        <v>7.5</v>
      </c>
      <c r="BS717" s="201">
        <v>49.8</v>
      </c>
      <c r="BU717" s="201">
        <v>17.600000000000001</v>
      </c>
      <c r="BW717" s="201">
        <v>22.6</v>
      </c>
      <c r="BY717" s="178">
        <v>6</v>
      </c>
      <c r="CC717" s="201">
        <v>6.2</v>
      </c>
      <c r="CD717" s="198">
        <v>41822</v>
      </c>
      <c r="CI717" s="174" t="s">
        <v>9368</v>
      </c>
      <c r="CL717" s="174">
        <v>3</v>
      </c>
    </row>
    <row r="718" spans="1:91" s="181" customFormat="1">
      <c r="A718" s="191" t="s">
        <v>7684</v>
      </c>
      <c r="B718" s="192" t="s">
        <v>271</v>
      </c>
      <c r="C718" s="192" t="s">
        <v>8999</v>
      </c>
      <c r="D718" s="192" t="s">
        <v>8432</v>
      </c>
      <c r="E718" s="193">
        <v>273</v>
      </c>
      <c r="F718" s="193">
        <v>9</v>
      </c>
      <c r="G718" s="193"/>
      <c r="H718" s="193"/>
      <c r="I718" s="195"/>
      <c r="J718" s="195"/>
      <c r="K718" s="176">
        <v>6</v>
      </c>
      <c r="L718" s="196"/>
      <c r="M718" s="197">
        <v>4.55</v>
      </c>
      <c r="N718" s="198">
        <v>41822</v>
      </c>
      <c r="O718" s="180"/>
      <c r="P718" s="199"/>
      <c r="Q718" s="180"/>
      <c r="R718" s="199"/>
      <c r="S718" s="176">
        <f>(AE718*BS718)/100</f>
        <v>13.965000000000002</v>
      </c>
      <c r="T718" s="198"/>
      <c r="U718" s="176">
        <v>16.2</v>
      </c>
      <c r="V718" s="199"/>
      <c r="W718" s="180"/>
      <c r="X718" s="199"/>
      <c r="Y718" s="200">
        <f>(AE718*BU718)/100</f>
        <v>5.4595679012345677</v>
      </c>
      <c r="Z718" s="198"/>
      <c r="AA718" s="200"/>
      <c r="AB718" s="198"/>
      <c r="AC718" s="378">
        <f t="shared" si="11"/>
        <v>26.148456790123458</v>
      </c>
      <c r="AD718" s="196"/>
      <c r="AE718" s="176">
        <f>(M718/U718)*((100-CC718)/(100-9))*100</f>
        <v>28.73456790123457</v>
      </c>
      <c r="AF718" s="198">
        <v>41822</v>
      </c>
      <c r="AG718" s="176">
        <v>5.0999999999999996</v>
      </c>
      <c r="AH718" s="196">
        <v>41927</v>
      </c>
      <c r="AI718" s="176">
        <v>150</v>
      </c>
      <c r="AJ718" s="196"/>
      <c r="AK718" s="180"/>
      <c r="AL718" s="199"/>
      <c r="AM718" s="176">
        <v>80</v>
      </c>
      <c r="AN718" s="199"/>
      <c r="AO718" s="180"/>
      <c r="AP718" s="180"/>
      <c r="AQ718" s="180"/>
      <c r="AR718" s="180"/>
      <c r="AS718" s="180"/>
      <c r="AT718" s="180"/>
      <c r="AU718" s="180"/>
      <c r="AV718" s="180"/>
      <c r="AW718" s="180"/>
      <c r="AX718" s="180"/>
      <c r="AY718" s="180"/>
      <c r="AZ718" s="180"/>
      <c r="BA718" s="180"/>
      <c r="BB718" s="180"/>
      <c r="BC718" s="180"/>
      <c r="BD718" s="180"/>
      <c r="BE718" s="179"/>
      <c r="BF718" s="179"/>
      <c r="BG718" s="201">
        <v>0</v>
      </c>
      <c r="BH718" s="178"/>
      <c r="BI718" s="201">
        <v>4.3</v>
      </c>
      <c r="BJ718" s="178"/>
      <c r="BK718" s="201">
        <v>1.9</v>
      </c>
      <c r="BL718" s="178"/>
      <c r="BM718" s="201">
        <v>71.5</v>
      </c>
      <c r="BN718" s="178"/>
      <c r="BO718" s="201">
        <v>18.899999999999999</v>
      </c>
      <c r="BP718" s="178"/>
      <c r="BQ718" s="201">
        <v>4.8</v>
      </c>
      <c r="BR718" s="178"/>
      <c r="BS718" s="201">
        <v>48.6</v>
      </c>
      <c r="BT718" s="178"/>
      <c r="BU718" s="201">
        <v>19</v>
      </c>
      <c r="BV718" s="178"/>
      <c r="BW718" s="201">
        <v>14.9</v>
      </c>
      <c r="BX718" s="178"/>
      <c r="BY718" s="178">
        <v>6.2000000000000028</v>
      </c>
      <c r="BZ718" s="178"/>
      <c r="CA718" s="179"/>
      <c r="CB718" s="179"/>
      <c r="CC718" s="201">
        <v>6.9</v>
      </c>
      <c r="CD718" s="198">
        <v>41822</v>
      </c>
      <c r="CE718" s="178"/>
      <c r="CF718" s="178"/>
      <c r="CG718" s="179"/>
      <c r="CH718" s="179"/>
      <c r="CI718" s="174" t="s">
        <v>9382</v>
      </c>
      <c r="CJ718" s="178"/>
      <c r="CK718" s="178"/>
      <c r="CL718" s="174">
        <v>3</v>
      </c>
      <c r="CM718" s="174"/>
    </row>
    <row r="719" spans="1:91" s="181" customFormat="1">
      <c r="A719" s="191" t="s">
        <v>7612</v>
      </c>
      <c r="B719" s="192" t="s">
        <v>271</v>
      </c>
      <c r="C719" s="192" t="s">
        <v>8999</v>
      </c>
      <c r="D719" s="192" t="s">
        <v>8144</v>
      </c>
      <c r="E719" s="193">
        <v>273</v>
      </c>
      <c r="F719" s="193">
        <v>10</v>
      </c>
      <c r="G719" s="193"/>
      <c r="H719" s="193"/>
      <c r="I719" s="184"/>
      <c r="J719" s="195"/>
      <c r="K719" s="176">
        <v>8</v>
      </c>
      <c r="L719" s="196"/>
      <c r="M719" s="197">
        <v>2.1</v>
      </c>
      <c r="N719" s="198">
        <v>41822</v>
      </c>
      <c r="O719" s="179"/>
      <c r="P719" s="199"/>
      <c r="Q719" s="180"/>
      <c r="R719" s="199"/>
      <c r="S719" s="176">
        <f>(AE719*BS719)/100</f>
        <v>6.4675213675213685</v>
      </c>
      <c r="T719" s="198"/>
      <c r="U719" s="176">
        <v>16.2</v>
      </c>
      <c r="V719" s="199"/>
      <c r="W719" s="180"/>
      <c r="X719" s="199"/>
      <c r="Y719" s="200">
        <f>(AE719*BU719)/100</f>
        <v>2.5709401709401716</v>
      </c>
      <c r="Z719" s="198"/>
      <c r="AA719" s="200"/>
      <c r="AB719" s="198"/>
      <c r="AC719" s="378">
        <f t="shared" si="11"/>
        <v>12.185185185185187</v>
      </c>
      <c r="AD719" s="196"/>
      <c r="AE719" s="176">
        <f>(M719/U719)*((100-CC719)/(100-9))*100</f>
        <v>13.390313390313393</v>
      </c>
      <c r="AF719" s="198">
        <v>41822</v>
      </c>
      <c r="AG719" s="176">
        <v>4.5999999999999996</v>
      </c>
      <c r="AH719" s="196">
        <v>41927</v>
      </c>
      <c r="AI719" s="176">
        <v>120</v>
      </c>
      <c r="AJ719" s="196"/>
      <c r="AK719" s="180"/>
      <c r="AL719" s="199"/>
      <c r="AM719" s="176">
        <v>87</v>
      </c>
      <c r="AN719" s="199"/>
      <c r="AO719" s="180"/>
      <c r="AP719" s="180"/>
      <c r="AQ719" s="180"/>
      <c r="AR719" s="180"/>
      <c r="AS719" s="180"/>
      <c r="AT719" s="180"/>
      <c r="AU719" s="180"/>
      <c r="AV719" s="180"/>
      <c r="AW719" s="180"/>
      <c r="AX719" s="180"/>
      <c r="AY719" s="180"/>
      <c r="AZ719" s="180"/>
      <c r="BA719" s="180"/>
      <c r="BB719" s="180"/>
      <c r="BC719" s="180"/>
      <c r="BD719" s="180"/>
      <c r="BE719" s="179"/>
      <c r="BF719" s="179"/>
      <c r="BG719" s="201">
        <v>35.5</v>
      </c>
      <c r="BH719" s="178"/>
      <c r="BI719" s="201">
        <v>4.0999999999999996</v>
      </c>
      <c r="BJ719" s="178"/>
      <c r="BK719" s="201">
        <v>1.1000000000000001</v>
      </c>
      <c r="BL719" s="178"/>
      <c r="BM719" s="201">
        <v>37.5</v>
      </c>
      <c r="BN719" s="178"/>
      <c r="BO719" s="201">
        <v>17.5</v>
      </c>
      <c r="BP719" s="178"/>
      <c r="BQ719" s="201">
        <v>8.8000000000000007</v>
      </c>
      <c r="BR719" s="178"/>
      <c r="BS719" s="201">
        <v>48.3</v>
      </c>
      <c r="BT719" s="178"/>
      <c r="BU719" s="201">
        <v>19.2</v>
      </c>
      <c r="BV719" s="178"/>
      <c r="BW719" s="201">
        <v>55.5</v>
      </c>
      <c r="BX719" s="178"/>
      <c r="BY719" s="178">
        <v>6</v>
      </c>
      <c r="BZ719" s="178"/>
      <c r="CA719" s="179"/>
      <c r="CB719" s="179"/>
      <c r="CC719" s="201">
        <v>6</v>
      </c>
      <c r="CD719" s="198">
        <v>41822</v>
      </c>
      <c r="CE719" s="178"/>
      <c r="CF719" s="178"/>
      <c r="CG719" s="179"/>
      <c r="CH719" s="179"/>
      <c r="CI719" s="174" t="s">
        <v>9349</v>
      </c>
      <c r="CJ719" s="178"/>
      <c r="CK719" s="178"/>
      <c r="CL719" s="174">
        <v>8</v>
      </c>
      <c r="CM719" s="174"/>
    </row>
    <row r="720" spans="1:91" s="181" customFormat="1">
      <c r="A720" s="191" t="s">
        <v>7681</v>
      </c>
      <c r="B720" s="192" t="s">
        <v>271</v>
      </c>
      <c r="C720" s="192" t="s">
        <v>8999</v>
      </c>
      <c r="D720" s="192" t="s">
        <v>8420</v>
      </c>
      <c r="E720" s="193">
        <v>273</v>
      </c>
      <c r="F720" s="193">
        <v>11</v>
      </c>
      <c r="G720" s="193"/>
      <c r="H720" s="193"/>
      <c r="I720" s="195"/>
      <c r="J720" s="195"/>
      <c r="K720" s="176">
        <v>7</v>
      </c>
      <c r="L720" s="196"/>
      <c r="M720" s="197">
        <v>4.8499999999999996</v>
      </c>
      <c r="N720" s="198">
        <v>41822</v>
      </c>
      <c r="O720" s="180"/>
      <c r="P720" s="199"/>
      <c r="Q720" s="180"/>
      <c r="R720" s="199"/>
      <c r="S720" s="176">
        <f>(AE720*BS720)/100</f>
        <v>15.134289784289784</v>
      </c>
      <c r="T720" s="198"/>
      <c r="U720" s="176">
        <v>16.2</v>
      </c>
      <c r="V720" s="199"/>
      <c r="W720" s="180"/>
      <c r="X720" s="199"/>
      <c r="Y720" s="200">
        <f>(AE720*BU720)/100</f>
        <v>5.6599782933116254</v>
      </c>
      <c r="Z720" s="198"/>
      <c r="AA720" s="200"/>
      <c r="AB720" s="198"/>
      <c r="AC720" s="378">
        <f t="shared" si="11"/>
        <v>27.992283950617285</v>
      </c>
      <c r="AD720" s="196"/>
      <c r="AE720" s="176">
        <f>(M720/U720)*((100-CC720)/(100-9))*100</f>
        <v>30.760751594084923</v>
      </c>
      <c r="AF720" s="198">
        <v>41822</v>
      </c>
      <c r="AG720" s="176">
        <v>4.5</v>
      </c>
      <c r="AH720" s="196">
        <v>41927</v>
      </c>
      <c r="AI720" s="176">
        <v>155</v>
      </c>
      <c r="AJ720" s="196"/>
      <c r="AK720" s="180"/>
      <c r="AL720" s="199"/>
      <c r="AM720" s="176">
        <v>90</v>
      </c>
      <c r="AN720" s="199"/>
      <c r="AO720" s="180"/>
      <c r="AP720" s="180"/>
      <c r="AQ720" s="180"/>
      <c r="AR720" s="180"/>
      <c r="AS720" s="180"/>
      <c r="AT720" s="180"/>
      <c r="AU720" s="180"/>
      <c r="AV720" s="180"/>
      <c r="AW720" s="180"/>
      <c r="AX720" s="180"/>
      <c r="AY720" s="180"/>
      <c r="AZ720" s="180"/>
      <c r="BA720" s="180"/>
      <c r="BB720" s="180"/>
      <c r="BC720" s="180"/>
      <c r="BD720" s="180"/>
      <c r="BE720" s="179"/>
      <c r="BF720" s="179"/>
      <c r="BG720" s="201">
        <v>0</v>
      </c>
      <c r="BH720" s="178"/>
      <c r="BI720" s="201">
        <v>4.4000000000000004</v>
      </c>
      <c r="BJ720" s="178"/>
      <c r="BK720" s="201">
        <v>1.6</v>
      </c>
      <c r="BL720" s="178"/>
      <c r="BM720" s="201">
        <v>65.5</v>
      </c>
      <c r="BN720" s="178"/>
      <c r="BO720" s="201">
        <v>19.399999999999999</v>
      </c>
      <c r="BP720" s="178"/>
      <c r="BQ720" s="201">
        <v>7.9</v>
      </c>
      <c r="BR720" s="178"/>
      <c r="BS720" s="201">
        <v>49.2</v>
      </c>
      <c r="BT720" s="178"/>
      <c r="BU720" s="201">
        <v>18.399999999999999</v>
      </c>
      <c r="BV720" s="178"/>
      <c r="BW720" s="201">
        <v>18.100000000000001</v>
      </c>
      <c r="BX720" s="178"/>
      <c r="BY720" s="178">
        <v>6.4000000000000057</v>
      </c>
      <c r="BZ720" s="178"/>
      <c r="CA720" s="179"/>
      <c r="CB720" s="179"/>
      <c r="CC720" s="201">
        <v>6.5</v>
      </c>
      <c r="CD720" s="198">
        <v>41822</v>
      </c>
      <c r="CE720" s="178"/>
      <c r="CF720" s="178"/>
      <c r="CG720" s="179"/>
      <c r="CH720" s="179"/>
      <c r="CI720" s="174" t="s">
        <v>9347</v>
      </c>
      <c r="CJ720" s="178"/>
      <c r="CK720" s="178"/>
      <c r="CL720" s="174">
        <v>2</v>
      </c>
      <c r="CM720" s="174"/>
    </row>
    <row r="721" spans="1:91" s="181" customFormat="1">
      <c r="A721" s="191" t="s">
        <v>7626</v>
      </c>
      <c r="B721" s="192" t="s">
        <v>271</v>
      </c>
      <c r="C721" s="192" t="s">
        <v>8999</v>
      </c>
      <c r="D721" s="192" t="s">
        <v>8200</v>
      </c>
      <c r="E721" s="193">
        <v>273</v>
      </c>
      <c r="F721" s="193">
        <v>12</v>
      </c>
      <c r="G721" s="193"/>
      <c r="H721" s="193"/>
      <c r="I721" s="184"/>
      <c r="J721" s="195"/>
      <c r="K721" s="176">
        <v>7</v>
      </c>
      <c r="L721" s="196"/>
      <c r="M721" s="197">
        <v>4.3499999999999996</v>
      </c>
      <c r="N721" s="198">
        <v>41822</v>
      </c>
      <c r="O721" s="179"/>
      <c r="P721" s="199"/>
      <c r="Q721" s="180"/>
      <c r="R721" s="199"/>
      <c r="S721" s="176">
        <f>(AE721*BS721)/100</f>
        <v>13.56918498168498</v>
      </c>
      <c r="T721" s="198"/>
      <c r="U721" s="176">
        <v>16.2</v>
      </c>
      <c r="V721" s="199"/>
      <c r="W721" s="180"/>
      <c r="X721" s="199"/>
      <c r="Y721" s="200">
        <f>(AE721*BU721)/100</f>
        <v>5.0713115588115585</v>
      </c>
      <c r="Z721" s="198"/>
      <c r="AA721" s="200"/>
      <c r="AB721" s="198"/>
      <c r="AC721" s="378">
        <f t="shared" si="11"/>
        <v>24.94537037037037</v>
      </c>
      <c r="AD721" s="196"/>
      <c r="AE721" s="176">
        <f>(M721/U721)*((100-CC721)/(100-9))*100</f>
        <v>27.41249491249491</v>
      </c>
      <c r="AF721" s="198">
        <v>41822</v>
      </c>
      <c r="AG721" s="176">
        <v>4.7</v>
      </c>
      <c r="AH721" s="196">
        <v>41927</v>
      </c>
      <c r="AI721" s="176">
        <v>155</v>
      </c>
      <c r="AJ721" s="196"/>
      <c r="AK721" s="180"/>
      <c r="AL721" s="199"/>
      <c r="AM721" s="176">
        <v>86</v>
      </c>
      <c r="AN721" s="199"/>
      <c r="AO721" s="180"/>
      <c r="AP721" s="180"/>
      <c r="AQ721" s="180"/>
      <c r="AR721" s="180"/>
      <c r="AS721" s="180"/>
      <c r="AT721" s="180"/>
      <c r="AU721" s="180"/>
      <c r="AV721" s="180"/>
      <c r="AW721" s="180"/>
      <c r="AX721" s="180"/>
      <c r="AY721" s="180"/>
      <c r="AZ721" s="180"/>
      <c r="BA721" s="180"/>
      <c r="BB721" s="180"/>
      <c r="BC721" s="180"/>
      <c r="BD721" s="180"/>
      <c r="BE721" s="179"/>
      <c r="BF721" s="179"/>
      <c r="BG721" s="201">
        <v>29.1</v>
      </c>
      <c r="BH721" s="178"/>
      <c r="BI721" s="201">
        <v>4.5</v>
      </c>
      <c r="BJ721" s="178"/>
      <c r="BK721" s="201">
        <v>1.1000000000000001</v>
      </c>
      <c r="BL721" s="178"/>
      <c r="BM721" s="201">
        <v>44.6</v>
      </c>
      <c r="BN721" s="178"/>
      <c r="BO721" s="201">
        <v>17.7</v>
      </c>
      <c r="BP721" s="178"/>
      <c r="BQ721" s="201">
        <v>8.3000000000000007</v>
      </c>
      <c r="BR721" s="178"/>
      <c r="BS721" s="201">
        <v>49.5</v>
      </c>
      <c r="BT721" s="178"/>
      <c r="BU721" s="201">
        <v>18.5</v>
      </c>
      <c r="BV721" s="178"/>
      <c r="BW721" s="201">
        <v>51.5</v>
      </c>
      <c r="BX721" s="178"/>
      <c r="BY721" s="178">
        <v>6.4000000000000057</v>
      </c>
      <c r="BZ721" s="178"/>
      <c r="CA721" s="179"/>
      <c r="CB721" s="179"/>
      <c r="CC721" s="201">
        <v>7.1</v>
      </c>
      <c r="CD721" s="198">
        <v>41822</v>
      </c>
      <c r="CE721" s="178"/>
      <c r="CF721" s="178"/>
      <c r="CG721" s="179"/>
      <c r="CH721" s="179"/>
      <c r="CI721" s="174" t="s">
        <v>9355</v>
      </c>
      <c r="CJ721" s="178"/>
      <c r="CK721" s="178"/>
      <c r="CL721" s="174">
        <v>4</v>
      </c>
      <c r="CM721" s="174"/>
    </row>
    <row r="722" spans="1:91">
      <c r="A722" s="191" t="s">
        <v>7679</v>
      </c>
      <c r="B722" s="192" t="s">
        <v>269</v>
      </c>
      <c r="C722" s="192" t="s">
        <v>8997</v>
      </c>
      <c r="D722" s="192" t="s">
        <v>8410</v>
      </c>
      <c r="E722" s="193">
        <v>274</v>
      </c>
      <c r="F722" s="193">
        <v>1</v>
      </c>
      <c r="K722" s="176">
        <v>7</v>
      </c>
      <c r="M722" s="197">
        <v>4.55</v>
      </c>
      <c r="N722" s="198">
        <v>41822</v>
      </c>
      <c r="S722" s="176">
        <f>(AE722*BS722)/100</f>
        <v>14.521481481481482</v>
      </c>
      <c r="T722" s="198"/>
      <c r="U722" s="176">
        <v>16.2</v>
      </c>
      <c r="Y722" s="200">
        <f>(AE722*BU722)/100</f>
        <v>4.8404938271604934</v>
      </c>
      <c r="Z722" s="198"/>
      <c r="AA722" s="200"/>
      <c r="AB722" s="198"/>
      <c r="AC722" s="378">
        <f t="shared" si="11"/>
        <v>26.064197530864199</v>
      </c>
      <c r="AE722" s="176">
        <f>(M722/U722)*((100-CC722)/(100-9))*100</f>
        <v>28.641975308641975</v>
      </c>
      <c r="AF722" s="198">
        <v>41822</v>
      </c>
      <c r="AG722" s="176">
        <v>4.8</v>
      </c>
      <c r="AH722" s="196">
        <v>41927</v>
      </c>
      <c r="AI722" s="176">
        <v>130</v>
      </c>
      <c r="AM722" s="176">
        <v>88</v>
      </c>
      <c r="BG722" s="201">
        <v>0.7</v>
      </c>
      <c r="BI722" s="201">
        <v>4.9000000000000004</v>
      </c>
      <c r="BK722" s="201">
        <v>1.6</v>
      </c>
      <c r="BM722" s="201">
        <v>64.5</v>
      </c>
      <c r="BO722" s="201">
        <v>21.3</v>
      </c>
      <c r="BQ722" s="201">
        <v>8</v>
      </c>
      <c r="BS722" s="201">
        <v>50.7</v>
      </c>
      <c r="BU722" s="201">
        <v>16.899999999999999</v>
      </c>
      <c r="BW722" s="201">
        <v>13.4</v>
      </c>
      <c r="BY722" s="178">
        <v>6.7000000000000028</v>
      </c>
      <c r="CC722" s="201">
        <v>7.2</v>
      </c>
      <c r="CD722" s="198">
        <v>41822</v>
      </c>
      <c r="CI722" s="174" t="s">
        <v>9340</v>
      </c>
      <c r="CL722" s="174">
        <v>1</v>
      </c>
    </row>
    <row r="723" spans="1:91">
      <c r="A723" s="191" t="s">
        <v>7684</v>
      </c>
      <c r="B723" s="192" t="s">
        <v>269</v>
      </c>
      <c r="C723" s="192" t="s">
        <v>8997</v>
      </c>
      <c r="D723" s="192" t="s">
        <v>8430</v>
      </c>
      <c r="E723" s="193">
        <v>274</v>
      </c>
      <c r="F723" s="193">
        <v>2</v>
      </c>
      <c r="K723" s="176">
        <v>6</v>
      </c>
      <c r="M723" s="197">
        <v>2.4</v>
      </c>
      <c r="N723" s="198">
        <v>41822</v>
      </c>
      <c r="S723" s="176">
        <f>(AE723*BS723)/100</f>
        <v>7.5096459096459087</v>
      </c>
      <c r="T723" s="198"/>
      <c r="U723" s="176">
        <v>16.2</v>
      </c>
      <c r="Y723" s="200">
        <f>(AE723*BU723)/100</f>
        <v>2.7101343101343098</v>
      </c>
      <c r="Z723" s="198"/>
      <c r="AA723" s="200"/>
      <c r="AB723" s="198"/>
      <c r="AC723" s="378">
        <f t="shared" si="11"/>
        <v>13.777777777777777</v>
      </c>
      <c r="AE723" s="176">
        <f>(M723/U723)*((100-CC723)/(100-9))*100</f>
        <v>15.14041514041514</v>
      </c>
      <c r="AF723" s="198">
        <v>41822</v>
      </c>
      <c r="AG723" s="176">
        <v>4.9000000000000004</v>
      </c>
      <c r="AH723" s="196">
        <v>41927</v>
      </c>
      <c r="AI723" s="176">
        <v>120</v>
      </c>
      <c r="AM723" s="176">
        <v>79</v>
      </c>
      <c r="BG723" s="201">
        <v>0</v>
      </c>
      <c r="BI723" s="201">
        <v>4.5</v>
      </c>
      <c r="BK723" s="201">
        <v>1.7</v>
      </c>
      <c r="BM723" s="201">
        <v>70.3</v>
      </c>
      <c r="BO723" s="201">
        <v>19.3</v>
      </c>
      <c r="BQ723" s="201">
        <v>6.3</v>
      </c>
      <c r="BS723" s="201">
        <v>49.6</v>
      </c>
      <c r="BU723" s="201">
        <v>17.899999999999999</v>
      </c>
      <c r="BW723" s="201">
        <v>19.899999999999999</v>
      </c>
      <c r="BY723" s="178">
        <v>6.7000000000000028</v>
      </c>
      <c r="CC723" s="201">
        <v>7</v>
      </c>
      <c r="CD723" s="198">
        <v>41822</v>
      </c>
      <c r="CI723" s="174" t="s">
        <v>9360</v>
      </c>
      <c r="CL723" s="174">
        <v>2</v>
      </c>
    </row>
    <row r="724" spans="1:91">
      <c r="A724" s="191" t="s">
        <v>7813</v>
      </c>
      <c r="B724" s="192" t="s">
        <v>269</v>
      </c>
      <c r="C724" s="192" t="s">
        <v>8997</v>
      </c>
      <c r="D724" s="192" t="s">
        <v>8946</v>
      </c>
      <c r="E724" s="193">
        <v>274</v>
      </c>
      <c r="F724" s="193">
        <v>3</v>
      </c>
      <c r="K724" s="176">
        <v>6</v>
      </c>
      <c r="M724" s="197">
        <v>2.95</v>
      </c>
      <c r="N724" s="198">
        <v>41822</v>
      </c>
      <c r="S724" s="176">
        <f>(AE724*BS724)/100</f>
        <v>9.5305291005291011</v>
      </c>
      <c r="T724" s="198"/>
      <c r="U724" s="176">
        <v>16.2</v>
      </c>
      <c r="Y724" s="200">
        <f>(AE724*BU724)/100</f>
        <v>3.0290828924162256</v>
      </c>
      <c r="Z724" s="198"/>
      <c r="AA724" s="200"/>
      <c r="AB724" s="198"/>
      <c r="AC724" s="378">
        <f t="shared" si="11"/>
        <v>16.807716049382719</v>
      </c>
      <c r="AE724" s="176">
        <f>(M724/U724)*((100-CC724)/(100-9))*100</f>
        <v>18.470017636684304</v>
      </c>
      <c r="AF724" s="198">
        <v>41822</v>
      </c>
      <c r="AG724" s="176">
        <v>4.8</v>
      </c>
      <c r="AH724" s="196">
        <v>41927</v>
      </c>
      <c r="AI724" s="176">
        <v>145</v>
      </c>
      <c r="AM724" s="176">
        <v>85</v>
      </c>
      <c r="BG724" s="201">
        <v>0.8</v>
      </c>
      <c r="BI724" s="201">
        <v>4.5</v>
      </c>
      <c r="BK724" s="201">
        <v>1.6</v>
      </c>
      <c r="BM724" s="201">
        <v>65.5</v>
      </c>
      <c r="BO724" s="201">
        <v>19.899999999999999</v>
      </c>
      <c r="BQ724" s="201">
        <v>7.8</v>
      </c>
      <c r="BS724" s="201">
        <v>51.6</v>
      </c>
      <c r="BU724" s="201">
        <v>16.399999999999999</v>
      </c>
      <c r="BW724" s="201">
        <v>8</v>
      </c>
      <c r="BY724" s="178">
        <v>6.9000000000000057</v>
      </c>
      <c r="CC724" s="201">
        <v>7.7</v>
      </c>
      <c r="CD724" s="198">
        <v>41822</v>
      </c>
      <c r="CI724" s="174" t="s">
        <v>9377</v>
      </c>
      <c r="CL724" s="174">
        <v>3</v>
      </c>
    </row>
    <row r="725" spans="1:91">
      <c r="A725" s="191" t="s">
        <v>7710</v>
      </c>
      <c r="B725" s="192" t="s">
        <v>269</v>
      </c>
      <c r="C725" s="192" t="s">
        <v>8997</v>
      </c>
      <c r="D725" s="192" t="s">
        <v>8534</v>
      </c>
      <c r="E725" s="193">
        <v>274</v>
      </c>
      <c r="F725" s="193">
        <v>4</v>
      </c>
      <c r="K725" s="176">
        <v>6</v>
      </c>
      <c r="M725" s="197">
        <v>3.2</v>
      </c>
      <c r="N725" s="198">
        <v>41822</v>
      </c>
      <c r="S725" s="176">
        <f>(AE725*BS725)/100</f>
        <v>10.503736263736265</v>
      </c>
      <c r="T725" s="198"/>
      <c r="U725" s="176">
        <v>16.2</v>
      </c>
      <c r="Y725" s="200">
        <f>(AE725*BU725)/100</f>
        <v>3.2396581196581202</v>
      </c>
      <c r="Z725" s="198"/>
      <c r="AA725" s="200"/>
      <c r="AB725" s="198"/>
      <c r="AC725" s="378">
        <f t="shared" si="11"/>
        <v>18.311111111111114</v>
      </c>
      <c r="AE725" s="176">
        <f>(M725/U725)*((100-CC725)/(100-9))*100</f>
        <v>20.122100122100122</v>
      </c>
      <c r="AF725" s="198">
        <v>41822</v>
      </c>
      <c r="AG725" s="176">
        <v>4</v>
      </c>
      <c r="AH725" s="196">
        <v>41927</v>
      </c>
      <c r="AI725" s="176">
        <v>120</v>
      </c>
      <c r="AM725" s="176">
        <v>83</v>
      </c>
      <c r="BG725" s="201">
        <v>0</v>
      </c>
      <c r="BI725" s="201">
        <v>4.9000000000000004</v>
      </c>
      <c r="BK725" s="201">
        <v>1.6</v>
      </c>
      <c r="BM725" s="201">
        <v>61.3</v>
      </c>
      <c r="BO725" s="201">
        <v>20</v>
      </c>
      <c r="BQ725" s="201">
        <v>9.4</v>
      </c>
      <c r="BS725" s="201">
        <v>52.2</v>
      </c>
      <c r="BU725" s="201">
        <v>16.100000000000001</v>
      </c>
      <c r="BW725" s="201">
        <v>17.3</v>
      </c>
      <c r="BY725" s="178">
        <v>6.7999999999999972</v>
      </c>
      <c r="CC725" s="201">
        <v>7.3</v>
      </c>
      <c r="CD725" s="198">
        <v>41822</v>
      </c>
      <c r="CI725" s="174" t="s">
        <v>9387</v>
      </c>
      <c r="CL725" s="174">
        <v>3</v>
      </c>
    </row>
    <row r="726" spans="1:91">
      <c r="A726" s="191" t="s">
        <v>7752</v>
      </c>
      <c r="B726" s="192" t="s">
        <v>269</v>
      </c>
      <c r="C726" s="192" t="s">
        <v>8997</v>
      </c>
      <c r="D726" s="192" t="s">
        <v>8702</v>
      </c>
      <c r="E726" s="193">
        <v>274</v>
      </c>
      <c r="F726" s="193">
        <v>5</v>
      </c>
      <c r="K726" s="176">
        <v>9</v>
      </c>
      <c r="M726" s="197">
        <v>0</v>
      </c>
      <c r="N726" s="198">
        <v>41822</v>
      </c>
      <c r="S726" s="176">
        <f>(AE726*BS726)/100</f>
        <v>0</v>
      </c>
      <c r="T726" s="198"/>
      <c r="U726" s="176">
        <v>16.2</v>
      </c>
      <c r="Y726" s="200">
        <f>(AE726*BU726)/100</f>
        <v>0</v>
      </c>
      <c r="Z726" s="198"/>
      <c r="AA726" s="200"/>
      <c r="AB726" s="198"/>
      <c r="AC726" s="378">
        <f t="shared" si="11"/>
        <v>0</v>
      </c>
      <c r="AE726" s="176">
        <f>(M726/U726)*((100-CC726)/(100-9))*100</f>
        <v>0</v>
      </c>
      <c r="AF726" s="198">
        <v>41822</v>
      </c>
      <c r="AG726" s="176">
        <v>4.9000000000000004</v>
      </c>
      <c r="AH726" s="196">
        <v>41927</v>
      </c>
      <c r="AI726" s="176">
        <v>90</v>
      </c>
      <c r="AM726" s="176">
        <v>78</v>
      </c>
      <c r="BG726" s="201">
        <v>39.799999999999997</v>
      </c>
      <c r="BI726" s="201">
        <v>4.3</v>
      </c>
      <c r="BK726" s="201">
        <v>1</v>
      </c>
      <c r="BM726" s="201">
        <v>33.299999999999997</v>
      </c>
      <c r="BO726" s="201">
        <v>16.5</v>
      </c>
      <c r="BQ726" s="201">
        <v>9</v>
      </c>
      <c r="BS726" s="201">
        <v>50.8</v>
      </c>
      <c r="BU726" s="201">
        <v>17.7</v>
      </c>
      <c r="BW726" s="201">
        <v>68.7</v>
      </c>
      <c r="BY726" s="178">
        <v>5.9000000000000057</v>
      </c>
      <c r="CC726" s="201">
        <v>5.4</v>
      </c>
      <c r="CD726" s="198">
        <v>41822</v>
      </c>
      <c r="CI726" s="174" t="s">
        <v>9349</v>
      </c>
      <c r="CL726" s="174">
        <v>7</v>
      </c>
    </row>
    <row r="727" spans="1:91">
      <c r="A727" s="191" t="s">
        <v>7772</v>
      </c>
      <c r="B727" s="192" t="s">
        <v>269</v>
      </c>
      <c r="C727" s="192" t="s">
        <v>8997</v>
      </c>
      <c r="D727" s="192" t="s">
        <v>8782</v>
      </c>
      <c r="E727" s="193">
        <v>274</v>
      </c>
      <c r="F727" s="193">
        <v>6</v>
      </c>
      <c r="K727" s="176">
        <v>7</v>
      </c>
      <c r="M727" s="197">
        <v>3.75</v>
      </c>
      <c r="N727" s="198">
        <v>41822</v>
      </c>
      <c r="S727" s="176">
        <f>(AE727*BS727)/100</f>
        <v>12.707264957264961</v>
      </c>
      <c r="T727" s="198"/>
      <c r="U727" s="176">
        <v>16.2</v>
      </c>
      <c r="Y727" s="200">
        <f>(AE727*BU727)/100</f>
        <v>3.8695054945054954</v>
      </c>
      <c r="Z727" s="198"/>
      <c r="AA727" s="200"/>
      <c r="AB727" s="198"/>
      <c r="AC727" s="378">
        <f t="shared" si="11"/>
        <v>21.736111111111114</v>
      </c>
      <c r="AE727" s="176">
        <f>(M727/U727)*((100-CC727)/(100-9))*100</f>
        <v>23.885836385836392</v>
      </c>
      <c r="AF727" s="198">
        <v>41822</v>
      </c>
      <c r="AG727" s="176">
        <v>5</v>
      </c>
      <c r="AH727" s="196">
        <v>41927</v>
      </c>
      <c r="AI727" s="176">
        <v>130</v>
      </c>
      <c r="AM727" s="176">
        <v>78</v>
      </c>
      <c r="BG727" s="201">
        <v>0.4</v>
      </c>
      <c r="BI727" s="201">
        <v>4.5999999999999996</v>
      </c>
      <c r="BK727" s="201">
        <v>1.5</v>
      </c>
      <c r="BM727" s="201">
        <v>62.6</v>
      </c>
      <c r="BO727" s="201">
        <v>19.7</v>
      </c>
      <c r="BQ727" s="201">
        <v>10.3</v>
      </c>
      <c r="BS727" s="201">
        <v>53.2</v>
      </c>
      <c r="BU727" s="201">
        <v>16.2</v>
      </c>
      <c r="BW727" s="201">
        <v>11.5</v>
      </c>
      <c r="BY727" s="178">
        <v>6.9000000000000057</v>
      </c>
      <c r="CC727" s="201">
        <v>6.1</v>
      </c>
      <c r="CD727" s="198">
        <v>41822</v>
      </c>
      <c r="CI727" s="174" t="s">
        <v>9381</v>
      </c>
      <c r="CL727" s="174">
        <v>2</v>
      </c>
    </row>
    <row r="728" spans="1:91">
      <c r="A728" s="191" t="s">
        <v>7787</v>
      </c>
      <c r="B728" s="192" t="s">
        <v>271</v>
      </c>
      <c r="C728" s="192" t="s">
        <v>8999</v>
      </c>
      <c r="D728" s="192" t="s">
        <v>8844</v>
      </c>
      <c r="E728" s="193">
        <v>274</v>
      </c>
      <c r="F728" s="193">
        <v>7</v>
      </c>
      <c r="K728" s="176">
        <v>7</v>
      </c>
      <c r="M728" s="197">
        <v>7.6</v>
      </c>
      <c r="N728" s="198">
        <v>41822</v>
      </c>
      <c r="S728" s="176">
        <f>(AE728*BS728)/100</f>
        <v>24.281798941798947</v>
      </c>
      <c r="T728" s="198"/>
      <c r="U728" s="176">
        <v>16.2</v>
      </c>
      <c r="Y728" s="200">
        <f>(AE728*BU728)/100</f>
        <v>8.5249708316374999</v>
      </c>
      <c r="Z728" s="198"/>
      <c r="AA728" s="200"/>
      <c r="AB728" s="198"/>
      <c r="AC728" s="378">
        <f t="shared" si="11"/>
        <v>43.582716049382718</v>
      </c>
      <c r="AE728" s="176">
        <f>(M728/U728)*((100-CC728)/(100-9))*100</f>
        <v>47.893094559761231</v>
      </c>
      <c r="AF728" s="198">
        <v>41822</v>
      </c>
      <c r="AG728" s="176">
        <v>5.2</v>
      </c>
      <c r="AH728" s="196">
        <v>41927</v>
      </c>
      <c r="AI728" s="176">
        <v>165</v>
      </c>
      <c r="AM728" s="176">
        <v>79</v>
      </c>
      <c r="BG728" s="201">
        <v>0</v>
      </c>
      <c r="BI728" s="201">
        <v>4.2</v>
      </c>
      <c r="BK728" s="201">
        <v>1.6</v>
      </c>
      <c r="BM728" s="201">
        <v>62.5</v>
      </c>
      <c r="BO728" s="201">
        <v>17.8</v>
      </c>
      <c r="BQ728" s="201">
        <v>9.8000000000000007</v>
      </c>
      <c r="BS728" s="201">
        <v>50.7</v>
      </c>
      <c r="BU728" s="201">
        <v>17.8</v>
      </c>
      <c r="BW728" s="201">
        <v>4.5999999999999996</v>
      </c>
      <c r="BY728" s="178">
        <v>6.7999999999999972</v>
      </c>
      <c r="CC728" s="201">
        <v>7.1</v>
      </c>
      <c r="CD728" s="198">
        <v>41822</v>
      </c>
      <c r="CI728" s="174" t="s">
        <v>9347</v>
      </c>
      <c r="CL728" s="174">
        <v>2</v>
      </c>
    </row>
    <row r="729" spans="1:91">
      <c r="A729" s="191" t="s">
        <v>7683</v>
      </c>
      <c r="B729" s="192" t="s">
        <v>271</v>
      </c>
      <c r="C729" s="192" t="s">
        <v>8999</v>
      </c>
      <c r="D729" s="192" t="s">
        <v>8428</v>
      </c>
      <c r="E729" s="193">
        <v>274</v>
      </c>
      <c r="F729" s="193">
        <v>8</v>
      </c>
      <c r="K729" s="176">
        <v>7</v>
      </c>
      <c r="M729" s="197">
        <v>5.6</v>
      </c>
      <c r="N729" s="198">
        <v>41822</v>
      </c>
      <c r="S729" s="176">
        <f>(AE729*BS729)/100</f>
        <v>17.315555555555555</v>
      </c>
      <c r="T729" s="198"/>
      <c r="U729" s="176">
        <v>16.2</v>
      </c>
      <c r="Y729" s="200">
        <f>(AE729*BU729)/100</f>
        <v>6.5066666666666659</v>
      </c>
      <c r="Z729" s="198"/>
      <c r="AA729" s="200"/>
      <c r="AB729" s="198"/>
      <c r="AC729" s="378">
        <f t="shared" si="11"/>
        <v>32.355555555555554</v>
      </c>
      <c r="AE729" s="176">
        <f>(M729/U729)*((100-CC729)/(100-9))*100</f>
        <v>35.55555555555555</v>
      </c>
      <c r="AF729" s="198">
        <v>41822</v>
      </c>
      <c r="AG729" s="176">
        <v>5.2</v>
      </c>
      <c r="AH729" s="196">
        <v>41927</v>
      </c>
      <c r="AI729" s="176">
        <v>150</v>
      </c>
      <c r="AM729" s="176">
        <v>85</v>
      </c>
      <c r="BG729" s="201">
        <v>0</v>
      </c>
      <c r="BI729" s="201">
        <v>4.7</v>
      </c>
      <c r="BK729" s="201">
        <v>1.7</v>
      </c>
      <c r="BM729" s="201">
        <v>64.400000000000006</v>
      </c>
      <c r="BO729" s="201">
        <v>20.6</v>
      </c>
      <c r="BQ729" s="201">
        <v>8.1</v>
      </c>
      <c r="BS729" s="201">
        <v>48.7</v>
      </c>
      <c r="BU729" s="201">
        <v>18.3</v>
      </c>
      <c r="BW729" s="201">
        <v>12.5</v>
      </c>
      <c r="BY729" s="178">
        <v>6.5</v>
      </c>
      <c r="CC729" s="201">
        <v>6.4</v>
      </c>
      <c r="CD729" s="198">
        <v>41822</v>
      </c>
      <c r="CI729" s="174" t="s">
        <v>9360</v>
      </c>
      <c r="CL729" s="174">
        <v>1</v>
      </c>
    </row>
    <row r="730" spans="1:91">
      <c r="A730" s="191" t="s">
        <v>7766</v>
      </c>
      <c r="B730" s="192" t="s">
        <v>271</v>
      </c>
      <c r="C730" s="192" t="s">
        <v>8999</v>
      </c>
      <c r="D730" s="192" t="s">
        <v>8760</v>
      </c>
      <c r="E730" s="193">
        <v>274</v>
      </c>
      <c r="F730" s="193">
        <v>9</v>
      </c>
      <c r="K730" s="176">
        <v>6</v>
      </c>
      <c r="M730" s="197">
        <v>6.1</v>
      </c>
      <c r="N730" s="198">
        <v>41822</v>
      </c>
      <c r="S730" s="176">
        <f>(AE730*BS730)/100</f>
        <v>19.251206077872745</v>
      </c>
      <c r="T730" s="198"/>
      <c r="U730" s="176">
        <v>16.2</v>
      </c>
      <c r="Y730" s="200">
        <f>(AE730*BU730)/100</f>
        <v>6.9863247863247864</v>
      </c>
      <c r="Z730" s="198"/>
      <c r="AA730" s="200"/>
      <c r="AB730" s="198"/>
      <c r="AC730" s="378">
        <f t="shared" si="11"/>
        <v>35.319753086419752</v>
      </c>
      <c r="AE730" s="176">
        <f>(M730/U730)*((100-CC730)/(100-9))*100</f>
        <v>38.812915479582145</v>
      </c>
      <c r="AF730" s="198">
        <v>41822</v>
      </c>
      <c r="AG730" s="176">
        <v>4.8</v>
      </c>
      <c r="AH730" s="196">
        <v>41927</v>
      </c>
      <c r="AI730" s="176">
        <v>165</v>
      </c>
      <c r="AM730" s="176">
        <v>87</v>
      </c>
      <c r="BG730" s="201">
        <v>0</v>
      </c>
      <c r="BI730" s="201">
        <v>3.9</v>
      </c>
      <c r="BK730" s="201">
        <v>1.8</v>
      </c>
      <c r="BM730" s="201">
        <v>68.2</v>
      </c>
      <c r="BO730" s="201">
        <v>16.8</v>
      </c>
      <c r="BQ730" s="201">
        <v>6.3</v>
      </c>
      <c r="BS730" s="201">
        <v>49.6</v>
      </c>
      <c r="BU730" s="201">
        <v>18</v>
      </c>
      <c r="BW730" s="201">
        <v>12.5</v>
      </c>
      <c r="BY730" s="178">
        <v>6.9000000000000057</v>
      </c>
      <c r="CC730" s="201">
        <v>6.2</v>
      </c>
      <c r="CD730" s="198">
        <v>41822</v>
      </c>
      <c r="CI730" s="174" t="s">
        <v>9358</v>
      </c>
      <c r="CL730" s="174">
        <v>1</v>
      </c>
    </row>
    <row r="731" spans="1:91">
      <c r="A731" s="191" t="s">
        <v>7711</v>
      </c>
      <c r="B731" s="192" t="s">
        <v>271</v>
      </c>
      <c r="C731" s="192" t="s">
        <v>8999</v>
      </c>
      <c r="D731" s="192" t="s">
        <v>8540</v>
      </c>
      <c r="E731" s="193">
        <v>274</v>
      </c>
      <c r="F731" s="193">
        <v>10</v>
      </c>
      <c r="K731" s="176">
        <v>8</v>
      </c>
      <c r="M731" s="197">
        <v>4.5</v>
      </c>
      <c r="N731" s="198">
        <v>41822</v>
      </c>
      <c r="S731" s="176">
        <f>(AE731*BS731)/100</f>
        <v>14.088522588522592</v>
      </c>
      <c r="T731" s="198"/>
      <c r="U731" s="176">
        <v>16.2</v>
      </c>
      <c r="Y731" s="200">
        <f>(AE731*BU731)/100</f>
        <v>5.4517704517704519</v>
      </c>
      <c r="Z731" s="198"/>
      <c r="AA731" s="200"/>
      <c r="AB731" s="198"/>
      <c r="AC731" s="378">
        <f t="shared" si="11"/>
        <v>26.111111111111111</v>
      </c>
      <c r="AE731" s="176">
        <f>(M731/U731)*((100-CC731)/(100-9))*100</f>
        <v>28.693528693528698</v>
      </c>
      <c r="AF731" s="198">
        <v>41822</v>
      </c>
      <c r="AG731" s="176">
        <v>4.7</v>
      </c>
      <c r="AH731" s="196">
        <v>41927</v>
      </c>
      <c r="AI731" s="176">
        <v>125</v>
      </c>
      <c r="AM731" s="176">
        <v>84</v>
      </c>
      <c r="BG731" s="201">
        <v>0</v>
      </c>
      <c r="BI731" s="201">
        <v>4.5</v>
      </c>
      <c r="BK731" s="201">
        <v>1.6</v>
      </c>
      <c r="BM731" s="201">
        <v>65.7</v>
      </c>
      <c r="BO731" s="201">
        <v>22</v>
      </c>
      <c r="BQ731" s="201">
        <v>8.4</v>
      </c>
      <c r="BS731" s="201">
        <v>49.1</v>
      </c>
      <c r="BU731" s="201">
        <v>19</v>
      </c>
      <c r="BW731" s="201">
        <v>10.5</v>
      </c>
      <c r="BY731" s="178">
        <v>5.9000000000000057</v>
      </c>
      <c r="CC731" s="201">
        <v>6</v>
      </c>
      <c r="CD731" s="198">
        <v>41822</v>
      </c>
      <c r="CI731" s="174" t="s">
        <v>9350</v>
      </c>
      <c r="CL731" s="174">
        <v>6</v>
      </c>
    </row>
    <row r="732" spans="1:91">
      <c r="A732" s="191" t="s">
        <v>7623</v>
      </c>
      <c r="B732" s="192" t="s">
        <v>271</v>
      </c>
      <c r="C732" s="192" t="s">
        <v>8999</v>
      </c>
      <c r="D732" s="192" t="s">
        <v>8188</v>
      </c>
      <c r="E732" s="193">
        <v>274</v>
      </c>
      <c r="F732" s="193">
        <v>11</v>
      </c>
      <c r="I732" s="184"/>
      <c r="K732" s="176">
        <v>7</v>
      </c>
      <c r="M732" s="197">
        <v>0.75</v>
      </c>
      <c r="N732" s="198">
        <v>41822</v>
      </c>
      <c r="O732" s="179"/>
      <c r="S732" s="176">
        <f>(AE732*BS732)/100</f>
        <v>2.2046194546194555</v>
      </c>
      <c r="T732" s="198"/>
      <c r="U732" s="176">
        <v>16.2</v>
      </c>
      <c r="Y732" s="200">
        <f>(AE732*BU732)/100</f>
        <v>0.98514448514448549</v>
      </c>
      <c r="Z732" s="198"/>
      <c r="AA732" s="200"/>
      <c r="AB732" s="198"/>
      <c r="AC732" s="378">
        <f t="shared" si="11"/>
        <v>4.3518518518518521</v>
      </c>
      <c r="AE732" s="176">
        <f>(M732/U732)*((100-CC732)/(100-9))*100</f>
        <v>4.7822547822547836</v>
      </c>
      <c r="AF732" s="198">
        <v>41822</v>
      </c>
      <c r="AG732" s="176">
        <v>4.0999999999999996</v>
      </c>
      <c r="AH732" s="196">
        <v>41927</v>
      </c>
      <c r="AI732" s="176">
        <v>90</v>
      </c>
      <c r="AM732" s="176">
        <v>78</v>
      </c>
      <c r="BG732" s="201">
        <v>30.9</v>
      </c>
      <c r="BI732" s="201">
        <v>4.3</v>
      </c>
      <c r="BK732" s="201">
        <v>1.2</v>
      </c>
      <c r="BM732" s="201">
        <v>41.6</v>
      </c>
      <c r="BO732" s="201">
        <v>18.7</v>
      </c>
      <c r="BQ732" s="201">
        <v>9.1999999999999993</v>
      </c>
      <c r="BS732" s="201">
        <v>46.1</v>
      </c>
      <c r="BU732" s="201">
        <v>20.6</v>
      </c>
      <c r="BW732" s="201">
        <v>48.7</v>
      </c>
      <c r="BY732" s="178">
        <v>6.0999999999999943</v>
      </c>
      <c r="CC732" s="201">
        <v>6</v>
      </c>
      <c r="CD732" s="198">
        <v>41822</v>
      </c>
      <c r="CI732" s="174" t="s">
        <v>9349</v>
      </c>
      <c r="CL732" s="174">
        <v>8</v>
      </c>
    </row>
    <row r="733" spans="1:91">
      <c r="A733" s="191" t="s">
        <v>7765</v>
      </c>
      <c r="B733" s="192" t="s">
        <v>271</v>
      </c>
      <c r="C733" s="192" t="s">
        <v>8999</v>
      </c>
      <c r="D733" s="192" t="s">
        <v>8756</v>
      </c>
      <c r="E733" s="193">
        <v>274</v>
      </c>
      <c r="F733" s="193">
        <v>12</v>
      </c>
      <c r="K733" s="176">
        <v>7</v>
      </c>
      <c r="M733" s="197">
        <v>3.9</v>
      </c>
      <c r="N733" s="198">
        <v>41822</v>
      </c>
      <c r="S733" s="176">
        <f>(AE733*BS733)/100</f>
        <v>12.460317460317462</v>
      </c>
      <c r="T733" s="198"/>
      <c r="U733" s="176">
        <v>16.2</v>
      </c>
      <c r="Y733" s="200">
        <f>(AE733*BU733)/100</f>
        <v>4.4607936507936508</v>
      </c>
      <c r="Z733" s="198"/>
      <c r="AA733" s="200"/>
      <c r="AB733" s="198"/>
      <c r="AC733" s="378">
        <f t="shared" si="11"/>
        <v>22.677777777777781</v>
      </c>
      <c r="AE733" s="176">
        <f>(M733/U733)*((100-CC733)/(100-9))*100</f>
        <v>24.920634920634924</v>
      </c>
      <c r="AF733" s="198">
        <v>41822</v>
      </c>
      <c r="AG733" s="176">
        <v>5</v>
      </c>
      <c r="AH733" s="196">
        <v>41927</v>
      </c>
      <c r="AI733" s="176">
        <v>145</v>
      </c>
      <c r="AM733" s="176">
        <v>86</v>
      </c>
      <c r="BG733" s="201">
        <v>1.5</v>
      </c>
      <c r="BI733" s="201">
        <v>4.8</v>
      </c>
      <c r="BK733" s="201">
        <v>1.6</v>
      </c>
      <c r="BM733" s="201">
        <v>65.900000000000006</v>
      </c>
      <c r="BO733" s="201">
        <v>20.399999999999999</v>
      </c>
      <c r="BQ733" s="201">
        <v>8.4</v>
      </c>
      <c r="BS733" s="201">
        <v>50</v>
      </c>
      <c r="BU733" s="201">
        <v>17.899999999999999</v>
      </c>
      <c r="BW733" s="201">
        <v>12.6</v>
      </c>
      <c r="BY733" s="178">
        <v>6.2000000000000028</v>
      </c>
      <c r="CC733" s="201">
        <v>5.8</v>
      </c>
      <c r="CD733" s="198">
        <v>41822</v>
      </c>
      <c r="CI733" s="174" t="s">
        <v>9376</v>
      </c>
      <c r="CL733" s="174">
        <v>1</v>
      </c>
    </row>
    <row r="734" spans="1:91">
      <c r="A734" s="191" t="s">
        <v>7799</v>
      </c>
      <c r="B734" s="192" t="s">
        <v>269</v>
      </c>
      <c r="C734" s="192" t="s">
        <v>8997</v>
      </c>
      <c r="D734" s="192" t="s">
        <v>8890</v>
      </c>
      <c r="E734" s="193">
        <v>275</v>
      </c>
      <c r="F734" s="193">
        <v>1</v>
      </c>
      <c r="K734" s="176">
        <v>6</v>
      </c>
      <c r="M734" s="197">
        <v>4.05</v>
      </c>
      <c r="N734" s="198">
        <v>41822</v>
      </c>
      <c r="S734" s="176">
        <f>(AE734*BS734)/100</f>
        <v>13.123516483516484</v>
      </c>
      <c r="T734" s="198"/>
      <c r="U734" s="176">
        <v>16.2</v>
      </c>
      <c r="Y734" s="200">
        <f>(AE734*BU734)/100</f>
        <v>4.2036263736263733</v>
      </c>
      <c r="Z734" s="198"/>
      <c r="AA734" s="200"/>
      <c r="AB734" s="198"/>
      <c r="AC734" s="378">
        <f t="shared" si="11"/>
        <v>23.324999999999999</v>
      </c>
      <c r="AE734" s="176">
        <f>(M734/U734)*((100-CC734)/(100-9))*100</f>
        <v>25.631868131868131</v>
      </c>
      <c r="AF734" s="198">
        <v>41822</v>
      </c>
      <c r="AG734" s="176">
        <v>4.3</v>
      </c>
      <c r="AH734" s="196">
        <v>41927</v>
      </c>
      <c r="AI734" s="176">
        <v>135</v>
      </c>
      <c r="AM734" s="176">
        <v>88</v>
      </c>
      <c r="BG734" s="201">
        <v>0</v>
      </c>
      <c r="BI734" s="201">
        <v>4.4000000000000004</v>
      </c>
      <c r="BK734" s="201">
        <v>1.6</v>
      </c>
      <c r="BM734" s="201">
        <v>62.7</v>
      </c>
      <c r="BO734" s="201">
        <v>19.600000000000001</v>
      </c>
      <c r="BQ734" s="201">
        <v>9.1999999999999993</v>
      </c>
      <c r="BS734" s="201">
        <v>51.2</v>
      </c>
      <c r="BU734" s="201">
        <v>16.399999999999999</v>
      </c>
      <c r="BW734" s="201">
        <v>11.2</v>
      </c>
      <c r="BY734" s="178">
        <v>6.7000000000000028</v>
      </c>
      <c r="CC734" s="201">
        <v>6.7</v>
      </c>
      <c r="CD734" s="198">
        <v>41822</v>
      </c>
      <c r="CI734" s="174" t="s">
        <v>9345</v>
      </c>
      <c r="CL734" s="174">
        <v>1</v>
      </c>
    </row>
    <row r="735" spans="1:91">
      <c r="A735" s="191" t="s">
        <v>7695</v>
      </c>
      <c r="B735" s="192" t="s">
        <v>269</v>
      </c>
      <c r="C735" s="192" t="s">
        <v>8997</v>
      </c>
      <c r="D735" s="192" t="s">
        <v>8474</v>
      </c>
      <c r="E735" s="193">
        <v>275</v>
      </c>
      <c r="F735" s="193">
        <v>2</v>
      </c>
      <c r="K735" s="176">
        <v>6</v>
      </c>
      <c r="M735" s="197">
        <v>2.5</v>
      </c>
      <c r="N735" s="198">
        <v>41822</v>
      </c>
      <c r="S735" s="176">
        <f>(AE735*BS735)/100</f>
        <v>7.8941120607787285</v>
      </c>
      <c r="T735" s="198"/>
      <c r="U735" s="176">
        <v>16.2</v>
      </c>
      <c r="Y735" s="200">
        <f>(AE735*BU735)/100</f>
        <v>2.6682098765432101</v>
      </c>
      <c r="Z735" s="198"/>
      <c r="AA735" s="200"/>
      <c r="AB735" s="198"/>
      <c r="AC735" s="378">
        <f t="shared" si="11"/>
        <v>14.367283950617285</v>
      </c>
      <c r="AE735" s="176">
        <f>(M735/U735)*((100-CC735)/(100-9))*100</f>
        <v>15.788224121557457</v>
      </c>
      <c r="AF735" s="198">
        <v>41822</v>
      </c>
      <c r="AG735" s="176">
        <v>5</v>
      </c>
      <c r="AH735" s="196">
        <v>41927</v>
      </c>
      <c r="AI735" s="176">
        <v>115</v>
      </c>
      <c r="AM735" s="176">
        <v>85</v>
      </c>
      <c r="BG735" s="201">
        <v>0</v>
      </c>
      <c r="BI735" s="201">
        <v>4.8</v>
      </c>
      <c r="BK735" s="201">
        <v>1.6</v>
      </c>
      <c r="BM735" s="201">
        <v>61.9</v>
      </c>
      <c r="BO735" s="201">
        <v>20.8</v>
      </c>
      <c r="BQ735" s="201">
        <v>9.3000000000000007</v>
      </c>
      <c r="BS735" s="201">
        <v>50</v>
      </c>
      <c r="BU735" s="201">
        <v>16.899999999999999</v>
      </c>
      <c r="BW735" s="201">
        <v>12.5</v>
      </c>
      <c r="BY735" s="178">
        <v>6.7000000000000028</v>
      </c>
      <c r="CC735" s="201">
        <v>6.9</v>
      </c>
      <c r="CD735" s="198">
        <v>41822</v>
      </c>
      <c r="CI735" s="174" t="s">
        <v>9346</v>
      </c>
      <c r="CL735" s="174" t="s">
        <v>9001</v>
      </c>
    </row>
    <row r="736" spans="1:91">
      <c r="A736" s="191" t="s">
        <v>7715</v>
      </c>
      <c r="B736" s="192" t="s">
        <v>269</v>
      </c>
      <c r="C736" s="192" t="s">
        <v>8997</v>
      </c>
      <c r="D736" s="192" t="s">
        <v>8554</v>
      </c>
      <c r="E736" s="193">
        <v>275</v>
      </c>
      <c r="F736" s="193">
        <v>3</v>
      </c>
      <c r="K736" s="176">
        <v>4</v>
      </c>
      <c r="M736" s="197">
        <v>1.5</v>
      </c>
      <c r="N736" s="198">
        <v>41822</v>
      </c>
      <c r="S736" s="176">
        <f>(AE736*BS736)/100</f>
        <v>4.6042429792429793</v>
      </c>
      <c r="T736" s="198"/>
      <c r="U736" s="176">
        <v>16.2</v>
      </c>
      <c r="Y736" s="200">
        <f>(AE736*BU736)/100</f>
        <v>1.6803113553113553</v>
      </c>
      <c r="Z736" s="198"/>
      <c r="AA736" s="200"/>
      <c r="AB736" s="198"/>
      <c r="AC736" s="378">
        <f t="shared" si="11"/>
        <v>8.6388888888888893</v>
      </c>
      <c r="AE736" s="176">
        <f>(M736/U736)*((100-CC736)/(100-9))*100</f>
        <v>9.4932844932844933</v>
      </c>
      <c r="AF736" s="198">
        <v>41822</v>
      </c>
      <c r="AG736" s="176">
        <v>4.5999999999999996</v>
      </c>
      <c r="AH736" s="196">
        <v>41927</v>
      </c>
      <c r="AI736" s="176">
        <v>120</v>
      </c>
      <c r="AM736" s="176">
        <v>80</v>
      </c>
      <c r="BG736" s="201">
        <v>0</v>
      </c>
      <c r="BI736" s="201">
        <v>4.8</v>
      </c>
      <c r="BK736" s="201">
        <v>1.6</v>
      </c>
      <c r="BM736" s="201">
        <v>60.5</v>
      </c>
      <c r="BO736" s="201">
        <v>21.3</v>
      </c>
      <c r="BQ736" s="201">
        <v>9.9</v>
      </c>
      <c r="BS736" s="201">
        <v>48.5</v>
      </c>
      <c r="BU736" s="201">
        <v>17.7</v>
      </c>
      <c r="BW736" s="201">
        <v>16.2</v>
      </c>
      <c r="BY736" s="178">
        <v>6.7000000000000028</v>
      </c>
      <c r="CC736" s="201">
        <v>6.7</v>
      </c>
      <c r="CD736" s="198">
        <v>41822</v>
      </c>
      <c r="CI736" s="174" t="s">
        <v>9378</v>
      </c>
      <c r="CL736" s="174">
        <v>1</v>
      </c>
    </row>
    <row r="737" spans="1:91">
      <c r="A737" s="191" t="s">
        <v>7636</v>
      </c>
      <c r="B737" s="192" t="s">
        <v>269</v>
      </c>
      <c r="C737" s="192" t="s">
        <v>8997</v>
      </c>
      <c r="D737" s="192" t="s">
        <v>8238</v>
      </c>
      <c r="E737" s="193">
        <v>275</v>
      </c>
      <c r="F737" s="193">
        <v>4</v>
      </c>
      <c r="K737" s="176">
        <v>7</v>
      </c>
      <c r="M737" s="197">
        <v>1.5</v>
      </c>
      <c r="N737" s="198">
        <v>41822</v>
      </c>
      <c r="S737" s="176">
        <f>(AE737*BS737)/100</f>
        <v>4.2871794871794888</v>
      </c>
      <c r="T737" s="198"/>
      <c r="U737" s="176">
        <v>16.2</v>
      </c>
      <c r="Y737" s="200">
        <f>(AE737*BU737)/100</f>
        <v>1.9555555555555559</v>
      </c>
      <c r="Z737" s="198"/>
      <c r="AA737" s="200"/>
      <c r="AB737" s="198"/>
      <c r="AC737" s="378">
        <f t="shared" si="11"/>
        <v>8.5555555555555571</v>
      </c>
      <c r="AE737" s="176">
        <f>(M737/U737)*((100-CC737)/(100-9))*100</f>
        <v>9.4017094017094038</v>
      </c>
      <c r="AF737" s="198">
        <v>41822</v>
      </c>
      <c r="AG737" s="176">
        <v>5</v>
      </c>
      <c r="AH737" s="196">
        <v>41927</v>
      </c>
      <c r="AI737" s="176">
        <v>115</v>
      </c>
      <c r="AM737" s="176">
        <v>86</v>
      </c>
      <c r="BG737" s="201">
        <v>19.5</v>
      </c>
      <c r="BI737" s="201">
        <v>4.5999999999999996</v>
      </c>
      <c r="BK737" s="201">
        <v>1.3</v>
      </c>
      <c r="BM737" s="201">
        <v>54.7</v>
      </c>
      <c r="BO737" s="201">
        <v>17.600000000000001</v>
      </c>
      <c r="BQ737" s="201">
        <v>10.4</v>
      </c>
      <c r="BS737" s="201">
        <v>45.6</v>
      </c>
      <c r="BU737" s="201">
        <v>20.8</v>
      </c>
      <c r="BW737" s="201">
        <v>66.3</v>
      </c>
      <c r="BY737" s="178">
        <v>7.5</v>
      </c>
      <c r="CC737" s="201">
        <v>7.6</v>
      </c>
      <c r="CD737" s="198">
        <v>41822</v>
      </c>
      <c r="CI737" s="174" t="s">
        <v>9389</v>
      </c>
      <c r="CL737" s="174">
        <v>7</v>
      </c>
    </row>
    <row r="738" spans="1:91">
      <c r="A738" s="191" t="s">
        <v>7689</v>
      </c>
      <c r="B738" s="192" t="s">
        <v>269</v>
      </c>
      <c r="C738" s="192" t="s">
        <v>8997</v>
      </c>
      <c r="D738" s="192" t="s">
        <v>8450</v>
      </c>
      <c r="E738" s="193">
        <v>275</v>
      </c>
      <c r="F738" s="193">
        <v>5</v>
      </c>
      <c r="K738" s="176">
        <v>7</v>
      </c>
      <c r="M738" s="197">
        <v>2.5499999999999998</v>
      </c>
      <c r="N738" s="198">
        <v>41822</v>
      </c>
      <c r="S738" s="176">
        <f>(AE738*BS738)/100</f>
        <v>8.3574684574684586</v>
      </c>
      <c r="T738" s="198"/>
      <c r="U738" s="176">
        <v>16.2</v>
      </c>
      <c r="Y738" s="200">
        <f>(AE738*BU738)/100</f>
        <v>2.7804029304029307</v>
      </c>
      <c r="Z738" s="198"/>
      <c r="AA738" s="200"/>
      <c r="AB738" s="198"/>
      <c r="AC738" s="378">
        <f t="shared" si="11"/>
        <v>14.796296296296298</v>
      </c>
      <c r="AE738" s="176">
        <f>(M738/U738)*((100-CC738)/(100-9))*100</f>
        <v>16.259666259666261</v>
      </c>
      <c r="AF738" s="198">
        <v>41822</v>
      </c>
      <c r="AG738" s="176">
        <v>5</v>
      </c>
      <c r="AH738" s="196">
        <v>41927</v>
      </c>
      <c r="AI738" s="176">
        <v>125</v>
      </c>
      <c r="AM738" s="176">
        <v>78</v>
      </c>
      <c r="BG738" s="201">
        <v>2.9</v>
      </c>
      <c r="BI738" s="201">
        <v>4.5999999999999996</v>
      </c>
      <c r="BK738" s="201">
        <v>1.6</v>
      </c>
      <c r="BM738" s="201">
        <v>63.5</v>
      </c>
      <c r="BO738" s="201">
        <v>19.8</v>
      </c>
      <c r="BQ738" s="201">
        <v>9.3000000000000007</v>
      </c>
      <c r="BS738" s="201">
        <v>51.4</v>
      </c>
      <c r="BU738" s="201">
        <v>17.100000000000001</v>
      </c>
      <c r="BW738" s="201">
        <v>9.6</v>
      </c>
      <c r="BY738" s="178">
        <v>6.7000000000000028</v>
      </c>
      <c r="CC738" s="201">
        <v>6</v>
      </c>
      <c r="CD738" s="198">
        <v>41822</v>
      </c>
      <c r="CI738" s="174" t="s">
        <v>9382</v>
      </c>
      <c r="CL738" s="174">
        <v>5</v>
      </c>
    </row>
    <row r="739" spans="1:91">
      <c r="A739" s="191" t="s">
        <v>7632</v>
      </c>
      <c r="B739" s="192" t="s">
        <v>269</v>
      </c>
      <c r="C739" s="192" t="s">
        <v>8997</v>
      </c>
      <c r="D739" s="192" t="s">
        <v>8222</v>
      </c>
      <c r="E739" s="193">
        <v>275</v>
      </c>
      <c r="F739" s="193">
        <v>6</v>
      </c>
      <c r="I739" s="184"/>
      <c r="K739" s="176">
        <v>7</v>
      </c>
      <c r="M739" s="197">
        <v>0.85</v>
      </c>
      <c r="N739" s="198">
        <v>41822</v>
      </c>
      <c r="O739" s="179"/>
      <c r="S739" s="176">
        <f>(AE739*BS739)/100</f>
        <v>2.6637484737484742</v>
      </c>
      <c r="T739" s="198"/>
      <c r="U739" s="176">
        <v>16.2</v>
      </c>
      <c r="Y739" s="200">
        <f>(AE739*BU739)/100</f>
        <v>1.0449257224257227</v>
      </c>
      <c r="Z739" s="198"/>
      <c r="AA739" s="200"/>
      <c r="AB739" s="198"/>
      <c r="AC739" s="378">
        <f t="shared" si="11"/>
        <v>4.9268518518518523</v>
      </c>
      <c r="AE739" s="176">
        <f>(M739/U739)*((100-CC739)/(100-9))*100</f>
        <v>5.414122914122915</v>
      </c>
      <c r="AF739" s="198">
        <v>41822</v>
      </c>
      <c r="AG739" s="176">
        <v>5.3</v>
      </c>
      <c r="AH739" s="196">
        <v>41927</v>
      </c>
      <c r="AI739" s="176">
        <v>80</v>
      </c>
      <c r="AM739" s="176">
        <v>84</v>
      </c>
      <c r="BG739" s="201">
        <v>0.3</v>
      </c>
      <c r="BI739" s="201">
        <v>4.5999999999999996</v>
      </c>
      <c r="BK739" s="201">
        <v>1.5</v>
      </c>
      <c r="BM739" s="201">
        <v>65.099999999999994</v>
      </c>
      <c r="BO739" s="201">
        <v>19.2</v>
      </c>
      <c r="BQ739" s="201">
        <v>9.1999999999999993</v>
      </c>
      <c r="BS739" s="201">
        <v>49.2</v>
      </c>
      <c r="BU739" s="201">
        <v>19.3</v>
      </c>
      <c r="BW739" s="201">
        <v>46.5</v>
      </c>
      <c r="BY739" s="178">
        <v>7</v>
      </c>
      <c r="CC739" s="201">
        <v>6.1</v>
      </c>
      <c r="CD739" s="198">
        <v>41822</v>
      </c>
      <c r="CI739" s="174" t="s">
        <v>9367</v>
      </c>
      <c r="CL739" s="174">
        <v>8</v>
      </c>
    </row>
    <row r="740" spans="1:91">
      <c r="A740" s="191" t="s">
        <v>7719</v>
      </c>
      <c r="B740" s="192" t="s">
        <v>271</v>
      </c>
      <c r="C740" s="192" t="s">
        <v>8999</v>
      </c>
      <c r="D740" s="192" t="s">
        <v>8572</v>
      </c>
      <c r="E740" s="193">
        <v>275</v>
      </c>
      <c r="F740" s="193">
        <v>7</v>
      </c>
      <c r="K740" s="176">
        <v>8</v>
      </c>
      <c r="M740" s="197">
        <v>2</v>
      </c>
      <c r="N740" s="198">
        <v>41822</v>
      </c>
      <c r="S740" s="176">
        <f>(AE740*BS740)/100</f>
        <v>6.1280287613620938</v>
      </c>
      <c r="T740" s="198"/>
      <c r="U740" s="176">
        <v>16.2</v>
      </c>
      <c r="Y740" s="200">
        <f>(AE740*BU740)/100</f>
        <v>2.4051553384886715</v>
      </c>
      <c r="Z740" s="198"/>
      <c r="AA740" s="200"/>
      <c r="AB740" s="198"/>
      <c r="AC740" s="378">
        <f t="shared" si="11"/>
        <v>11.641975308641976</v>
      </c>
      <c r="AE740" s="176">
        <f>(M740/U740)*((100-CC740)/(100-9))*100</f>
        <v>12.793379460046125</v>
      </c>
      <c r="AF740" s="198">
        <v>41822</v>
      </c>
      <c r="AG740" s="176">
        <v>4.7</v>
      </c>
      <c r="AH740" s="196">
        <v>41927</v>
      </c>
      <c r="AI740" s="176">
        <v>60</v>
      </c>
      <c r="AM740" s="176">
        <v>79</v>
      </c>
      <c r="BG740" s="201">
        <v>1.9</v>
      </c>
      <c r="BI740" s="201">
        <v>4.8</v>
      </c>
      <c r="BK740" s="201">
        <v>1.5</v>
      </c>
      <c r="BM740" s="201">
        <v>62.5</v>
      </c>
      <c r="BO740" s="201">
        <v>22</v>
      </c>
      <c r="BQ740" s="201">
        <v>8</v>
      </c>
      <c r="BS740" s="201">
        <v>47.9</v>
      </c>
      <c r="BU740" s="201">
        <v>18.8</v>
      </c>
      <c r="BW740" s="201">
        <v>19.899999999999999</v>
      </c>
      <c r="BY740" s="178">
        <v>6</v>
      </c>
      <c r="CC740" s="201">
        <v>5.7</v>
      </c>
      <c r="CD740" s="198">
        <v>41822</v>
      </c>
      <c r="CI740" s="174" t="s">
        <v>9349</v>
      </c>
      <c r="CL740" s="174">
        <v>7</v>
      </c>
    </row>
    <row r="741" spans="1:91">
      <c r="A741" s="191" t="s">
        <v>7649</v>
      </c>
      <c r="B741" s="192" t="s">
        <v>271</v>
      </c>
      <c r="C741" s="192" t="s">
        <v>8999</v>
      </c>
      <c r="D741" s="192" t="s">
        <v>8292</v>
      </c>
      <c r="E741" s="193">
        <v>275</v>
      </c>
      <c r="F741" s="193">
        <v>8</v>
      </c>
      <c r="K741" s="176">
        <v>7</v>
      </c>
      <c r="M741" s="197">
        <v>3</v>
      </c>
      <c r="N741" s="198">
        <v>41822</v>
      </c>
      <c r="S741" s="176">
        <f>(AE741*BS741)/100</f>
        <v>8.8560032560032589</v>
      </c>
      <c r="T741" s="198"/>
      <c r="U741" s="176">
        <v>16.2</v>
      </c>
      <c r="Y741" s="200">
        <f>(AE741*BU741)/100</f>
        <v>3.6884004884004891</v>
      </c>
      <c r="Z741" s="198"/>
      <c r="AA741" s="200"/>
      <c r="AB741" s="198"/>
      <c r="AC741" s="378">
        <f t="shared" si="11"/>
        <v>17.481481481481485</v>
      </c>
      <c r="AE741" s="176">
        <f>(M741/U741)*((100-CC741)/(100-9))*100</f>
        <v>19.210419210419214</v>
      </c>
      <c r="AF741" s="198">
        <v>41822</v>
      </c>
      <c r="AG741" s="176">
        <v>5.0999999999999996</v>
      </c>
      <c r="AH741" s="196">
        <v>41927</v>
      </c>
      <c r="AI741" s="176">
        <v>100</v>
      </c>
      <c r="AM741" s="176">
        <v>85</v>
      </c>
      <c r="BG741" s="201">
        <v>3.7</v>
      </c>
      <c r="BI741" s="201">
        <v>4.7</v>
      </c>
      <c r="BK741" s="201">
        <v>1.3</v>
      </c>
      <c r="BM741" s="201">
        <v>60.9</v>
      </c>
      <c r="BO741" s="201">
        <v>20.5</v>
      </c>
      <c r="BQ741" s="201">
        <v>8.9</v>
      </c>
      <c r="BS741" s="201">
        <v>46.1</v>
      </c>
      <c r="BU741" s="201">
        <v>19.2</v>
      </c>
      <c r="BW741" s="201">
        <v>71.8</v>
      </c>
      <c r="BY741" s="178">
        <v>6.5999999999999943</v>
      </c>
      <c r="CC741" s="201">
        <v>5.6</v>
      </c>
      <c r="CD741" s="198">
        <v>41822</v>
      </c>
      <c r="CI741" s="174" t="s">
        <v>9349</v>
      </c>
      <c r="CL741" s="174">
        <v>7</v>
      </c>
    </row>
    <row r="742" spans="1:91" s="181" customFormat="1">
      <c r="A742" s="191" t="s">
        <v>7791</v>
      </c>
      <c r="B742" s="192" t="s">
        <v>271</v>
      </c>
      <c r="C742" s="192" t="s">
        <v>8999</v>
      </c>
      <c r="D742" s="192" t="s">
        <v>8860</v>
      </c>
      <c r="E742" s="193">
        <v>275</v>
      </c>
      <c r="F742" s="193">
        <v>9</v>
      </c>
      <c r="G742" s="193"/>
      <c r="H742" s="193"/>
      <c r="I742" s="195"/>
      <c r="J742" s="195"/>
      <c r="K742" s="176">
        <v>7</v>
      </c>
      <c r="L742" s="196"/>
      <c r="M742" s="197">
        <v>6.95</v>
      </c>
      <c r="N742" s="198">
        <v>41822</v>
      </c>
      <c r="O742" s="180"/>
      <c r="P742" s="199"/>
      <c r="Q742" s="180"/>
      <c r="R742" s="199"/>
      <c r="S742" s="176">
        <f>(AE742*BS742)/100</f>
        <v>21.427186609686604</v>
      </c>
      <c r="T742" s="198"/>
      <c r="U742" s="176">
        <v>16.2</v>
      </c>
      <c r="V742" s="199"/>
      <c r="W742" s="180"/>
      <c r="X742" s="199"/>
      <c r="Y742" s="200">
        <f>(AE742*BU742)/100</f>
        <v>8.6507275132275137</v>
      </c>
      <c r="Z742" s="198"/>
      <c r="AA742" s="200"/>
      <c r="AB742" s="198"/>
      <c r="AC742" s="378">
        <f t="shared" si="11"/>
        <v>40.370061728395058</v>
      </c>
      <c r="AD742" s="196"/>
      <c r="AE742" s="176">
        <f>(M742/U742)*((100-CC742)/(100-9))*100</f>
        <v>44.362705196038526</v>
      </c>
      <c r="AF742" s="198">
        <v>41822</v>
      </c>
      <c r="AG742" s="176">
        <v>5.5</v>
      </c>
      <c r="AH742" s="196">
        <v>41927</v>
      </c>
      <c r="AI742" s="176">
        <v>155</v>
      </c>
      <c r="AJ742" s="196"/>
      <c r="AK742" s="180"/>
      <c r="AL742" s="199"/>
      <c r="AM742" s="176">
        <v>78</v>
      </c>
      <c r="AN742" s="199"/>
      <c r="AO742" s="180"/>
      <c r="AP742" s="180"/>
      <c r="AQ742" s="180"/>
      <c r="AR742" s="180"/>
      <c r="AS742" s="180"/>
      <c r="AT742" s="180"/>
      <c r="AU742" s="180"/>
      <c r="AV742" s="180"/>
      <c r="AW742" s="180"/>
      <c r="AX742" s="180"/>
      <c r="AY742" s="180"/>
      <c r="AZ742" s="180"/>
      <c r="BA742" s="180"/>
      <c r="BB742" s="180"/>
      <c r="BC742" s="180"/>
      <c r="BD742" s="180"/>
      <c r="BE742" s="179"/>
      <c r="BF742" s="179"/>
      <c r="BG742" s="201">
        <v>0</v>
      </c>
      <c r="BH742" s="178"/>
      <c r="BI742" s="201">
        <v>4.0999999999999996</v>
      </c>
      <c r="BJ742" s="178"/>
      <c r="BK742" s="201">
        <v>1.5</v>
      </c>
      <c r="BL742" s="178"/>
      <c r="BM742" s="201">
        <v>63.6</v>
      </c>
      <c r="BN742" s="178"/>
      <c r="BO742" s="201">
        <v>18.7</v>
      </c>
      <c r="BP742" s="178"/>
      <c r="BQ742" s="201">
        <v>10</v>
      </c>
      <c r="BR742" s="178"/>
      <c r="BS742" s="201">
        <v>48.3</v>
      </c>
      <c r="BT742" s="178"/>
      <c r="BU742" s="201">
        <v>19.5</v>
      </c>
      <c r="BV742" s="178"/>
      <c r="BW742" s="201">
        <v>14.6</v>
      </c>
      <c r="BX742" s="178"/>
      <c r="BY742" s="178">
        <v>6.5</v>
      </c>
      <c r="BZ742" s="178"/>
      <c r="CA742" s="179"/>
      <c r="CB742" s="179"/>
      <c r="CC742" s="201">
        <v>5.9</v>
      </c>
      <c r="CD742" s="198">
        <v>41822</v>
      </c>
      <c r="CE742" s="178"/>
      <c r="CF742" s="178"/>
      <c r="CG742" s="179"/>
      <c r="CH742" s="179"/>
      <c r="CI742" s="174" t="s">
        <v>9356</v>
      </c>
      <c r="CJ742" s="178"/>
      <c r="CK742" s="178"/>
      <c r="CL742" s="174">
        <v>1</v>
      </c>
      <c r="CM742" s="174"/>
    </row>
    <row r="743" spans="1:91" s="181" customFormat="1">
      <c r="A743" s="191" t="s">
        <v>7644</v>
      </c>
      <c r="B743" s="192" t="s">
        <v>271</v>
      </c>
      <c r="C743" s="192" t="s">
        <v>8999</v>
      </c>
      <c r="D743" s="192" t="s">
        <v>8272</v>
      </c>
      <c r="E743" s="193">
        <v>275</v>
      </c>
      <c r="F743" s="193">
        <v>10</v>
      </c>
      <c r="G743" s="193"/>
      <c r="H743" s="193"/>
      <c r="I743" s="195"/>
      <c r="J743" s="195"/>
      <c r="K743" s="176">
        <v>6</v>
      </c>
      <c r="L743" s="196"/>
      <c r="M743" s="197">
        <v>3.7</v>
      </c>
      <c r="N743" s="198">
        <v>41822</v>
      </c>
      <c r="O743" s="180"/>
      <c r="P743" s="199"/>
      <c r="Q743" s="180"/>
      <c r="R743" s="199"/>
      <c r="S743" s="176">
        <f>(AE743*BS743)/100</f>
        <v>11.28974358974359</v>
      </c>
      <c r="T743" s="198"/>
      <c r="U743" s="176">
        <v>16.2</v>
      </c>
      <c r="V743" s="199"/>
      <c r="W743" s="180"/>
      <c r="X743" s="199"/>
      <c r="Y743" s="200">
        <f>(AE743*BU743)/100</f>
        <v>4.7910256410256418</v>
      </c>
      <c r="Z743" s="198"/>
      <c r="AA743" s="200"/>
      <c r="AB743" s="198"/>
      <c r="AC743" s="378">
        <f t="shared" si="11"/>
        <v>21.583333333333336</v>
      </c>
      <c r="AD743" s="196"/>
      <c r="AE743" s="176">
        <f>(M743/U743)*((100-CC743)/(100-9))*100</f>
        <v>23.717948717948723</v>
      </c>
      <c r="AF743" s="198">
        <v>41822</v>
      </c>
      <c r="AG743" s="176">
        <v>5.8</v>
      </c>
      <c r="AH743" s="196">
        <v>41927</v>
      </c>
      <c r="AI743" s="176">
        <v>130</v>
      </c>
      <c r="AJ743" s="196"/>
      <c r="AK743" s="180"/>
      <c r="AL743" s="199"/>
      <c r="AM743" s="176">
        <v>85</v>
      </c>
      <c r="AN743" s="199"/>
      <c r="AO743" s="180"/>
      <c r="AP743" s="180"/>
      <c r="AQ743" s="180"/>
      <c r="AR743" s="180"/>
      <c r="AS743" s="180"/>
      <c r="AT743" s="180"/>
      <c r="AU743" s="180"/>
      <c r="AV743" s="180"/>
      <c r="AW743" s="180"/>
      <c r="AX743" s="180"/>
      <c r="AY743" s="180"/>
      <c r="AZ743" s="180"/>
      <c r="BA743" s="180"/>
      <c r="BB743" s="180"/>
      <c r="BC743" s="180"/>
      <c r="BD743" s="180"/>
      <c r="BE743" s="179"/>
      <c r="BF743" s="179"/>
      <c r="BG743" s="201">
        <v>3</v>
      </c>
      <c r="BH743" s="178"/>
      <c r="BI743" s="201">
        <v>4.7</v>
      </c>
      <c r="BJ743" s="178"/>
      <c r="BK743" s="201">
        <v>1.3</v>
      </c>
      <c r="BL743" s="178"/>
      <c r="BM743" s="201">
        <v>62.6</v>
      </c>
      <c r="BN743" s="178"/>
      <c r="BO743" s="201">
        <v>20.100000000000001</v>
      </c>
      <c r="BP743" s="178"/>
      <c r="BQ743" s="201">
        <v>10.9</v>
      </c>
      <c r="BR743" s="178"/>
      <c r="BS743" s="201">
        <v>47.6</v>
      </c>
      <c r="BT743" s="178"/>
      <c r="BU743" s="201">
        <v>20.2</v>
      </c>
      <c r="BV743" s="178"/>
      <c r="BW743" s="201">
        <v>73.599999999999994</v>
      </c>
      <c r="BX743" s="178"/>
      <c r="BY743" s="178">
        <v>6.0999999999999943</v>
      </c>
      <c r="BZ743" s="178"/>
      <c r="CA743" s="179"/>
      <c r="CB743" s="179"/>
      <c r="CC743" s="201">
        <v>5.5</v>
      </c>
      <c r="CD743" s="198">
        <v>41822</v>
      </c>
      <c r="CE743" s="178"/>
      <c r="CF743" s="178"/>
      <c r="CG743" s="179"/>
      <c r="CH743" s="179"/>
      <c r="CI743" s="174" t="s">
        <v>9349</v>
      </c>
      <c r="CJ743" s="178"/>
      <c r="CK743" s="178"/>
      <c r="CL743" s="174">
        <v>7</v>
      </c>
      <c r="CM743" s="174"/>
    </row>
    <row r="744" spans="1:91" s="181" customFormat="1">
      <c r="A744" s="191" t="s">
        <v>7734</v>
      </c>
      <c r="B744" s="192" t="s">
        <v>271</v>
      </c>
      <c r="C744" s="192" t="s">
        <v>8999</v>
      </c>
      <c r="D744" s="192" t="s">
        <v>8632</v>
      </c>
      <c r="E744" s="193">
        <v>275</v>
      </c>
      <c r="F744" s="193">
        <v>11</v>
      </c>
      <c r="G744" s="193"/>
      <c r="H744" s="193"/>
      <c r="I744" s="195"/>
      <c r="J744" s="195"/>
      <c r="K744" s="176">
        <v>6</v>
      </c>
      <c r="L744" s="196"/>
      <c r="M744" s="197">
        <v>6.15</v>
      </c>
      <c r="N744" s="198">
        <v>41822</v>
      </c>
      <c r="O744" s="180"/>
      <c r="P744" s="199"/>
      <c r="Q744" s="180"/>
      <c r="R744" s="199"/>
      <c r="S744" s="176">
        <f>(AE744*BS744)/100</f>
        <v>19.491770451770456</v>
      </c>
      <c r="T744" s="198"/>
      <c r="U744" s="176">
        <v>16.2</v>
      </c>
      <c r="V744" s="199"/>
      <c r="W744" s="180"/>
      <c r="X744" s="199"/>
      <c r="Y744" s="200">
        <f>(AE744*BU744)/100</f>
        <v>6.7199450549450566</v>
      </c>
      <c r="Z744" s="198"/>
      <c r="AA744" s="200"/>
      <c r="AB744" s="198"/>
      <c r="AC744" s="378">
        <f t="shared" si="11"/>
        <v>35.761111111111113</v>
      </c>
      <c r="AD744" s="196"/>
      <c r="AE744" s="176">
        <f>(M744/U744)*((100-CC744)/(100-9))*100</f>
        <v>39.297924297924304</v>
      </c>
      <c r="AF744" s="198">
        <v>41822</v>
      </c>
      <c r="AG744" s="176">
        <v>4.7</v>
      </c>
      <c r="AH744" s="196">
        <v>41927</v>
      </c>
      <c r="AI744" s="176">
        <v>165</v>
      </c>
      <c r="AJ744" s="196"/>
      <c r="AK744" s="180"/>
      <c r="AL744" s="199"/>
      <c r="AM744" s="176">
        <v>85</v>
      </c>
      <c r="AN744" s="199"/>
      <c r="AO744" s="180"/>
      <c r="AP744" s="180"/>
      <c r="AQ744" s="180"/>
      <c r="AR744" s="180"/>
      <c r="AS744" s="180"/>
      <c r="AT744" s="180"/>
      <c r="AU744" s="180"/>
      <c r="AV744" s="180"/>
      <c r="AW744" s="180"/>
      <c r="AX744" s="180"/>
      <c r="AY744" s="180"/>
      <c r="AZ744" s="180"/>
      <c r="BA744" s="180"/>
      <c r="BB744" s="180"/>
      <c r="BC744" s="180"/>
      <c r="BD744" s="180"/>
      <c r="BE744" s="179"/>
      <c r="BF744" s="179"/>
      <c r="BG744" s="201">
        <v>2.9</v>
      </c>
      <c r="BH744" s="178"/>
      <c r="BI744" s="201">
        <v>4.7</v>
      </c>
      <c r="BJ744" s="178"/>
      <c r="BK744" s="201">
        <v>1.5</v>
      </c>
      <c r="BL744" s="178"/>
      <c r="BM744" s="201">
        <v>64.099999999999994</v>
      </c>
      <c r="BN744" s="178"/>
      <c r="BO744" s="201">
        <v>20.8</v>
      </c>
      <c r="BP744" s="178"/>
      <c r="BQ744" s="201">
        <v>8.9</v>
      </c>
      <c r="BR744" s="178"/>
      <c r="BS744" s="201">
        <v>49.6</v>
      </c>
      <c r="BT744" s="178"/>
      <c r="BU744" s="201">
        <v>17.100000000000001</v>
      </c>
      <c r="BV744" s="178"/>
      <c r="BW744" s="201">
        <v>17.100000000000001</v>
      </c>
      <c r="BX744" s="178"/>
      <c r="BY744" s="178">
        <v>6.2999999999999972</v>
      </c>
      <c r="BZ744" s="178"/>
      <c r="CA744" s="179"/>
      <c r="CB744" s="179"/>
      <c r="CC744" s="201">
        <v>5.8</v>
      </c>
      <c r="CD744" s="198">
        <v>41822</v>
      </c>
      <c r="CE744" s="178"/>
      <c r="CF744" s="178"/>
      <c r="CG744" s="179"/>
      <c r="CH744" s="179"/>
      <c r="CI744" s="174" t="s">
        <v>9350</v>
      </c>
      <c r="CJ744" s="178"/>
      <c r="CK744" s="178"/>
      <c r="CL744" s="174">
        <v>1</v>
      </c>
      <c r="CM744" s="174"/>
    </row>
    <row r="745" spans="1:91" s="181" customFormat="1">
      <c r="A745" s="191" t="s">
        <v>7897</v>
      </c>
      <c r="B745" s="192" t="s">
        <v>271</v>
      </c>
      <c r="C745" s="192" t="s">
        <v>8999</v>
      </c>
      <c r="D745" s="192" t="s">
        <v>8976</v>
      </c>
      <c r="E745" s="193">
        <v>275</v>
      </c>
      <c r="F745" s="193">
        <v>12</v>
      </c>
      <c r="G745" s="193"/>
      <c r="H745" s="193"/>
      <c r="I745" s="195"/>
      <c r="J745" s="195"/>
      <c r="K745" s="176">
        <v>6</v>
      </c>
      <c r="L745" s="196"/>
      <c r="M745" s="197">
        <v>4.6500000000000004</v>
      </c>
      <c r="N745" s="198">
        <v>41822</v>
      </c>
      <c r="O745" s="180"/>
      <c r="P745" s="199"/>
      <c r="Q745" s="180"/>
      <c r="R745" s="199"/>
      <c r="S745" s="176">
        <f>(AE745*BS745)/100</f>
        <v>14.970968660968662</v>
      </c>
      <c r="T745" s="198"/>
      <c r="U745" s="176">
        <v>16.2</v>
      </c>
      <c r="V745" s="199"/>
      <c r="W745" s="180"/>
      <c r="X745" s="199"/>
      <c r="Y745" s="200">
        <f>(AE745*BU745)/100</f>
        <v>5.1185327635327642</v>
      </c>
      <c r="Z745" s="198"/>
      <c r="AA745" s="200"/>
      <c r="AB745" s="198"/>
      <c r="AC745" s="378">
        <f t="shared" si="11"/>
        <v>26.924074074074078</v>
      </c>
      <c r="AD745" s="196"/>
      <c r="AE745" s="176">
        <f>(M745/U745)*((100-CC745)/(100-9))*100</f>
        <v>29.586894586894591</v>
      </c>
      <c r="AF745" s="198">
        <v>41822</v>
      </c>
      <c r="AG745" s="176">
        <v>4.5999999999999996</v>
      </c>
      <c r="AH745" s="196">
        <v>41927</v>
      </c>
      <c r="AI745" s="176">
        <v>150</v>
      </c>
      <c r="AJ745" s="196"/>
      <c r="AK745" s="180"/>
      <c r="AL745" s="199"/>
      <c r="AM745" s="176">
        <v>80</v>
      </c>
      <c r="AN745" s="199"/>
      <c r="AO745" s="180"/>
      <c r="AP745" s="180"/>
      <c r="AQ745" s="180"/>
      <c r="AR745" s="180"/>
      <c r="AS745" s="180"/>
      <c r="AT745" s="180"/>
      <c r="AU745" s="180"/>
      <c r="AV745" s="180"/>
      <c r="AW745" s="180"/>
      <c r="AX745" s="180"/>
      <c r="AY745" s="180"/>
      <c r="AZ745" s="180"/>
      <c r="BA745" s="180"/>
      <c r="BB745" s="180"/>
      <c r="BC745" s="180"/>
      <c r="BD745" s="180"/>
      <c r="BE745" s="179"/>
      <c r="BF745" s="179"/>
      <c r="BG745" s="201">
        <v>0</v>
      </c>
      <c r="BH745" s="178"/>
      <c r="BI745" s="201">
        <v>4.5</v>
      </c>
      <c r="BJ745" s="178"/>
      <c r="BK745" s="201">
        <v>1.5</v>
      </c>
      <c r="BL745" s="178"/>
      <c r="BM745" s="201">
        <v>64.3</v>
      </c>
      <c r="BN745" s="178"/>
      <c r="BO745" s="201">
        <v>20.2</v>
      </c>
      <c r="BP745" s="178"/>
      <c r="BQ745" s="201">
        <v>9</v>
      </c>
      <c r="BR745" s="178"/>
      <c r="BS745" s="201">
        <v>50.6</v>
      </c>
      <c r="BT745" s="178"/>
      <c r="BU745" s="201">
        <v>17.3</v>
      </c>
      <c r="BV745" s="178"/>
      <c r="BW745" s="201">
        <v>16</v>
      </c>
      <c r="BX745" s="178"/>
      <c r="BY745" s="178">
        <v>6.4000000000000057</v>
      </c>
      <c r="BZ745" s="178"/>
      <c r="CA745" s="179"/>
      <c r="CB745" s="179"/>
      <c r="CC745" s="201">
        <v>6.2</v>
      </c>
      <c r="CD745" s="198">
        <v>41822</v>
      </c>
      <c r="CE745" s="178"/>
      <c r="CF745" s="178"/>
      <c r="CG745" s="179"/>
      <c r="CH745" s="179"/>
      <c r="CI745" s="174" t="s">
        <v>9347</v>
      </c>
      <c r="CJ745" s="178"/>
      <c r="CK745" s="178"/>
      <c r="CL745" s="174">
        <v>1</v>
      </c>
      <c r="CM745" s="174"/>
    </row>
    <row r="746" spans="1:91">
      <c r="A746" s="191" t="s">
        <v>7683</v>
      </c>
      <c r="B746" s="192" t="s">
        <v>269</v>
      </c>
      <c r="C746" s="192" t="s">
        <v>8997</v>
      </c>
      <c r="D746" s="192" t="s">
        <v>8426</v>
      </c>
      <c r="E746" s="193">
        <v>276</v>
      </c>
      <c r="F746" s="193">
        <v>1</v>
      </c>
      <c r="K746" s="176">
        <v>7</v>
      </c>
      <c r="M746" s="197">
        <v>4.8499999999999996</v>
      </c>
      <c r="N746" s="198">
        <v>41822</v>
      </c>
      <c r="S746" s="176">
        <f>(AE746*BS746)/100</f>
        <v>15.132611925111922</v>
      </c>
      <c r="T746" s="198"/>
      <c r="U746" s="176">
        <v>16.2</v>
      </c>
      <c r="Y746" s="200">
        <f>(AE746*BU746)/100</f>
        <v>5.647871387871386</v>
      </c>
      <c r="Z746" s="198"/>
      <c r="AA746" s="200"/>
      <c r="AB746" s="198"/>
      <c r="AC746" s="378">
        <f t="shared" si="11"/>
        <v>27.932407407407407</v>
      </c>
      <c r="AE746" s="176">
        <f>(M746/U746)*((100-CC746)/(100-9))*100</f>
        <v>30.69495319495319</v>
      </c>
      <c r="AF746" s="198">
        <v>41822</v>
      </c>
      <c r="AG746" s="176">
        <v>5.3</v>
      </c>
      <c r="AH746" s="196">
        <v>41927</v>
      </c>
      <c r="AI746" s="176">
        <v>140</v>
      </c>
      <c r="AM746" s="176">
        <v>86</v>
      </c>
      <c r="BG746" s="201">
        <v>0</v>
      </c>
      <c r="BI746" s="201">
        <v>4.8</v>
      </c>
      <c r="BK746" s="201">
        <v>1.7</v>
      </c>
      <c r="BM746" s="201">
        <v>64</v>
      </c>
      <c r="BO746" s="201">
        <v>20.3</v>
      </c>
      <c r="BQ746" s="201">
        <v>8.5</v>
      </c>
      <c r="BS746" s="201">
        <v>49.3</v>
      </c>
      <c r="BU746" s="201">
        <v>18.399999999999999</v>
      </c>
      <c r="BW746" s="201">
        <v>16</v>
      </c>
      <c r="BY746" s="178">
        <v>6.9000000000000057</v>
      </c>
      <c r="CC746" s="201">
        <v>6.7</v>
      </c>
      <c r="CD746" s="198">
        <v>41822</v>
      </c>
      <c r="CI746" s="174" t="s">
        <v>9339</v>
      </c>
      <c r="CL746" s="174">
        <v>1</v>
      </c>
    </row>
    <row r="747" spans="1:91">
      <c r="A747" s="191" t="s">
        <v>7898</v>
      </c>
      <c r="B747" s="192" t="s">
        <v>269</v>
      </c>
      <c r="C747" s="192" t="s">
        <v>8997</v>
      </c>
      <c r="D747" s="192" t="s">
        <v>8994</v>
      </c>
      <c r="E747" s="193">
        <v>276</v>
      </c>
      <c r="F747" s="193">
        <v>2</v>
      </c>
      <c r="K747" s="176">
        <v>7</v>
      </c>
      <c r="M747" s="197">
        <v>4.05</v>
      </c>
      <c r="N747" s="198">
        <v>41822</v>
      </c>
      <c r="S747" s="176">
        <f>(AE747*BS747)/100</f>
        <v>13.698049450549451</v>
      </c>
      <c r="T747" s="198"/>
      <c r="U747" s="176">
        <v>16.2</v>
      </c>
      <c r="Y747" s="200">
        <f>(AE747*BU747)/100</f>
        <v>3.9984890109890112</v>
      </c>
      <c r="Z747" s="198"/>
      <c r="AA747" s="200"/>
      <c r="AB747" s="198"/>
      <c r="AC747" s="378">
        <f t="shared" si="11"/>
        <v>23.475000000000001</v>
      </c>
      <c r="AE747" s="176">
        <f>(M747/U747)*((100-CC747)/(100-9))*100</f>
        <v>25.796703296703299</v>
      </c>
      <c r="AF747" s="198">
        <v>41822</v>
      </c>
      <c r="AG747" s="176">
        <v>4.3</v>
      </c>
      <c r="AH747" s="196">
        <v>41927</v>
      </c>
      <c r="AI747" s="176">
        <v>140</v>
      </c>
      <c r="AM747" s="176">
        <v>78</v>
      </c>
      <c r="BG747" s="201">
        <v>0</v>
      </c>
      <c r="BI747" s="201">
        <v>5</v>
      </c>
      <c r="BK747" s="201">
        <v>1.6</v>
      </c>
      <c r="BM747" s="201">
        <v>62.8</v>
      </c>
      <c r="BO747" s="201">
        <v>19.600000000000001</v>
      </c>
      <c r="BQ747" s="201">
        <v>8.6</v>
      </c>
      <c r="BS747" s="201">
        <v>53.1</v>
      </c>
      <c r="BU747" s="201">
        <v>15.5</v>
      </c>
      <c r="BW747" s="201">
        <v>15.9</v>
      </c>
      <c r="BY747" s="178">
        <v>6.4000000000000057</v>
      </c>
      <c r="CC747" s="201">
        <v>6.1</v>
      </c>
      <c r="CD747" s="198">
        <v>41822</v>
      </c>
      <c r="CI747" s="174" t="s">
        <v>9346</v>
      </c>
      <c r="CL747" s="174" t="s">
        <v>9001</v>
      </c>
    </row>
    <row r="748" spans="1:91">
      <c r="A748" s="191" t="s">
        <v>7672</v>
      </c>
      <c r="B748" s="192" t="s">
        <v>269</v>
      </c>
      <c r="C748" s="192" t="s">
        <v>8997</v>
      </c>
      <c r="D748" s="192" t="s">
        <v>8382</v>
      </c>
      <c r="E748" s="193">
        <v>276</v>
      </c>
      <c r="F748" s="193">
        <v>3</v>
      </c>
      <c r="K748" s="176">
        <v>6</v>
      </c>
      <c r="M748" s="197">
        <v>1.45</v>
      </c>
      <c r="N748" s="198">
        <v>41822</v>
      </c>
      <c r="S748" s="176">
        <f>(AE748*BS748)/100</f>
        <v>4.6925529100529095</v>
      </c>
      <c r="T748" s="198"/>
      <c r="U748" s="176">
        <v>16.2</v>
      </c>
      <c r="Y748" s="200">
        <f>(AE748*BU748)/100</f>
        <v>1.6012064170397502</v>
      </c>
      <c r="Z748" s="198"/>
      <c r="AA748" s="200"/>
      <c r="AB748" s="198"/>
      <c r="AC748" s="378">
        <f t="shared" si="11"/>
        <v>8.4225308641975296</v>
      </c>
      <c r="AE748" s="176">
        <f>(M748/U748)*((100-CC748)/(100-9))*100</f>
        <v>9.2555284221950878</v>
      </c>
      <c r="AF748" s="198">
        <v>41822</v>
      </c>
      <c r="AG748" s="176">
        <v>5.3</v>
      </c>
      <c r="AH748" s="196">
        <v>41927</v>
      </c>
      <c r="AI748" s="176">
        <v>130</v>
      </c>
      <c r="AM748" s="176">
        <v>84</v>
      </c>
      <c r="BG748" s="201">
        <v>3.7</v>
      </c>
      <c r="BI748" s="201">
        <v>4.5999999999999996</v>
      </c>
      <c r="BK748" s="201">
        <v>1.6</v>
      </c>
      <c r="BM748" s="201">
        <v>65.8</v>
      </c>
      <c r="BO748" s="201">
        <v>20.100000000000001</v>
      </c>
      <c r="BQ748" s="201">
        <v>8.1</v>
      </c>
      <c r="BS748" s="201">
        <v>50.7</v>
      </c>
      <c r="BU748" s="201">
        <v>17.3</v>
      </c>
      <c r="BW748" s="201">
        <v>18.2</v>
      </c>
      <c r="BY748" s="178">
        <v>6.2999999999999972</v>
      </c>
      <c r="CC748" s="201">
        <v>5.9</v>
      </c>
      <c r="CD748" s="198">
        <v>41822</v>
      </c>
      <c r="CI748" s="174" t="s">
        <v>9378</v>
      </c>
      <c r="CL748" s="174">
        <v>3</v>
      </c>
    </row>
    <row r="749" spans="1:91">
      <c r="A749" s="191" t="s">
        <v>7662</v>
      </c>
      <c r="B749" s="192" t="s">
        <v>269</v>
      </c>
      <c r="C749" s="192" t="s">
        <v>8997</v>
      </c>
      <c r="D749" s="192" t="s">
        <v>8342</v>
      </c>
      <c r="E749" s="193">
        <v>276</v>
      </c>
      <c r="F749" s="193">
        <v>4</v>
      </c>
      <c r="K749" s="176">
        <v>6</v>
      </c>
      <c r="M749" s="197">
        <v>3.2</v>
      </c>
      <c r="N749" s="198">
        <v>41822</v>
      </c>
      <c r="S749" s="176">
        <f>(AE749*BS749)/100</f>
        <v>10.803158323158325</v>
      </c>
      <c r="T749" s="198"/>
      <c r="U749" s="176">
        <v>16.2</v>
      </c>
      <c r="Y749" s="200">
        <f>(AE749*BU749)/100</f>
        <v>3.3380545380545383</v>
      </c>
      <c r="Z749" s="198"/>
      <c r="AA749" s="200"/>
      <c r="AB749" s="198"/>
      <c r="AC749" s="378">
        <f t="shared" si="11"/>
        <v>18.409876543209879</v>
      </c>
      <c r="AE749" s="176">
        <f>(M749/U749)*((100-CC749)/(100-9))*100</f>
        <v>20.230633563966901</v>
      </c>
      <c r="AF749" s="198">
        <v>41822</v>
      </c>
      <c r="AG749" s="176">
        <v>5.4</v>
      </c>
      <c r="AH749" s="196">
        <v>41927</v>
      </c>
      <c r="AI749" s="176">
        <v>130</v>
      </c>
      <c r="AM749" s="176">
        <v>86</v>
      </c>
      <c r="BG749" s="201">
        <v>1.5</v>
      </c>
      <c r="BI749" s="201">
        <v>4.5</v>
      </c>
      <c r="BK749" s="201">
        <v>1.8</v>
      </c>
      <c r="BM749" s="201">
        <v>66.3</v>
      </c>
      <c r="BO749" s="201">
        <v>18.600000000000001</v>
      </c>
      <c r="BQ749" s="201">
        <v>8.1</v>
      </c>
      <c r="BS749" s="201">
        <v>53.4</v>
      </c>
      <c r="BU749" s="201">
        <v>16.5</v>
      </c>
      <c r="BW749" s="201">
        <v>11.8</v>
      </c>
      <c r="BY749" s="178">
        <v>7</v>
      </c>
      <c r="CC749" s="201">
        <v>6.8</v>
      </c>
      <c r="CD749" s="198">
        <v>41822</v>
      </c>
      <c r="CI749" s="174" t="s">
        <v>9376</v>
      </c>
      <c r="CL749" s="174">
        <v>3</v>
      </c>
    </row>
    <row r="750" spans="1:91">
      <c r="A750" s="191" t="s">
        <v>7795</v>
      </c>
      <c r="B750" s="192" t="s">
        <v>269</v>
      </c>
      <c r="C750" s="192" t="s">
        <v>8997</v>
      </c>
      <c r="D750" s="192" t="s">
        <v>8874</v>
      </c>
      <c r="E750" s="193">
        <v>276</v>
      </c>
      <c r="F750" s="193">
        <v>5</v>
      </c>
      <c r="K750" s="176">
        <v>6</v>
      </c>
      <c r="M750" s="197">
        <v>3.1</v>
      </c>
      <c r="N750" s="198">
        <v>41822</v>
      </c>
      <c r="S750" s="176">
        <f>(AE750*BS750)/100</f>
        <v>10.158167141500476</v>
      </c>
      <c r="T750" s="198"/>
      <c r="U750" s="176">
        <v>16.2</v>
      </c>
      <c r="Y750" s="200">
        <f>(AE750*BU750)/100</f>
        <v>3.2545584045584048</v>
      </c>
      <c r="Z750" s="198"/>
      <c r="AA750" s="200"/>
      <c r="AB750" s="198"/>
      <c r="AC750" s="378">
        <f t="shared" si="11"/>
        <v>17.949382716049385</v>
      </c>
      <c r="AE750" s="176">
        <f>(M750/U750)*((100-CC750)/(100-9))*100</f>
        <v>19.724596391263059</v>
      </c>
      <c r="AF750" s="198">
        <v>41822</v>
      </c>
      <c r="AG750" s="176">
        <v>5.4</v>
      </c>
      <c r="AH750" s="196">
        <v>41927</v>
      </c>
      <c r="AI750" s="176">
        <v>170</v>
      </c>
      <c r="AM750" s="176">
        <v>82</v>
      </c>
      <c r="BG750" s="201">
        <v>0</v>
      </c>
      <c r="BI750" s="201">
        <v>4.5</v>
      </c>
      <c r="BK750" s="201">
        <v>1.7</v>
      </c>
      <c r="BM750" s="201">
        <v>63.9</v>
      </c>
      <c r="BO750" s="201">
        <v>19.5</v>
      </c>
      <c r="BQ750" s="201">
        <v>8.1999999999999993</v>
      </c>
      <c r="BS750" s="201">
        <v>51.5</v>
      </c>
      <c r="BU750" s="201">
        <v>16.5</v>
      </c>
      <c r="BW750" s="201">
        <v>10.1</v>
      </c>
      <c r="BY750" s="178">
        <v>6.4000000000000057</v>
      </c>
      <c r="CC750" s="201">
        <v>6.2</v>
      </c>
      <c r="CD750" s="198">
        <v>41822</v>
      </c>
      <c r="CI750" s="174" t="s">
        <v>9355</v>
      </c>
      <c r="CL750" s="174">
        <v>1</v>
      </c>
    </row>
    <row r="751" spans="1:91">
      <c r="A751" s="191" t="s">
        <v>7720</v>
      </c>
      <c r="B751" s="192" t="s">
        <v>269</v>
      </c>
      <c r="C751" s="192" t="s">
        <v>8997</v>
      </c>
      <c r="D751" s="192" t="s">
        <v>8574</v>
      </c>
      <c r="E751" s="193">
        <v>276</v>
      </c>
      <c r="F751" s="193">
        <v>6</v>
      </c>
      <c r="K751" s="176">
        <v>7</v>
      </c>
      <c r="M751" s="197">
        <v>3.75</v>
      </c>
      <c r="N751" s="198">
        <v>41822</v>
      </c>
      <c r="S751" s="176">
        <f>(AE751*BS751)/100</f>
        <v>12.364468864468869</v>
      </c>
      <c r="T751" s="198"/>
      <c r="U751" s="176">
        <v>16.2</v>
      </c>
      <c r="Y751" s="200">
        <f>(AE751*BU751)/100</f>
        <v>3.7860195360195363</v>
      </c>
      <c r="Z751" s="198"/>
      <c r="AA751" s="200"/>
      <c r="AB751" s="198"/>
      <c r="AC751" s="378">
        <f t="shared" si="11"/>
        <v>21.805555555555557</v>
      </c>
      <c r="AE751" s="176">
        <f>(M751/U751)*((100-CC751)/(100-9))*100</f>
        <v>23.962148962148966</v>
      </c>
      <c r="AF751" s="198">
        <v>41822</v>
      </c>
      <c r="AG751" s="176">
        <v>4.8</v>
      </c>
      <c r="AH751" s="196">
        <v>41927</v>
      </c>
      <c r="AI751" s="176">
        <v>130</v>
      </c>
      <c r="AM751" s="176">
        <v>78</v>
      </c>
      <c r="BG751" s="201">
        <v>0</v>
      </c>
      <c r="BI751" s="201">
        <v>4.7</v>
      </c>
      <c r="BK751" s="201">
        <v>1.7</v>
      </c>
      <c r="BM751" s="201">
        <v>64.7</v>
      </c>
      <c r="BO751" s="201">
        <v>19.7</v>
      </c>
      <c r="BQ751" s="201">
        <v>6.9</v>
      </c>
      <c r="BS751" s="201">
        <v>51.6</v>
      </c>
      <c r="BU751" s="201">
        <v>15.8</v>
      </c>
      <c r="BW751" s="201">
        <v>18.3</v>
      </c>
      <c r="BY751" s="178">
        <v>6.5</v>
      </c>
      <c r="CC751" s="201">
        <v>5.8</v>
      </c>
      <c r="CD751" s="198">
        <v>41822</v>
      </c>
      <c r="CI751" s="174" t="s">
        <v>9350</v>
      </c>
      <c r="CL751" s="174">
        <v>1</v>
      </c>
    </row>
    <row r="752" spans="1:91">
      <c r="A752" s="202" t="s">
        <v>7740</v>
      </c>
      <c r="B752" s="203" t="s">
        <v>271</v>
      </c>
      <c r="C752" s="203" t="s">
        <v>8999</v>
      </c>
      <c r="D752" s="203" t="s">
        <v>8656</v>
      </c>
      <c r="E752" s="204">
        <v>276</v>
      </c>
      <c r="F752" s="204">
        <v>7</v>
      </c>
      <c r="G752" s="204"/>
      <c r="H752" s="204"/>
      <c r="I752" s="206"/>
      <c r="J752" s="206"/>
      <c r="K752" s="177">
        <v>9</v>
      </c>
      <c r="L752" s="207"/>
      <c r="M752" s="208">
        <v>1.9</v>
      </c>
      <c r="N752" s="209">
        <v>41822</v>
      </c>
      <c r="O752" s="183"/>
      <c r="P752" s="210"/>
      <c r="Q752" s="183"/>
      <c r="R752" s="210"/>
      <c r="S752" s="177">
        <f>(AE752*BS752)/100</f>
        <v>5.858088454755122</v>
      </c>
      <c r="T752" s="209"/>
      <c r="U752" s="177">
        <v>16.2</v>
      </c>
      <c r="V752" s="210"/>
      <c r="W752" s="183"/>
      <c r="X752" s="210"/>
      <c r="Y752" s="213">
        <f>(AE752*BU752)/100</f>
        <v>2.5644329127662462</v>
      </c>
      <c r="Z752" s="209"/>
      <c r="AA752" s="213"/>
      <c r="AB752" s="209"/>
      <c r="AC752" s="378">
        <f t="shared" si="11"/>
        <v>11.059876543209876</v>
      </c>
      <c r="AD752" s="207"/>
      <c r="AE752" s="177">
        <f>(M752/U752)*((100-CC752)/(100-9))*100</f>
        <v>12.153710487043819</v>
      </c>
      <c r="AF752" s="209">
        <v>41822</v>
      </c>
      <c r="AG752" s="177">
        <v>5.5</v>
      </c>
      <c r="AH752" s="207">
        <v>41927</v>
      </c>
      <c r="AI752" s="177">
        <v>60</v>
      </c>
      <c r="AJ752" s="207"/>
      <c r="AK752" s="183"/>
      <c r="AL752" s="210"/>
      <c r="AM752" s="177">
        <v>60</v>
      </c>
      <c r="AN752" s="210"/>
      <c r="AO752" s="183"/>
      <c r="AP752" s="183"/>
      <c r="AQ752" s="183"/>
      <c r="AR752" s="183"/>
      <c r="AS752" s="183"/>
      <c r="AT752" s="183"/>
      <c r="AU752" s="183"/>
      <c r="AV752" s="183"/>
      <c r="AW752" s="183"/>
      <c r="AX752" s="183"/>
      <c r="AY752" s="183"/>
      <c r="AZ752" s="183"/>
      <c r="BA752" s="183"/>
      <c r="BB752" s="183"/>
      <c r="BC752" s="183"/>
      <c r="BD752" s="183"/>
      <c r="BE752" s="182"/>
      <c r="BF752" s="182"/>
      <c r="BG752" s="211">
        <v>53.5</v>
      </c>
      <c r="BH752" s="181"/>
      <c r="BI752" s="211">
        <v>4.0999999999999996</v>
      </c>
      <c r="BJ752" s="181"/>
      <c r="BK752" s="211">
        <v>1</v>
      </c>
      <c r="BL752" s="181"/>
      <c r="BM752" s="211">
        <v>31.5</v>
      </c>
      <c r="BN752" s="181"/>
      <c r="BO752" s="211">
        <v>14.2</v>
      </c>
      <c r="BP752" s="181"/>
      <c r="BQ752" s="211">
        <v>11.1</v>
      </c>
      <c r="BR752" s="181"/>
      <c r="BS752" s="211">
        <v>48.2</v>
      </c>
      <c r="BT752" s="181"/>
      <c r="BU752" s="211">
        <v>21.1</v>
      </c>
      <c r="BV752" s="181"/>
      <c r="BW752" s="211">
        <v>71.7</v>
      </c>
      <c r="BX752" s="181"/>
      <c r="BY752" s="181">
        <v>6.2999999999999972</v>
      </c>
      <c r="BZ752" s="181"/>
      <c r="CA752" s="182"/>
      <c r="CB752" s="182"/>
      <c r="CC752" s="211">
        <v>5.7</v>
      </c>
      <c r="CD752" s="209">
        <v>41822</v>
      </c>
      <c r="CE752" s="181"/>
      <c r="CF752" s="181"/>
      <c r="CG752" s="182"/>
      <c r="CH752" s="182"/>
      <c r="CI752" s="175" t="s">
        <v>9349</v>
      </c>
      <c r="CJ752" s="181"/>
      <c r="CK752" s="181"/>
      <c r="CL752" s="175">
        <v>8</v>
      </c>
      <c r="CM752" s="175"/>
    </row>
    <row r="753" spans="1:91">
      <c r="A753" s="191" t="s">
        <v>7804</v>
      </c>
      <c r="B753" s="192" t="s">
        <v>271</v>
      </c>
      <c r="C753" s="192" t="s">
        <v>8999</v>
      </c>
      <c r="D753" s="192" t="s">
        <v>8912</v>
      </c>
      <c r="E753" s="193">
        <v>276</v>
      </c>
      <c r="F753" s="193">
        <v>8</v>
      </c>
      <c r="K753" s="176">
        <v>8</v>
      </c>
      <c r="M753" s="197">
        <v>6.3</v>
      </c>
      <c r="N753" s="198">
        <v>41822</v>
      </c>
      <c r="S753" s="176">
        <f>(AE753*BS753)/100</f>
        <v>19.944615384615386</v>
      </c>
      <c r="T753" s="198"/>
      <c r="U753" s="176">
        <v>16.2</v>
      </c>
      <c r="Y753" s="200">
        <f>(AE753*BU753)/100</f>
        <v>6.6877777777777769</v>
      </c>
      <c r="Z753" s="198"/>
      <c r="AA753" s="200"/>
      <c r="AB753" s="198"/>
      <c r="AC753" s="378">
        <f t="shared" si="11"/>
        <v>36.011111111111113</v>
      </c>
      <c r="AE753" s="176">
        <f>(M753/U753)*((100-CC753)/(100-9))*100</f>
        <v>39.572649572649574</v>
      </c>
      <c r="AF753" s="198">
        <v>41822</v>
      </c>
      <c r="AG753" s="176">
        <v>4.7</v>
      </c>
      <c r="AH753" s="196">
        <v>41927</v>
      </c>
      <c r="AI753" s="176">
        <v>160</v>
      </c>
      <c r="AM753" s="176">
        <v>87</v>
      </c>
      <c r="BG753" s="201">
        <v>0</v>
      </c>
      <c r="BI753" s="201">
        <v>4.7</v>
      </c>
      <c r="BK753" s="201">
        <v>1.6</v>
      </c>
      <c r="BM753" s="201">
        <v>65</v>
      </c>
      <c r="BO753" s="201">
        <v>19</v>
      </c>
      <c r="BQ753" s="201">
        <v>8.3000000000000007</v>
      </c>
      <c r="BS753" s="201">
        <v>50.4</v>
      </c>
      <c r="BU753" s="201">
        <v>16.899999999999999</v>
      </c>
      <c r="BW753" s="201">
        <v>10.9</v>
      </c>
      <c r="BY753" s="178">
        <v>7.2999999999999972</v>
      </c>
      <c r="CC753" s="201">
        <v>7.4</v>
      </c>
      <c r="CD753" s="198">
        <v>41822</v>
      </c>
      <c r="CI753" s="174" t="s">
        <v>9352</v>
      </c>
      <c r="CL753" s="174">
        <v>2</v>
      </c>
    </row>
    <row r="754" spans="1:91">
      <c r="A754" s="191" t="s">
        <v>7658</v>
      </c>
      <c r="B754" s="192" t="s">
        <v>271</v>
      </c>
      <c r="C754" s="192" t="s">
        <v>8999</v>
      </c>
      <c r="D754" s="192" t="s">
        <v>8328</v>
      </c>
      <c r="E754" s="193">
        <v>276</v>
      </c>
      <c r="F754" s="193">
        <v>9</v>
      </c>
      <c r="K754" s="176">
        <v>6</v>
      </c>
      <c r="M754" s="197">
        <v>3.55</v>
      </c>
      <c r="N754" s="198">
        <v>41822</v>
      </c>
      <c r="S754" s="176">
        <f>(AE754*BS754)/100</f>
        <v>10.729611314611315</v>
      </c>
      <c r="T754" s="198"/>
      <c r="U754" s="176">
        <v>16.2</v>
      </c>
      <c r="Y754" s="200">
        <f>(AE754*BU754)/100</f>
        <v>4.309991859991861</v>
      </c>
      <c r="Z754" s="198"/>
      <c r="AA754" s="200"/>
      <c r="AB754" s="198"/>
      <c r="AC754" s="378">
        <f t="shared" si="11"/>
        <v>20.642592592592592</v>
      </c>
      <c r="AE754" s="176">
        <f>(M754/U754)*((100-CC754)/(100-9))*100</f>
        <v>22.684167684167686</v>
      </c>
      <c r="AF754" s="198">
        <v>41822</v>
      </c>
      <c r="AG754" s="176">
        <v>5</v>
      </c>
      <c r="AH754" s="196">
        <v>41927</v>
      </c>
      <c r="AI754" s="176">
        <v>130</v>
      </c>
      <c r="AM754" s="176">
        <v>78</v>
      </c>
      <c r="BG754" s="201">
        <v>7.8</v>
      </c>
      <c r="BI754" s="201">
        <v>4.8</v>
      </c>
      <c r="BK754" s="201">
        <v>1.4</v>
      </c>
      <c r="BM754" s="201">
        <v>64.7</v>
      </c>
      <c r="BO754" s="201">
        <v>20.100000000000001</v>
      </c>
      <c r="BQ754" s="201">
        <v>8.5</v>
      </c>
      <c r="BS754" s="201">
        <v>47.3</v>
      </c>
      <c r="BU754" s="201">
        <v>19</v>
      </c>
      <c r="BW754" s="201">
        <v>72.8</v>
      </c>
      <c r="BY754" s="178">
        <v>6.2000000000000028</v>
      </c>
      <c r="CC754" s="201">
        <v>5.8</v>
      </c>
      <c r="CD754" s="198">
        <v>41822</v>
      </c>
      <c r="CI754" s="174" t="s">
        <v>9353</v>
      </c>
      <c r="CL754" s="174">
        <v>1</v>
      </c>
    </row>
    <row r="755" spans="1:91">
      <c r="A755" s="191" t="s">
        <v>7755</v>
      </c>
      <c r="B755" s="192" t="s">
        <v>271</v>
      </c>
      <c r="C755" s="192" t="s">
        <v>8999</v>
      </c>
      <c r="D755" s="192" t="s">
        <v>8716</v>
      </c>
      <c r="E755" s="193">
        <v>276</v>
      </c>
      <c r="F755" s="193">
        <v>10</v>
      </c>
      <c r="K755" s="176">
        <v>9</v>
      </c>
      <c r="M755" s="197">
        <v>3.6</v>
      </c>
      <c r="N755" s="198">
        <v>41822</v>
      </c>
      <c r="S755" s="176">
        <f>(AE755*BS755)/100</f>
        <v>10.892234432234433</v>
      </c>
      <c r="T755" s="198"/>
      <c r="U755" s="176">
        <v>16.2</v>
      </c>
      <c r="Y755" s="200">
        <f>(AE755*BU755)/100</f>
        <v>4.7639072039072055</v>
      </c>
      <c r="Z755" s="198"/>
      <c r="AA755" s="200"/>
      <c r="AB755" s="198"/>
      <c r="AC755" s="378">
        <f t="shared" si="11"/>
        <v>21.044444444444448</v>
      </c>
      <c r="AE755" s="176">
        <f>(M755/U755)*((100-CC755)/(100-9))*100</f>
        <v>23.125763125763129</v>
      </c>
      <c r="AF755" s="198">
        <v>41822</v>
      </c>
      <c r="AG755" s="176">
        <v>4.5999999999999996</v>
      </c>
      <c r="AH755" s="196">
        <v>41927</v>
      </c>
      <c r="AI755" s="176">
        <v>120</v>
      </c>
      <c r="AM755" s="176">
        <v>86</v>
      </c>
      <c r="BG755" s="201">
        <v>43.9</v>
      </c>
      <c r="BI755" s="201">
        <v>4.4000000000000004</v>
      </c>
      <c r="BK755" s="201">
        <v>0.9</v>
      </c>
      <c r="BM755" s="201">
        <v>29.2</v>
      </c>
      <c r="BO755" s="201">
        <v>15.8</v>
      </c>
      <c r="BQ755" s="201">
        <v>9.6999999999999993</v>
      </c>
      <c r="BS755" s="201">
        <v>47.1</v>
      </c>
      <c r="BU755" s="201">
        <v>20.6</v>
      </c>
      <c r="BW755" s="201">
        <v>81.599999999999994</v>
      </c>
      <c r="BY755" s="178">
        <v>6.0999999999999943</v>
      </c>
      <c r="CC755" s="201">
        <v>5.3</v>
      </c>
      <c r="CD755" s="198">
        <v>41822</v>
      </c>
      <c r="CI755" s="174" t="s">
        <v>9349</v>
      </c>
      <c r="CL755" s="174">
        <v>7</v>
      </c>
    </row>
    <row r="756" spans="1:91">
      <c r="A756" s="191" t="s">
        <v>7796</v>
      </c>
      <c r="B756" s="192" t="s">
        <v>271</v>
      </c>
      <c r="C756" s="192" t="s">
        <v>8999</v>
      </c>
      <c r="D756" s="192" t="s">
        <v>8880</v>
      </c>
      <c r="E756" s="193">
        <v>276</v>
      </c>
      <c r="F756" s="193">
        <v>11</v>
      </c>
      <c r="K756" s="176">
        <v>7</v>
      </c>
      <c r="M756" s="197">
        <v>5.55</v>
      </c>
      <c r="N756" s="198">
        <v>41822</v>
      </c>
      <c r="S756" s="176">
        <f>(AE756*BS756)/100</f>
        <v>16.947264957264959</v>
      </c>
      <c r="T756" s="198"/>
      <c r="U756" s="176">
        <v>16.2</v>
      </c>
      <c r="Y756" s="200">
        <f>(AE756*BU756)/100</f>
        <v>7.0175010175010186</v>
      </c>
      <c r="Z756" s="198"/>
      <c r="AA756" s="200"/>
      <c r="AB756" s="198"/>
      <c r="AC756" s="378">
        <f t="shared" si="11"/>
        <v>31.929629629629634</v>
      </c>
      <c r="AE756" s="176">
        <f>(M756/U756)*((100-CC756)/(100-9))*100</f>
        <v>35.087505087505093</v>
      </c>
      <c r="AF756" s="198">
        <v>41822</v>
      </c>
      <c r="AG756" s="176">
        <v>4.8</v>
      </c>
      <c r="AH756" s="196">
        <v>41927</v>
      </c>
      <c r="AI756" s="176">
        <v>170</v>
      </c>
      <c r="AM756" s="176">
        <v>85</v>
      </c>
      <c r="BG756" s="201">
        <v>0</v>
      </c>
      <c r="BI756" s="201">
        <v>4.4000000000000004</v>
      </c>
      <c r="BK756" s="201">
        <v>1.7</v>
      </c>
      <c r="BM756" s="201">
        <v>67.7</v>
      </c>
      <c r="BO756" s="201">
        <v>17.7</v>
      </c>
      <c r="BQ756" s="201">
        <v>7.6</v>
      </c>
      <c r="BS756" s="201">
        <v>48.3</v>
      </c>
      <c r="BU756" s="201">
        <v>20</v>
      </c>
      <c r="BW756" s="201">
        <v>12.6</v>
      </c>
      <c r="BY756" s="178">
        <v>6.4000000000000057</v>
      </c>
      <c r="CC756" s="201">
        <v>6.8</v>
      </c>
      <c r="CD756" s="198">
        <v>41822</v>
      </c>
      <c r="CI756" s="174" t="s">
        <v>9364</v>
      </c>
      <c r="CL756" s="174">
        <v>1</v>
      </c>
    </row>
    <row r="757" spans="1:91">
      <c r="A757" s="191" t="s">
        <v>7709</v>
      </c>
      <c r="B757" s="192" t="s">
        <v>271</v>
      </c>
      <c r="C757" s="192" t="s">
        <v>8999</v>
      </c>
      <c r="D757" s="192" t="s">
        <v>8532</v>
      </c>
      <c r="E757" s="193">
        <v>276</v>
      </c>
      <c r="F757" s="193">
        <v>12</v>
      </c>
      <c r="K757" s="176">
        <v>7</v>
      </c>
      <c r="M757" s="197">
        <v>5</v>
      </c>
      <c r="N757" s="198">
        <v>41822</v>
      </c>
      <c r="S757" s="176">
        <f>(AE757*BS757)/100</f>
        <v>15.479989146655813</v>
      </c>
      <c r="T757" s="198"/>
      <c r="U757" s="176">
        <v>16.2</v>
      </c>
      <c r="Y757" s="200">
        <f>(AE757*BU757)/100</f>
        <v>6.4286731786731783</v>
      </c>
      <c r="Z757" s="198"/>
      <c r="AA757" s="200"/>
      <c r="AB757" s="198"/>
      <c r="AC757" s="378">
        <f t="shared" si="11"/>
        <v>29.10493827160494</v>
      </c>
      <c r="AE757" s="176">
        <f>(M757/U757)*((100-CC757)/(100-9))*100</f>
        <v>31.983448650115314</v>
      </c>
      <c r="AF757" s="198">
        <v>41822</v>
      </c>
      <c r="AG757" s="176">
        <v>5.3</v>
      </c>
      <c r="AH757" s="196">
        <v>41927</v>
      </c>
      <c r="AI757" s="176">
        <v>150</v>
      </c>
      <c r="AM757" s="176">
        <v>83</v>
      </c>
      <c r="BG757" s="201">
        <v>0</v>
      </c>
      <c r="BI757" s="201">
        <v>4.3</v>
      </c>
      <c r="BK757" s="201">
        <v>1.5</v>
      </c>
      <c r="BM757" s="201">
        <v>65.5</v>
      </c>
      <c r="BO757" s="201">
        <v>20.7</v>
      </c>
      <c r="BQ757" s="201">
        <v>8.5</v>
      </c>
      <c r="BS757" s="201">
        <v>48.4</v>
      </c>
      <c r="BU757" s="201">
        <v>20.100000000000001</v>
      </c>
      <c r="BW757" s="201">
        <v>16</v>
      </c>
      <c r="BY757" s="178">
        <v>6</v>
      </c>
      <c r="CC757" s="201">
        <v>5.7</v>
      </c>
      <c r="CD757" s="198">
        <v>41822</v>
      </c>
      <c r="CI757" s="174" t="s">
        <v>9347</v>
      </c>
      <c r="CL757" s="174">
        <v>2</v>
      </c>
    </row>
    <row r="758" spans="1:91">
      <c r="A758" s="191" t="s">
        <v>7688</v>
      </c>
      <c r="B758" s="192" t="s">
        <v>269</v>
      </c>
      <c r="C758" s="192" t="s">
        <v>8997</v>
      </c>
      <c r="D758" s="192" t="s">
        <v>8446</v>
      </c>
      <c r="E758" s="193">
        <v>277</v>
      </c>
      <c r="F758" s="193">
        <v>1</v>
      </c>
      <c r="K758" s="176">
        <v>7</v>
      </c>
      <c r="M758" s="197">
        <v>5.05</v>
      </c>
      <c r="N758" s="198">
        <v>41822</v>
      </c>
      <c r="S758" s="176">
        <f>(AE758*BS758)/100</f>
        <v>16.541987179487183</v>
      </c>
      <c r="T758" s="198"/>
      <c r="U758" s="176">
        <v>16.2</v>
      </c>
      <c r="Y758" s="200">
        <f>(AE758*BU758)/100</f>
        <v>5.211858974358976</v>
      </c>
      <c r="Z758" s="198"/>
      <c r="AA758" s="200"/>
      <c r="AB758" s="198"/>
      <c r="AC758" s="378">
        <f t="shared" si="11"/>
        <v>29.458333333333332</v>
      </c>
      <c r="AE758" s="176">
        <f>(M758/U758)*((100-CC758)/(100-9))*100</f>
        <v>32.371794871794876</v>
      </c>
      <c r="AF758" s="198">
        <v>41822</v>
      </c>
      <c r="AG758" s="176">
        <v>4.0999999999999996</v>
      </c>
      <c r="AH758" s="196">
        <v>41927</v>
      </c>
      <c r="AI758" s="176">
        <v>140</v>
      </c>
      <c r="AM758" s="176">
        <v>78</v>
      </c>
      <c r="BG758" s="201">
        <v>0</v>
      </c>
      <c r="BI758" s="201">
        <v>4.7</v>
      </c>
      <c r="BK758" s="201">
        <v>1.6</v>
      </c>
      <c r="BM758" s="201">
        <v>63.4</v>
      </c>
      <c r="BO758" s="201">
        <v>22.1</v>
      </c>
      <c r="BQ758" s="201">
        <v>7.5</v>
      </c>
      <c r="BS758" s="201">
        <v>51.1</v>
      </c>
      <c r="BU758" s="201">
        <v>16.100000000000001</v>
      </c>
      <c r="BW758" s="201">
        <v>9.4</v>
      </c>
      <c r="BY758" s="178">
        <v>6.4000000000000057</v>
      </c>
      <c r="CC758" s="201">
        <v>5.5</v>
      </c>
      <c r="CD758" s="198">
        <v>41822</v>
      </c>
      <c r="CI758" s="174" t="s">
        <v>9339</v>
      </c>
      <c r="CL758" s="174">
        <v>1</v>
      </c>
    </row>
    <row r="759" spans="1:91">
      <c r="A759" s="191" t="s">
        <v>7898</v>
      </c>
      <c r="B759" s="192" t="s">
        <v>269</v>
      </c>
      <c r="C759" s="192" t="s">
        <v>8997</v>
      </c>
      <c r="D759" s="192" t="s">
        <v>8978</v>
      </c>
      <c r="E759" s="193">
        <v>277</v>
      </c>
      <c r="F759" s="193">
        <v>2</v>
      </c>
      <c r="K759" s="176">
        <v>7</v>
      </c>
      <c r="M759" s="197">
        <v>3.05</v>
      </c>
      <c r="N759" s="198">
        <v>41822</v>
      </c>
      <c r="S759" s="176">
        <f>(AE759*BS759)/100</f>
        <v>10.218679283679284</v>
      </c>
      <c r="T759" s="198"/>
      <c r="U759" s="176">
        <v>16.2</v>
      </c>
      <c r="Y759" s="200">
        <f>(AE759*BU759)/100</f>
        <v>3.1860520960520962</v>
      </c>
      <c r="Z759" s="198"/>
      <c r="AA759" s="200"/>
      <c r="AB759" s="198"/>
      <c r="AC759" s="378">
        <f t="shared" si="11"/>
        <v>17.678703703703704</v>
      </c>
      <c r="AE759" s="176">
        <f>(M759/U759)*((100-CC759)/(100-9))*100</f>
        <v>19.427146927146929</v>
      </c>
      <c r="AF759" s="198">
        <v>41822</v>
      </c>
      <c r="AG759" s="176">
        <v>4.8</v>
      </c>
      <c r="AH759" s="196">
        <v>41927</v>
      </c>
      <c r="AI759" s="176">
        <v>130</v>
      </c>
      <c r="AM759" s="176">
        <v>86</v>
      </c>
      <c r="BG759" s="201">
        <v>2.2000000000000002</v>
      </c>
      <c r="BI759" s="201">
        <v>4.9000000000000004</v>
      </c>
      <c r="BK759" s="201">
        <v>1.6</v>
      </c>
      <c r="BM759" s="201">
        <v>62.6</v>
      </c>
      <c r="BO759" s="201">
        <v>21.2</v>
      </c>
      <c r="BQ759" s="201">
        <v>8.6999999999999993</v>
      </c>
      <c r="BS759" s="201">
        <v>52.6</v>
      </c>
      <c r="BU759" s="201">
        <v>16.399999999999999</v>
      </c>
      <c r="BW759" s="201">
        <v>11.5</v>
      </c>
      <c r="BY759" s="178">
        <v>6.4000000000000057</v>
      </c>
      <c r="CC759" s="201">
        <v>6.1</v>
      </c>
      <c r="CD759" s="198">
        <v>41822</v>
      </c>
      <c r="CI759" s="174" t="s">
        <v>9354</v>
      </c>
      <c r="CL759" s="174">
        <v>4</v>
      </c>
    </row>
    <row r="760" spans="1:91">
      <c r="A760" s="202" t="s">
        <v>7613</v>
      </c>
      <c r="B760" s="203" t="s">
        <v>269</v>
      </c>
      <c r="C760" s="203" t="s">
        <v>8997</v>
      </c>
      <c r="D760" s="203" t="s">
        <v>8146</v>
      </c>
      <c r="E760" s="204">
        <v>277</v>
      </c>
      <c r="F760" s="204">
        <v>3</v>
      </c>
      <c r="G760" s="204"/>
      <c r="H760" s="204"/>
      <c r="I760" s="185"/>
      <c r="J760" s="206"/>
      <c r="K760" s="177">
        <v>7</v>
      </c>
      <c r="L760" s="207"/>
      <c r="M760" s="208">
        <v>0.15</v>
      </c>
      <c r="N760" s="209">
        <v>41822</v>
      </c>
      <c r="O760" s="182"/>
      <c r="P760" s="210"/>
      <c r="Q760" s="183"/>
      <c r="R760" s="210"/>
      <c r="S760" s="177">
        <f>(AE760*BS760)/100</f>
        <v>0.47394688644688637</v>
      </c>
      <c r="T760" s="209"/>
      <c r="U760" s="177">
        <v>16.2</v>
      </c>
      <c r="V760" s="210"/>
      <c r="W760" s="183"/>
      <c r="X760" s="210"/>
      <c r="Y760" s="213">
        <f>(AE760*BU760)/100</f>
        <v>0.18574888074888068</v>
      </c>
      <c r="Z760" s="209"/>
      <c r="AA760" s="213"/>
      <c r="AB760" s="209"/>
      <c r="AC760" s="378">
        <f t="shared" si="11"/>
        <v>0.87129629629629624</v>
      </c>
      <c r="AD760" s="207"/>
      <c r="AE760" s="177">
        <f>(M760/U760)*((100-CC760)/(100-9))*100</f>
        <v>0.95746845746845721</v>
      </c>
      <c r="AF760" s="209">
        <v>41822</v>
      </c>
      <c r="AG760" s="177">
        <v>4.8</v>
      </c>
      <c r="AH760" s="207">
        <v>41927</v>
      </c>
      <c r="AI760" s="177">
        <v>10</v>
      </c>
      <c r="AJ760" s="207"/>
      <c r="AK760" s="183"/>
      <c r="AL760" s="210"/>
      <c r="AM760" s="177">
        <v>78</v>
      </c>
      <c r="AN760" s="210"/>
      <c r="AO760" s="183"/>
      <c r="AP760" s="183"/>
      <c r="AQ760" s="183"/>
      <c r="AR760" s="183"/>
      <c r="AS760" s="183"/>
      <c r="AT760" s="183"/>
      <c r="AU760" s="183"/>
      <c r="AV760" s="183"/>
      <c r="AW760" s="183"/>
      <c r="AX760" s="183"/>
      <c r="AY760" s="183"/>
      <c r="AZ760" s="183"/>
      <c r="BA760" s="183"/>
      <c r="BB760" s="183"/>
      <c r="BC760" s="183"/>
      <c r="BD760" s="183"/>
      <c r="BE760" s="182"/>
      <c r="BF760" s="182"/>
      <c r="BG760" s="211">
        <v>20.9</v>
      </c>
      <c r="BH760" s="181"/>
      <c r="BI760" s="211">
        <v>4.5999999999999996</v>
      </c>
      <c r="BJ760" s="181"/>
      <c r="BK760" s="211">
        <v>1.3</v>
      </c>
      <c r="BL760" s="181"/>
      <c r="BM760" s="211">
        <v>47.7</v>
      </c>
      <c r="BN760" s="181"/>
      <c r="BO760" s="211">
        <v>17.5</v>
      </c>
      <c r="BP760" s="181"/>
      <c r="BQ760" s="211">
        <v>9.6</v>
      </c>
      <c r="BR760" s="181"/>
      <c r="BS760" s="211">
        <v>49.5</v>
      </c>
      <c r="BT760" s="181"/>
      <c r="BU760" s="211">
        <v>19.399999999999999</v>
      </c>
      <c r="BV760" s="181"/>
      <c r="BW760" s="211">
        <v>50.1</v>
      </c>
      <c r="BX760" s="181"/>
      <c r="BY760" s="181">
        <v>6.5999999999999943</v>
      </c>
      <c r="BZ760" s="181"/>
      <c r="CA760" s="182"/>
      <c r="CB760" s="182"/>
      <c r="CC760" s="211">
        <v>5.9</v>
      </c>
      <c r="CD760" s="209">
        <v>41822</v>
      </c>
      <c r="CE760" s="181"/>
      <c r="CF760" s="181"/>
      <c r="CG760" s="182"/>
      <c r="CH760" s="182"/>
      <c r="CI760" s="175" t="s">
        <v>9367</v>
      </c>
      <c r="CJ760" s="181"/>
      <c r="CK760" s="181"/>
      <c r="CL760" s="175">
        <v>9</v>
      </c>
      <c r="CM760" s="175"/>
    </row>
    <row r="761" spans="1:91">
      <c r="A761" s="191" t="s">
        <v>7627</v>
      </c>
      <c r="B761" s="192" t="s">
        <v>269</v>
      </c>
      <c r="C761" s="192" t="s">
        <v>8997</v>
      </c>
      <c r="D761" s="192" t="s">
        <v>8202</v>
      </c>
      <c r="E761" s="193">
        <v>277</v>
      </c>
      <c r="F761" s="193">
        <v>4</v>
      </c>
      <c r="I761" s="184"/>
      <c r="K761" s="176">
        <v>8</v>
      </c>
      <c r="M761" s="197">
        <v>0.45</v>
      </c>
      <c r="N761" s="198">
        <v>41822</v>
      </c>
      <c r="O761" s="179"/>
      <c r="S761" s="176">
        <f>(AE761*BS761)/100</f>
        <v>1.4576312576312578</v>
      </c>
      <c r="T761" s="198"/>
      <c r="U761" s="176">
        <v>16.2</v>
      </c>
      <c r="Y761" s="200">
        <f>(AE761*BU761)/100</f>
        <v>0.51361416361416368</v>
      </c>
      <c r="Z761" s="198"/>
      <c r="AA761" s="200"/>
      <c r="AB761" s="198"/>
      <c r="AC761" s="378">
        <f t="shared" si="11"/>
        <v>2.6111111111111112</v>
      </c>
      <c r="AE761" s="176">
        <f>(M761/U761)*((100-CC761)/(100-9))*100</f>
        <v>2.8693528693528698</v>
      </c>
      <c r="AF761" s="198">
        <v>41822</v>
      </c>
      <c r="AG761" s="176">
        <v>4.5999999999999996</v>
      </c>
      <c r="AH761" s="196">
        <v>41927</v>
      </c>
      <c r="AI761" s="176">
        <v>50</v>
      </c>
      <c r="AM761" s="176">
        <v>80</v>
      </c>
      <c r="BG761" s="201">
        <v>25.3</v>
      </c>
      <c r="BI761" s="201">
        <v>4.7</v>
      </c>
      <c r="BK761" s="201">
        <v>1.3</v>
      </c>
      <c r="BM761" s="201">
        <v>44.5</v>
      </c>
      <c r="BO761" s="201">
        <v>17.8</v>
      </c>
      <c r="BQ761" s="201">
        <v>10.4</v>
      </c>
      <c r="BS761" s="201">
        <v>50.8</v>
      </c>
      <c r="BU761" s="201">
        <v>17.899999999999999</v>
      </c>
      <c r="BW761" s="201">
        <v>50.3</v>
      </c>
      <c r="BY761" s="178">
        <v>6.5999999999999943</v>
      </c>
      <c r="CC761" s="201">
        <v>6</v>
      </c>
      <c r="CD761" s="198">
        <v>41822</v>
      </c>
      <c r="CI761" s="174" t="s">
        <v>9367</v>
      </c>
      <c r="CL761" s="174">
        <v>9</v>
      </c>
    </row>
    <row r="762" spans="1:91">
      <c r="A762" s="191" t="s">
        <v>7656</v>
      </c>
      <c r="B762" s="192" t="s">
        <v>269</v>
      </c>
      <c r="C762" s="192" t="s">
        <v>8997</v>
      </c>
      <c r="D762" s="192" t="s">
        <v>8318</v>
      </c>
      <c r="E762" s="193">
        <v>277</v>
      </c>
      <c r="F762" s="193">
        <v>5</v>
      </c>
      <c r="K762" s="176">
        <v>8</v>
      </c>
      <c r="M762" s="197">
        <v>3.3</v>
      </c>
      <c r="N762" s="198">
        <v>41822</v>
      </c>
      <c r="S762" s="176">
        <f>(AE762*BS762)/100</f>
        <v>11.013699633699632</v>
      </c>
      <c r="T762" s="198"/>
      <c r="U762" s="176">
        <v>16.2</v>
      </c>
      <c r="Y762" s="200">
        <f>(AE762*BU762)/100</f>
        <v>3.6075702075702076</v>
      </c>
      <c r="Z762" s="198"/>
      <c r="AA762" s="200"/>
      <c r="AB762" s="198"/>
      <c r="AC762" s="378">
        <f t="shared" si="11"/>
        <v>19.31111111111111</v>
      </c>
      <c r="AE762" s="176">
        <f>(M762/U762)*((100-CC762)/(100-9))*100</f>
        <v>21.22100122100122</v>
      </c>
      <c r="AF762" s="198">
        <v>41822</v>
      </c>
      <c r="AG762" s="176">
        <v>4.4000000000000004</v>
      </c>
      <c r="AH762" s="196">
        <v>41927</v>
      </c>
      <c r="AI762" s="176">
        <v>125</v>
      </c>
      <c r="AM762" s="176">
        <v>76</v>
      </c>
      <c r="BG762" s="201">
        <v>0</v>
      </c>
      <c r="BI762" s="201">
        <v>4.7</v>
      </c>
      <c r="BK762" s="201">
        <v>1.5</v>
      </c>
      <c r="BM762" s="201">
        <v>62.9</v>
      </c>
      <c r="BO762" s="201">
        <v>19.399999999999999</v>
      </c>
      <c r="BQ762" s="201">
        <v>10.4</v>
      </c>
      <c r="BS762" s="201">
        <v>51.9</v>
      </c>
      <c r="BU762" s="201">
        <v>17</v>
      </c>
      <c r="BW762" s="201">
        <v>63.5</v>
      </c>
      <c r="BY762" s="178">
        <v>6.0999999999999943</v>
      </c>
      <c r="CC762" s="201">
        <v>5.2</v>
      </c>
      <c r="CD762" s="198">
        <v>41822</v>
      </c>
      <c r="CI762" s="174" t="s">
        <v>9382</v>
      </c>
      <c r="CL762" s="174">
        <v>1</v>
      </c>
    </row>
    <row r="763" spans="1:91">
      <c r="A763" s="191" t="s">
        <v>7788</v>
      </c>
      <c r="B763" s="192" t="s">
        <v>269</v>
      </c>
      <c r="C763" s="192" t="s">
        <v>8997</v>
      </c>
      <c r="D763" s="192" t="s">
        <v>8846</v>
      </c>
      <c r="E763" s="193">
        <v>277</v>
      </c>
      <c r="F763" s="193">
        <v>6</v>
      </c>
      <c r="K763" s="176">
        <v>7</v>
      </c>
      <c r="M763" s="197">
        <v>2.95</v>
      </c>
      <c r="N763" s="198">
        <v>41822</v>
      </c>
      <c r="S763" s="176">
        <f>(AE763*BS763)/100</f>
        <v>9.7060643060643095</v>
      </c>
      <c r="T763" s="198"/>
      <c r="U763" s="176">
        <v>16.2</v>
      </c>
      <c r="Y763" s="200">
        <f>(AE763*BU763)/100</f>
        <v>3.1413037579704253</v>
      </c>
      <c r="Z763" s="198"/>
      <c r="AA763" s="200"/>
      <c r="AB763" s="198"/>
      <c r="AC763" s="378">
        <f t="shared" si="11"/>
        <v>17.117283950617288</v>
      </c>
      <c r="AE763" s="176">
        <f>(M763/U763)*((100-CC763)/(100-9))*100</f>
        <v>18.810202143535481</v>
      </c>
      <c r="AF763" s="198">
        <v>41822</v>
      </c>
      <c r="AG763" s="176">
        <v>4.5999999999999996</v>
      </c>
      <c r="AH763" s="196">
        <v>41927</v>
      </c>
      <c r="AI763" s="176">
        <v>140</v>
      </c>
      <c r="AM763" s="176">
        <v>77</v>
      </c>
      <c r="BG763" s="201">
        <v>2</v>
      </c>
      <c r="BI763" s="201">
        <v>4.3</v>
      </c>
      <c r="BK763" s="201">
        <v>1.6</v>
      </c>
      <c r="BM763" s="201">
        <v>65.2</v>
      </c>
      <c r="BO763" s="201">
        <v>19.5</v>
      </c>
      <c r="BQ763" s="201">
        <v>9.3000000000000007</v>
      </c>
      <c r="BS763" s="201">
        <v>51.6</v>
      </c>
      <c r="BU763" s="201">
        <v>16.7</v>
      </c>
      <c r="BW763" s="201">
        <v>19.8</v>
      </c>
      <c r="BY763" s="178">
        <v>6.7000000000000028</v>
      </c>
      <c r="CC763" s="201">
        <v>6</v>
      </c>
      <c r="CD763" s="198">
        <v>41822</v>
      </c>
      <c r="CI763" s="174" t="s">
        <v>9369</v>
      </c>
      <c r="CL763" s="174">
        <v>1</v>
      </c>
    </row>
    <row r="764" spans="1:91">
      <c r="A764" s="191" t="s">
        <v>7621</v>
      </c>
      <c r="B764" s="192" t="s">
        <v>271</v>
      </c>
      <c r="C764" s="192" t="s">
        <v>8999</v>
      </c>
      <c r="D764" s="192" t="s">
        <v>8180</v>
      </c>
      <c r="E764" s="193">
        <v>277</v>
      </c>
      <c r="F764" s="193">
        <v>7</v>
      </c>
      <c r="I764" s="184"/>
      <c r="K764" s="176">
        <v>9</v>
      </c>
      <c r="M764" s="197">
        <v>3.4</v>
      </c>
      <c r="N764" s="198">
        <v>41822</v>
      </c>
      <c r="O764" s="179"/>
      <c r="S764" s="176">
        <f>(AE764*BS764)/100</f>
        <v>10.622981956315291</v>
      </c>
      <c r="T764" s="198"/>
      <c r="U764" s="176">
        <v>16.2</v>
      </c>
      <c r="Y764" s="200">
        <f>(AE764*BU764)/100</f>
        <v>4.2708723375390045</v>
      </c>
      <c r="Z764" s="198"/>
      <c r="AA764" s="200"/>
      <c r="AB764" s="198"/>
      <c r="AC764" s="378">
        <f t="shared" si="11"/>
        <v>19.728395061728396</v>
      </c>
      <c r="AE764" s="176">
        <f>(M764/U764)*((100-CC764)/(100-9))*100</f>
        <v>21.679555012888351</v>
      </c>
      <c r="AF764" s="198">
        <v>41822</v>
      </c>
      <c r="AG764" s="176">
        <v>4.2</v>
      </c>
      <c r="AH764" s="196">
        <v>41927</v>
      </c>
      <c r="AI764" s="176">
        <v>160</v>
      </c>
      <c r="AM764" s="176">
        <v>94</v>
      </c>
      <c r="BG764" s="201">
        <v>51.2</v>
      </c>
      <c r="BI764" s="201">
        <v>4.4000000000000004</v>
      </c>
      <c r="BK764" s="201">
        <v>0.8</v>
      </c>
      <c r="BM764" s="201">
        <v>24.1</v>
      </c>
      <c r="BO764" s="201">
        <v>16.5</v>
      </c>
      <c r="BQ764" s="201">
        <v>8.1</v>
      </c>
      <c r="BS764" s="201">
        <v>49</v>
      </c>
      <c r="BU764" s="201">
        <v>19.7</v>
      </c>
      <c r="BW764" s="201">
        <v>54.7</v>
      </c>
      <c r="BY764" s="178">
        <v>5.7999999999999972</v>
      </c>
      <c r="CC764" s="201">
        <v>6</v>
      </c>
      <c r="CD764" s="198">
        <v>41822</v>
      </c>
      <c r="CI764" s="174" t="s">
        <v>9370</v>
      </c>
      <c r="CL764" s="174">
        <v>8</v>
      </c>
    </row>
    <row r="765" spans="1:91">
      <c r="A765" s="191" t="s">
        <v>7714</v>
      </c>
      <c r="B765" s="192" t="s">
        <v>271</v>
      </c>
      <c r="C765" s="192" t="s">
        <v>8999</v>
      </c>
      <c r="D765" s="192" t="s">
        <v>8552</v>
      </c>
      <c r="E765" s="193">
        <v>277</v>
      </c>
      <c r="F765" s="193">
        <v>8</v>
      </c>
      <c r="K765" s="176">
        <v>8</v>
      </c>
      <c r="M765" s="197">
        <v>5.25</v>
      </c>
      <c r="N765" s="198">
        <v>41822</v>
      </c>
      <c r="S765" s="176">
        <f>(AE765*BS765)/100</f>
        <v>16.369658119658123</v>
      </c>
      <c r="T765" s="198"/>
      <c r="U765" s="176">
        <v>16.2</v>
      </c>
      <c r="Y765" s="200">
        <f>(AE765*BU765)/100</f>
        <v>5.7243589743589753</v>
      </c>
      <c r="Z765" s="198"/>
      <c r="AA765" s="200"/>
      <c r="AB765" s="198"/>
      <c r="AC765" s="378">
        <f t="shared" si="11"/>
        <v>30.462962962962962</v>
      </c>
      <c r="AE765" s="176">
        <f>(M765/U765)*((100-CC765)/(100-9))*100</f>
        <v>33.47578347578348</v>
      </c>
      <c r="AF765" s="198">
        <v>41822</v>
      </c>
      <c r="AG765" s="176">
        <v>4.5</v>
      </c>
      <c r="AH765" s="196">
        <v>41927</v>
      </c>
      <c r="AI765" s="176">
        <v>135</v>
      </c>
      <c r="AM765" s="176">
        <v>86</v>
      </c>
      <c r="BG765" s="201">
        <v>0</v>
      </c>
      <c r="BI765" s="201">
        <v>4.7</v>
      </c>
      <c r="BK765" s="201">
        <v>1.7</v>
      </c>
      <c r="BM765" s="201">
        <v>62.5</v>
      </c>
      <c r="BO765" s="201">
        <v>21.7</v>
      </c>
      <c r="BQ765" s="201">
        <v>8.3000000000000007</v>
      </c>
      <c r="BS765" s="201">
        <v>48.9</v>
      </c>
      <c r="BU765" s="201">
        <v>17.100000000000001</v>
      </c>
      <c r="BW765" s="201">
        <v>10.3</v>
      </c>
      <c r="BY765" s="178">
        <v>6.0999999999999943</v>
      </c>
      <c r="CC765" s="201">
        <v>6</v>
      </c>
      <c r="CD765" s="198">
        <v>41822</v>
      </c>
      <c r="CI765" s="174" t="s">
        <v>9353</v>
      </c>
      <c r="CL765" s="174">
        <v>1</v>
      </c>
    </row>
    <row r="766" spans="1:91">
      <c r="A766" s="191" t="s">
        <v>7799</v>
      </c>
      <c r="B766" s="192" t="s">
        <v>271</v>
      </c>
      <c r="C766" s="192" t="s">
        <v>8999</v>
      </c>
      <c r="D766" s="192" t="s">
        <v>8892</v>
      </c>
      <c r="E766" s="193">
        <v>277</v>
      </c>
      <c r="F766" s="193">
        <v>9</v>
      </c>
      <c r="K766" s="176">
        <v>6</v>
      </c>
      <c r="M766" s="197">
        <v>5.85</v>
      </c>
      <c r="N766" s="198">
        <v>41822</v>
      </c>
      <c r="S766" s="176">
        <f>(AE766*BS766)/100</f>
        <v>18.917460317460318</v>
      </c>
      <c r="T766" s="198"/>
      <c r="U766" s="176">
        <v>16.2</v>
      </c>
      <c r="Y766" s="200">
        <f>(AE766*BU766)/100</f>
        <v>6.1434920634920642</v>
      </c>
      <c r="Z766" s="198"/>
      <c r="AA766" s="200"/>
      <c r="AB766" s="198"/>
      <c r="AC766" s="378">
        <f t="shared" si="11"/>
        <v>34.088888888888889</v>
      </c>
      <c r="AE766" s="176">
        <f>(M766/U766)*((100-CC766)/(100-9))*100</f>
        <v>37.460317460317462</v>
      </c>
      <c r="AF766" s="198">
        <v>41822</v>
      </c>
      <c r="AG766" s="176">
        <v>4.4000000000000004</v>
      </c>
      <c r="AH766" s="196">
        <v>41927</v>
      </c>
      <c r="AI766" s="176">
        <v>160</v>
      </c>
      <c r="AM766" s="176">
        <v>86</v>
      </c>
      <c r="BG766" s="201">
        <v>0</v>
      </c>
      <c r="BI766" s="201">
        <v>4.7</v>
      </c>
      <c r="BK766" s="201">
        <v>1.6</v>
      </c>
      <c r="BM766" s="201">
        <v>65.099999999999994</v>
      </c>
      <c r="BO766" s="201">
        <v>20.9</v>
      </c>
      <c r="BQ766" s="201">
        <v>7.7</v>
      </c>
      <c r="BS766" s="201">
        <v>50.5</v>
      </c>
      <c r="BU766" s="201">
        <v>16.399999999999999</v>
      </c>
      <c r="BW766" s="201">
        <v>8.6999999999999993</v>
      </c>
      <c r="BY766" s="178">
        <v>5.9000000000000057</v>
      </c>
      <c r="CC766" s="201">
        <v>5.6</v>
      </c>
      <c r="CD766" s="198">
        <v>41822</v>
      </c>
      <c r="CI766" s="174" t="s">
        <v>9355</v>
      </c>
      <c r="CL766" s="174">
        <v>1</v>
      </c>
    </row>
    <row r="767" spans="1:91">
      <c r="A767" s="191" t="s">
        <v>7897</v>
      </c>
      <c r="B767" s="192" t="s">
        <v>271</v>
      </c>
      <c r="C767" s="192" t="s">
        <v>8999</v>
      </c>
      <c r="D767" s="192" t="s">
        <v>8964</v>
      </c>
      <c r="E767" s="193">
        <v>277</v>
      </c>
      <c r="F767" s="193">
        <v>10</v>
      </c>
      <c r="K767" s="176">
        <v>8</v>
      </c>
      <c r="M767" s="197">
        <v>4.5</v>
      </c>
      <c r="N767" s="198">
        <v>41822</v>
      </c>
      <c r="S767" s="176">
        <f>(AE767*BS767)/100</f>
        <v>14.448199023199022</v>
      </c>
      <c r="T767" s="198"/>
      <c r="U767" s="176">
        <v>16.2</v>
      </c>
      <c r="Y767" s="200">
        <f>(AE767*BU767)/100</f>
        <v>5.1128815628815625</v>
      </c>
      <c r="Z767" s="198"/>
      <c r="AA767" s="200"/>
      <c r="AB767" s="198"/>
      <c r="AC767" s="378">
        <f t="shared" si="11"/>
        <v>26.138888888888889</v>
      </c>
      <c r="AE767" s="176">
        <f>(M767/U767)*((100-CC767)/(100-9))*100</f>
        <v>28.724053724053721</v>
      </c>
      <c r="AF767" s="198">
        <v>41822</v>
      </c>
      <c r="AG767" s="176">
        <v>4.5</v>
      </c>
      <c r="AH767" s="196">
        <v>41927</v>
      </c>
      <c r="AI767" s="176">
        <v>135</v>
      </c>
      <c r="AM767" s="176">
        <v>78</v>
      </c>
      <c r="BG767" s="201">
        <v>0</v>
      </c>
      <c r="BI767" s="201">
        <v>4.5</v>
      </c>
      <c r="BK767" s="201">
        <v>1.5</v>
      </c>
      <c r="BM767" s="201">
        <v>65.900000000000006</v>
      </c>
      <c r="BO767" s="201">
        <v>19.8</v>
      </c>
      <c r="BQ767" s="201">
        <v>9</v>
      </c>
      <c r="BS767" s="201">
        <v>50.3</v>
      </c>
      <c r="BU767" s="201">
        <v>17.8</v>
      </c>
      <c r="BW767" s="201">
        <v>19.100000000000001</v>
      </c>
      <c r="BY767" s="178">
        <v>6.2999999999999972</v>
      </c>
      <c r="CC767" s="201">
        <v>5.9</v>
      </c>
      <c r="CD767" s="198">
        <v>41822</v>
      </c>
      <c r="CI767" s="174" t="s">
        <v>9401</v>
      </c>
      <c r="CL767" s="174" t="s">
        <v>9001</v>
      </c>
    </row>
    <row r="768" spans="1:91">
      <c r="A768" s="191" t="s">
        <v>7652</v>
      </c>
      <c r="B768" s="192" t="s">
        <v>271</v>
      </c>
      <c r="C768" s="192" t="s">
        <v>8999</v>
      </c>
      <c r="D768" s="192" t="s">
        <v>8304</v>
      </c>
      <c r="E768" s="193">
        <v>277</v>
      </c>
      <c r="F768" s="193">
        <v>11</v>
      </c>
      <c r="K768" s="176">
        <v>8</v>
      </c>
      <c r="M768" s="197">
        <v>1.9</v>
      </c>
      <c r="N768" s="198">
        <v>41822</v>
      </c>
      <c r="S768" s="176">
        <f>(AE768*BS768)/100</f>
        <v>5.7973199023199014</v>
      </c>
      <c r="T768" s="198"/>
      <c r="U768" s="176">
        <v>16.2</v>
      </c>
      <c r="Y768" s="200">
        <f>(AE768*BU768)/100</f>
        <v>2.4064346764346762</v>
      </c>
      <c r="Z768" s="198"/>
      <c r="AA768" s="200"/>
      <c r="AB768" s="198"/>
      <c r="AC768" s="378">
        <f t="shared" si="11"/>
        <v>11.059876543209876</v>
      </c>
      <c r="AE768" s="176">
        <f>(M768/U768)*((100-CC768)/(100-9))*100</f>
        <v>12.153710487043819</v>
      </c>
      <c r="AF768" s="198">
        <v>41822</v>
      </c>
      <c r="AG768" s="176">
        <v>4.5999999999999996</v>
      </c>
      <c r="AH768" s="196">
        <v>41927</v>
      </c>
      <c r="AI768" s="176">
        <v>135</v>
      </c>
      <c r="AM768" s="176">
        <v>86</v>
      </c>
      <c r="BG768" s="201">
        <v>6.1</v>
      </c>
      <c r="BI768" s="201">
        <v>4.7</v>
      </c>
      <c r="BK768" s="201">
        <v>1.4</v>
      </c>
      <c r="BM768" s="201">
        <v>64.099999999999994</v>
      </c>
      <c r="BO768" s="201">
        <v>19.5</v>
      </c>
      <c r="BQ768" s="201">
        <v>9.8000000000000007</v>
      </c>
      <c r="BS768" s="201">
        <v>47.7</v>
      </c>
      <c r="BU768" s="201">
        <v>19.8</v>
      </c>
      <c r="BW768" s="201">
        <v>67.900000000000006</v>
      </c>
      <c r="BY768" s="178">
        <v>6</v>
      </c>
      <c r="CC768" s="201">
        <v>5.7</v>
      </c>
      <c r="CD768" s="198">
        <v>41822</v>
      </c>
      <c r="CI768" s="174" t="s">
        <v>9373</v>
      </c>
      <c r="CL768" s="174">
        <v>8</v>
      </c>
    </row>
    <row r="769" spans="1:91">
      <c r="A769" s="191" t="s">
        <v>7775</v>
      </c>
      <c r="B769" s="192" t="s">
        <v>271</v>
      </c>
      <c r="C769" s="192" t="s">
        <v>8999</v>
      </c>
      <c r="D769" s="192" t="s">
        <v>8796</v>
      </c>
      <c r="E769" s="193">
        <v>277</v>
      </c>
      <c r="F769" s="193">
        <v>12</v>
      </c>
      <c r="K769" s="176">
        <v>6</v>
      </c>
      <c r="M769" s="197">
        <v>5.8</v>
      </c>
      <c r="N769" s="198">
        <v>41822</v>
      </c>
      <c r="S769" s="176">
        <f>(AE769*BS769)/100</f>
        <v>18.13922262922263</v>
      </c>
      <c r="T769" s="198"/>
      <c r="U769" s="176">
        <v>16.2</v>
      </c>
      <c r="Y769" s="200">
        <f>(AE769*BU769)/100</f>
        <v>6.6867602767602774</v>
      </c>
      <c r="Z769" s="198"/>
      <c r="AA769" s="200"/>
      <c r="AB769" s="198"/>
      <c r="AC769" s="378">
        <f t="shared" si="11"/>
        <v>33.61851851851852</v>
      </c>
      <c r="AE769" s="176">
        <f>(M769/U769)*((100-CC769)/(100-9))*100</f>
        <v>36.943426943426942</v>
      </c>
      <c r="AF769" s="198">
        <v>41822</v>
      </c>
      <c r="AG769" s="176">
        <v>5.0999999999999996</v>
      </c>
      <c r="AH769" s="196">
        <v>41927</v>
      </c>
      <c r="AI769" s="176">
        <v>150</v>
      </c>
      <c r="AM769" s="176">
        <v>84</v>
      </c>
      <c r="BG769" s="201">
        <v>0</v>
      </c>
      <c r="BI769" s="201">
        <v>4.4000000000000004</v>
      </c>
      <c r="BK769" s="201">
        <v>1.6</v>
      </c>
      <c r="BM769" s="201">
        <v>60.7</v>
      </c>
      <c r="BO769" s="201">
        <v>20.399999999999999</v>
      </c>
      <c r="BQ769" s="201">
        <v>9.6999999999999993</v>
      </c>
      <c r="BS769" s="201">
        <v>49.1</v>
      </c>
      <c r="BU769" s="201">
        <v>18.100000000000001</v>
      </c>
      <c r="BW769" s="201">
        <v>9.3000000000000007</v>
      </c>
      <c r="BY769" s="178">
        <v>6.5</v>
      </c>
      <c r="CC769" s="201">
        <v>6.1</v>
      </c>
      <c r="CD769" s="198">
        <v>41822</v>
      </c>
      <c r="CI769" s="174" t="s">
        <v>9352</v>
      </c>
      <c r="CL769" s="174">
        <v>1</v>
      </c>
    </row>
    <row r="770" spans="1:91">
      <c r="A770" s="191" t="s">
        <v>7692</v>
      </c>
      <c r="B770" s="192" t="s">
        <v>269</v>
      </c>
      <c r="C770" s="192" t="s">
        <v>8997</v>
      </c>
      <c r="D770" s="192" t="s">
        <v>8462</v>
      </c>
      <c r="E770" s="193">
        <v>278</v>
      </c>
      <c r="F770" s="193">
        <v>1</v>
      </c>
      <c r="K770" s="176">
        <v>6</v>
      </c>
      <c r="M770" s="197">
        <v>2.95</v>
      </c>
      <c r="N770" s="198">
        <v>41822</v>
      </c>
      <c r="S770" s="176">
        <f>(AE770*BS770)/100</f>
        <v>9.1605684439017789</v>
      </c>
      <c r="T770" s="198"/>
      <c r="U770" s="176">
        <v>16.2</v>
      </c>
      <c r="Y770" s="200">
        <f>(AE770*BU770)/100</f>
        <v>3.3858363858363867</v>
      </c>
      <c r="Z770" s="198"/>
      <c r="AA770" s="200"/>
      <c r="AB770" s="198"/>
      <c r="AC770" s="378">
        <f t="shared" si="11"/>
        <v>17.117283950617288</v>
      </c>
      <c r="AE770" s="176">
        <f>(M770/U770)*((100-CC770)/(100-9))*100</f>
        <v>18.810202143535481</v>
      </c>
      <c r="AF770" s="198">
        <v>41822</v>
      </c>
      <c r="AG770" s="176">
        <v>4.2</v>
      </c>
      <c r="AH770" s="196">
        <v>41927</v>
      </c>
      <c r="AI770" s="176">
        <v>120</v>
      </c>
      <c r="AM770" s="176">
        <v>86</v>
      </c>
      <c r="BG770" s="201">
        <v>0</v>
      </c>
      <c r="BI770" s="201">
        <v>4.5999999999999996</v>
      </c>
      <c r="BK770" s="201">
        <v>1.7</v>
      </c>
      <c r="BM770" s="201">
        <v>65.099999999999994</v>
      </c>
      <c r="BO770" s="201">
        <v>20.2</v>
      </c>
      <c r="BQ770" s="201">
        <v>8.1</v>
      </c>
      <c r="BS770" s="201">
        <v>48.7</v>
      </c>
      <c r="BU770" s="201">
        <v>18</v>
      </c>
      <c r="BW770" s="201">
        <v>16.2</v>
      </c>
      <c r="BY770" s="178">
        <v>6.7999999999999972</v>
      </c>
      <c r="CC770" s="201">
        <v>6</v>
      </c>
      <c r="CD770" s="198">
        <v>41822</v>
      </c>
      <c r="CI770" s="174" t="s">
        <v>9340</v>
      </c>
      <c r="CL770" s="174">
        <v>3</v>
      </c>
    </row>
    <row r="771" spans="1:91">
      <c r="A771" s="191" t="s">
        <v>7814</v>
      </c>
      <c r="B771" s="192" t="s">
        <v>269</v>
      </c>
      <c r="C771" s="192" t="s">
        <v>8997</v>
      </c>
      <c r="D771" s="192" t="s">
        <v>8950</v>
      </c>
      <c r="E771" s="193">
        <v>278</v>
      </c>
      <c r="F771" s="193">
        <v>2</v>
      </c>
      <c r="K771" s="176">
        <v>7</v>
      </c>
      <c r="M771" s="197">
        <v>2.8</v>
      </c>
      <c r="N771" s="198">
        <v>41822</v>
      </c>
      <c r="S771" s="176">
        <f>(AE771*BS771)/100</f>
        <v>9.0941500474833816</v>
      </c>
      <c r="T771" s="198"/>
      <c r="U771" s="176">
        <v>16.2</v>
      </c>
      <c r="Y771" s="200">
        <f>(AE771*BU771)/100</f>
        <v>2.7940930674264006</v>
      </c>
      <c r="Z771" s="198"/>
      <c r="AA771" s="200"/>
      <c r="AB771" s="198"/>
      <c r="AC771" s="378">
        <f t="shared" ref="AC771:AC834" si="12">(M771/16.2)*(100-CC771)</f>
        <v>16.195061728395061</v>
      </c>
      <c r="AE771" s="176">
        <f>(M771/U771)*((100-CC771)/(100-9))*100</f>
        <v>17.796771130104464</v>
      </c>
      <c r="AF771" s="198">
        <v>41822</v>
      </c>
      <c r="AG771" s="176">
        <v>4.0999999999999996</v>
      </c>
      <c r="AH771" s="196">
        <v>41927</v>
      </c>
      <c r="AI771" s="176">
        <v>125</v>
      </c>
      <c r="AM771" s="176">
        <v>86</v>
      </c>
      <c r="BG771" s="201">
        <v>0.4</v>
      </c>
      <c r="BI771" s="201">
        <v>4.7</v>
      </c>
      <c r="BK771" s="201">
        <v>1.7</v>
      </c>
      <c r="BM771" s="201">
        <v>64.599999999999994</v>
      </c>
      <c r="BO771" s="201">
        <v>20.2</v>
      </c>
      <c r="BQ771" s="201">
        <v>8.5</v>
      </c>
      <c r="BS771" s="201">
        <v>51.1</v>
      </c>
      <c r="BU771" s="201">
        <v>15.7</v>
      </c>
      <c r="BW771" s="201">
        <v>11.2</v>
      </c>
      <c r="BY771" s="178">
        <v>6.5</v>
      </c>
      <c r="CC771" s="201">
        <v>6.3</v>
      </c>
      <c r="CD771" s="198">
        <v>41822</v>
      </c>
      <c r="CI771" s="174" t="s">
        <v>9354</v>
      </c>
      <c r="CL771" s="174">
        <v>1</v>
      </c>
    </row>
    <row r="772" spans="1:91">
      <c r="A772" s="191" t="s">
        <v>7767</v>
      </c>
      <c r="B772" s="192" t="s">
        <v>269</v>
      </c>
      <c r="C772" s="192" t="s">
        <v>8997</v>
      </c>
      <c r="D772" s="192" t="s">
        <v>8762</v>
      </c>
      <c r="E772" s="193">
        <v>278</v>
      </c>
      <c r="F772" s="193">
        <v>3</v>
      </c>
      <c r="K772" s="176">
        <v>5</v>
      </c>
      <c r="M772" s="197">
        <v>3.8</v>
      </c>
      <c r="N772" s="198">
        <v>41822</v>
      </c>
      <c r="S772" s="176">
        <f>(AE772*BS772)/100</f>
        <v>12.282697056030386</v>
      </c>
      <c r="T772" s="198"/>
      <c r="U772" s="176">
        <v>16.2</v>
      </c>
      <c r="Y772" s="200">
        <f>(AE772*BU772)/100</f>
        <v>4.231244064577397</v>
      </c>
      <c r="Z772" s="198"/>
      <c r="AA772" s="200"/>
      <c r="AB772" s="198"/>
      <c r="AC772" s="378">
        <f t="shared" si="12"/>
        <v>22.002469135802468</v>
      </c>
      <c r="AE772" s="176">
        <f>(M772/U772)*((100-CC772)/(100-9))*100</f>
        <v>24.178537511870839</v>
      </c>
      <c r="AF772" s="198">
        <v>41822</v>
      </c>
      <c r="AG772" s="176">
        <v>4.4000000000000004</v>
      </c>
      <c r="AH772" s="196">
        <v>41927</v>
      </c>
      <c r="AI772" s="176">
        <v>135</v>
      </c>
      <c r="AM772" s="176">
        <v>78</v>
      </c>
      <c r="BG772" s="201">
        <v>0</v>
      </c>
      <c r="BI772" s="201">
        <v>4.5</v>
      </c>
      <c r="BK772" s="201">
        <v>1.6</v>
      </c>
      <c r="BM772" s="201">
        <v>64.8</v>
      </c>
      <c r="BO772" s="201">
        <v>19.7</v>
      </c>
      <c r="BQ772" s="201">
        <v>8.5</v>
      </c>
      <c r="BS772" s="201">
        <v>50.8</v>
      </c>
      <c r="BU772" s="201">
        <v>17.5</v>
      </c>
      <c r="BW772" s="201">
        <v>10.7</v>
      </c>
      <c r="BY772" s="178">
        <v>6.7000000000000028</v>
      </c>
      <c r="CC772" s="201">
        <v>6.2</v>
      </c>
      <c r="CD772" s="198">
        <v>41822</v>
      </c>
      <c r="CI772" s="174" t="s">
        <v>9379</v>
      </c>
      <c r="CL772" s="174">
        <v>1</v>
      </c>
    </row>
    <row r="773" spans="1:91">
      <c r="A773" s="202" t="s">
        <v>7639</v>
      </c>
      <c r="B773" s="203" t="s">
        <v>269</v>
      </c>
      <c r="C773" s="203" t="s">
        <v>8997</v>
      </c>
      <c r="D773" s="203" t="s">
        <v>8250</v>
      </c>
      <c r="E773" s="204">
        <v>278</v>
      </c>
      <c r="F773" s="204">
        <v>4</v>
      </c>
      <c r="G773" s="204"/>
      <c r="H773" s="204"/>
      <c r="I773" s="206"/>
      <c r="J773" s="206"/>
      <c r="K773" s="177">
        <v>7</v>
      </c>
      <c r="L773" s="207"/>
      <c r="M773" s="208">
        <v>0.85</v>
      </c>
      <c r="N773" s="209">
        <v>41822</v>
      </c>
      <c r="O773" s="183"/>
      <c r="P773" s="210"/>
      <c r="Q773" s="183"/>
      <c r="R773" s="210"/>
      <c r="S773" s="177">
        <f>(AE773*BS773)/100</f>
        <v>2.637035341202008</v>
      </c>
      <c r="T773" s="209"/>
      <c r="U773" s="177">
        <v>16.2</v>
      </c>
      <c r="V773" s="210"/>
      <c r="W773" s="183"/>
      <c r="X773" s="210"/>
      <c r="Y773" s="213">
        <f>(AE773*BU773)/100</f>
        <v>1.0276282051282051</v>
      </c>
      <c r="Z773" s="209"/>
      <c r="AA773" s="213"/>
      <c r="AB773" s="209"/>
      <c r="AC773" s="378">
        <f t="shared" si="12"/>
        <v>4.9478395061728397</v>
      </c>
      <c r="AD773" s="207"/>
      <c r="AE773" s="177">
        <f>(M773/U773)*((100-CC773)/(100-9))*100</f>
        <v>5.4371862705196037</v>
      </c>
      <c r="AF773" s="209">
        <v>41822</v>
      </c>
      <c r="AG773" s="177">
        <v>4</v>
      </c>
      <c r="AH773" s="207">
        <v>41927</v>
      </c>
      <c r="AI773" s="177">
        <v>50</v>
      </c>
      <c r="AJ773" s="207"/>
      <c r="AK773" s="183"/>
      <c r="AL773" s="210"/>
      <c r="AM773" s="177">
        <v>74</v>
      </c>
      <c r="AN773" s="210"/>
      <c r="AO773" s="183"/>
      <c r="AP773" s="183"/>
      <c r="AQ773" s="183"/>
      <c r="AR773" s="183"/>
      <c r="AS773" s="183"/>
      <c r="AT773" s="183"/>
      <c r="AU773" s="183"/>
      <c r="AV773" s="183"/>
      <c r="AW773" s="183"/>
      <c r="AX773" s="183"/>
      <c r="AY773" s="183"/>
      <c r="AZ773" s="183"/>
      <c r="BA773" s="183"/>
      <c r="BB773" s="183"/>
      <c r="BC773" s="183"/>
      <c r="BD773" s="183"/>
      <c r="BE773" s="182"/>
      <c r="BF773" s="182"/>
      <c r="BG773" s="211">
        <v>38</v>
      </c>
      <c r="BH773" s="181"/>
      <c r="BI773" s="211">
        <v>4.5</v>
      </c>
      <c r="BJ773" s="181"/>
      <c r="BK773" s="211">
        <v>1</v>
      </c>
      <c r="BL773" s="181"/>
      <c r="BM773" s="211">
        <v>36.700000000000003</v>
      </c>
      <c r="BN773" s="181"/>
      <c r="BO773" s="211">
        <v>17.8</v>
      </c>
      <c r="BP773" s="181"/>
      <c r="BQ773" s="211">
        <v>10.1</v>
      </c>
      <c r="BR773" s="181"/>
      <c r="BS773" s="211">
        <v>48.5</v>
      </c>
      <c r="BT773" s="181"/>
      <c r="BU773" s="211">
        <v>18.899999999999999</v>
      </c>
      <c r="BV773" s="181"/>
      <c r="BW773" s="211">
        <v>53</v>
      </c>
      <c r="BX773" s="181"/>
      <c r="BY773" s="181">
        <v>6.2999999999999972</v>
      </c>
      <c r="BZ773" s="181"/>
      <c r="CA773" s="182"/>
      <c r="CB773" s="182"/>
      <c r="CC773" s="211">
        <v>5.7</v>
      </c>
      <c r="CD773" s="209">
        <v>41822</v>
      </c>
      <c r="CE773" s="181"/>
      <c r="CF773" s="181"/>
      <c r="CG773" s="182"/>
      <c r="CH773" s="182"/>
      <c r="CI773" s="175" t="s">
        <v>9351</v>
      </c>
      <c r="CJ773" s="181"/>
      <c r="CK773" s="181"/>
      <c r="CL773" s="175">
        <v>8</v>
      </c>
      <c r="CM773" s="175"/>
    </row>
    <row r="774" spans="1:91" s="181" customFormat="1">
      <c r="A774" s="191" t="s">
        <v>7718</v>
      </c>
      <c r="B774" s="192" t="s">
        <v>269</v>
      </c>
      <c r="C774" s="192" t="s">
        <v>8997</v>
      </c>
      <c r="D774" s="192" t="s">
        <v>8566</v>
      </c>
      <c r="E774" s="193">
        <v>278</v>
      </c>
      <c r="F774" s="193">
        <v>5</v>
      </c>
      <c r="G774" s="193"/>
      <c r="H774" s="193"/>
      <c r="I774" s="195"/>
      <c r="J774" s="195"/>
      <c r="K774" s="176">
        <v>7</v>
      </c>
      <c r="L774" s="196"/>
      <c r="M774" s="197">
        <v>3.35</v>
      </c>
      <c r="N774" s="198">
        <v>41822</v>
      </c>
      <c r="O774" s="180"/>
      <c r="P774" s="199"/>
      <c r="Q774" s="180"/>
      <c r="R774" s="199"/>
      <c r="S774" s="176">
        <f>(AE774*BS774)/100</f>
        <v>11.223795278795283</v>
      </c>
      <c r="T774" s="198"/>
      <c r="U774" s="176">
        <v>16.2</v>
      </c>
      <c r="V774" s="199"/>
      <c r="W774" s="180"/>
      <c r="X774" s="199"/>
      <c r="Y774" s="200">
        <f>(AE774*BU774)/100</f>
        <v>3.3073921448921459</v>
      </c>
      <c r="Z774" s="198"/>
      <c r="AA774" s="200"/>
      <c r="AB774" s="198"/>
      <c r="AC774" s="378">
        <f t="shared" si="12"/>
        <v>19.417592592592595</v>
      </c>
      <c r="AD774" s="196"/>
      <c r="AE774" s="176">
        <f>(M774/U774)*((100-CC774)/(100-9))*100</f>
        <v>21.338013838013843</v>
      </c>
      <c r="AF774" s="198">
        <v>41822</v>
      </c>
      <c r="AG774" s="176">
        <v>4.5999999999999996</v>
      </c>
      <c r="AH774" s="196">
        <v>41927</v>
      </c>
      <c r="AI774" s="176">
        <v>150</v>
      </c>
      <c r="AJ774" s="196"/>
      <c r="AK774" s="180"/>
      <c r="AL774" s="199"/>
      <c r="AM774" s="176">
        <v>77</v>
      </c>
      <c r="AN774" s="199"/>
      <c r="AO774" s="180"/>
      <c r="AP774" s="180"/>
      <c r="AQ774" s="180"/>
      <c r="AR774" s="180"/>
      <c r="AS774" s="180"/>
      <c r="AT774" s="180"/>
      <c r="AU774" s="180"/>
      <c r="AV774" s="180"/>
      <c r="AW774" s="180"/>
      <c r="AX774" s="180"/>
      <c r="AY774" s="180"/>
      <c r="AZ774" s="180"/>
      <c r="BA774" s="180"/>
      <c r="BB774" s="180"/>
      <c r="BC774" s="180"/>
      <c r="BD774" s="180"/>
      <c r="BE774" s="179"/>
      <c r="BF774" s="179"/>
      <c r="BG774" s="201">
        <v>5.7</v>
      </c>
      <c r="BH774" s="178"/>
      <c r="BI774" s="201">
        <v>4.5999999999999996</v>
      </c>
      <c r="BJ774" s="178"/>
      <c r="BK774" s="201">
        <v>1.5</v>
      </c>
      <c r="BL774" s="178"/>
      <c r="BM774" s="201">
        <v>63.8</v>
      </c>
      <c r="BN774" s="178"/>
      <c r="BO774" s="201">
        <v>21.1</v>
      </c>
      <c r="BP774" s="178"/>
      <c r="BQ774" s="201">
        <v>9.5</v>
      </c>
      <c r="BR774" s="178"/>
      <c r="BS774" s="201">
        <v>52.6</v>
      </c>
      <c r="BT774" s="178"/>
      <c r="BU774" s="201">
        <v>15.5</v>
      </c>
      <c r="BV774" s="178"/>
      <c r="BW774" s="201">
        <v>14.1</v>
      </c>
      <c r="BX774" s="178"/>
      <c r="BY774" s="178">
        <v>6.0999999999999943</v>
      </c>
      <c r="BZ774" s="178"/>
      <c r="CA774" s="179"/>
      <c r="CB774" s="179"/>
      <c r="CC774" s="201">
        <v>6.1</v>
      </c>
      <c r="CD774" s="198">
        <v>41822</v>
      </c>
      <c r="CE774" s="178"/>
      <c r="CF774" s="178"/>
      <c r="CG774" s="179"/>
      <c r="CH774" s="179"/>
      <c r="CI774" s="174" t="s">
        <v>9381</v>
      </c>
      <c r="CJ774" s="178"/>
      <c r="CK774" s="178"/>
      <c r="CL774" s="174">
        <v>1</v>
      </c>
      <c r="CM774" s="174"/>
    </row>
    <row r="775" spans="1:91" s="181" customFormat="1">
      <c r="A775" s="191" t="s">
        <v>7801</v>
      </c>
      <c r="B775" s="192" t="s">
        <v>269</v>
      </c>
      <c r="C775" s="192" t="s">
        <v>8997</v>
      </c>
      <c r="D775" s="192" t="s">
        <v>8898</v>
      </c>
      <c r="E775" s="193">
        <v>278</v>
      </c>
      <c r="F775" s="193">
        <v>6</v>
      </c>
      <c r="G775" s="193"/>
      <c r="H775" s="193"/>
      <c r="I775" s="195"/>
      <c r="J775" s="195"/>
      <c r="K775" s="176">
        <v>7</v>
      </c>
      <c r="L775" s="196"/>
      <c r="M775" s="197">
        <v>4.3499999999999996</v>
      </c>
      <c r="N775" s="198">
        <v>41822</v>
      </c>
      <c r="O775" s="180"/>
      <c r="P775" s="199"/>
      <c r="Q775" s="180"/>
      <c r="R775" s="199"/>
      <c r="S775" s="176">
        <f>(AE775*BS775)/100</f>
        <v>14.281880341880337</v>
      </c>
      <c r="T775" s="198"/>
      <c r="U775" s="176">
        <v>16.2</v>
      </c>
      <c r="V775" s="199"/>
      <c r="W775" s="180"/>
      <c r="X775" s="199"/>
      <c r="Y775" s="200">
        <f>(AE775*BU775)/100</f>
        <v>4.234743589743589</v>
      </c>
      <c r="Z775" s="198"/>
      <c r="AA775" s="200"/>
      <c r="AB775" s="198"/>
      <c r="AC775" s="378">
        <f t="shared" si="12"/>
        <v>25.187037037037033</v>
      </c>
      <c r="AD775" s="196"/>
      <c r="AE775" s="176">
        <f>(M775/U775)*((100-CC775)/(100-9))*100</f>
        <v>27.67806267806267</v>
      </c>
      <c r="AF775" s="198">
        <v>41822</v>
      </c>
      <c r="AG775" s="176">
        <v>4.7</v>
      </c>
      <c r="AH775" s="196">
        <v>41927</v>
      </c>
      <c r="AI775" s="176">
        <v>130</v>
      </c>
      <c r="AJ775" s="196"/>
      <c r="AK775" s="180"/>
      <c r="AL775" s="199"/>
      <c r="AM775" s="176">
        <v>78</v>
      </c>
      <c r="AN775" s="199"/>
      <c r="AO775" s="180"/>
      <c r="AP775" s="180"/>
      <c r="AQ775" s="180"/>
      <c r="AR775" s="180"/>
      <c r="AS775" s="180"/>
      <c r="AT775" s="180"/>
      <c r="AU775" s="180"/>
      <c r="AV775" s="180"/>
      <c r="AW775" s="180"/>
      <c r="AX775" s="180"/>
      <c r="AY775" s="180"/>
      <c r="AZ775" s="180"/>
      <c r="BA775" s="180"/>
      <c r="BB775" s="180"/>
      <c r="BC775" s="180"/>
      <c r="BD775" s="180"/>
      <c r="BE775" s="179"/>
      <c r="BF775" s="179"/>
      <c r="BG775" s="201">
        <v>0</v>
      </c>
      <c r="BH775" s="178"/>
      <c r="BI775" s="201">
        <v>4.9000000000000004</v>
      </c>
      <c r="BJ775" s="178"/>
      <c r="BK775" s="201">
        <v>1.7</v>
      </c>
      <c r="BL775" s="178"/>
      <c r="BM775" s="201">
        <v>65.099999999999994</v>
      </c>
      <c r="BN775" s="178"/>
      <c r="BO775" s="201">
        <v>21.3</v>
      </c>
      <c r="BP775" s="178"/>
      <c r="BQ775" s="201">
        <v>7</v>
      </c>
      <c r="BR775" s="178"/>
      <c r="BS775" s="201">
        <v>51.6</v>
      </c>
      <c r="BT775" s="178"/>
      <c r="BU775" s="201">
        <v>15.3</v>
      </c>
      <c r="BV775" s="178"/>
      <c r="BW775" s="201">
        <v>4.9000000000000004</v>
      </c>
      <c r="BX775" s="178"/>
      <c r="BY775" s="178">
        <v>6.7000000000000028</v>
      </c>
      <c r="BZ775" s="178"/>
      <c r="CA775" s="179"/>
      <c r="CB775" s="179"/>
      <c r="CC775" s="201">
        <v>6.2</v>
      </c>
      <c r="CD775" s="198">
        <v>41822</v>
      </c>
      <c r="CE775" s="178"/>
      <c r="CF775" s="178"/>
      <c r="CG775" s="179"/>
      <c r="CH775" s="179"/>
      <c r="CI775" s="174" t="s">
        <v>9381</v>
      </c>
      <c r="CJ775" s="178"/>
      <c r="CK775" s="178"/>
      <c r="CL775" s="174">
        <v>1</v>
      </c>
      <c r="CM775" s="174"/>
    </row>
    <row r="776" spans="1:91" s="181" customFormat="1">
      <c r="A776" s="191" t="s">
        <v>7794</v>
      </c>
      <c r="B776" s="192" t="s">
        <v>271</v>
      </c>
      <c r="C776" s="192" t="s">
        <v>8999</v>
      </c>
      <c r="D776" s="192" t="s">
        <v>8872</v>
      </c>
      <c r="E776" s="193">
        <v>278</v>
      </c>
      <c r="F776" s="193">
        <v>7</v>
      </c>
      <c r="G776" s="193"/>
      <c r="H776" s="193"/>
      <c r="I776" s="195"/>
      <c r="J776" s="195"/>
      <c r="K776" s="176">
        <v>7</v>
      </c>
      <c r="L776" s="196"/>
      <c r="M776" s="197">
        <v>4.3</v>
      </c>
      <c r="N776" s="198">
        <v>41822</v>
      </c>
      <c r="O776" s="180"/>
      <c r="P776" s="199"/>
      <c r="Q776" s="180"/>
      <c r="R776" s="199"/>
      <c r="S776" s="176">
        <f>(AE776*BS776)/100</f>
        <v>13.597882241215576</v>
      </c>
      <c r="T776" s="198"/>
      <c r="U776" s="176">
        <v>16.2</v>
      </c>
      <c r="V776" s="199"/>
      <c r="W776" s="180"/>
      <c r="X776" s="199"/>
      <c r="Y776" s="200">
        <f>(AE776*BU776)/100</f>
        <v>4.6785470085470093</v>
      </c>
      <c r="Z776" s="198"/>
      <c r="AA776" s="200"/>
      <c r="AB776" s="198"/>
      <c r="AC776" s="378">
        <f t="shared" si="12"/>
        <v>24.897530864197531</v>
      </c>
      <c r="AD776" s="196"/>
      <c r="AE776" s="176">
        <f>(M776/U776)*((100-CC776)/(100-9))*100</f>
        <v>27.359924026590694</v>
      </c>
      <c r="AF776" s="198">
        <v>41822</v>
      </c>
      <c r="AG776" s="176">
        <v>4.7</v>
      </c>
      <c r="AH776" s="196">
        <v>41927</v>
      </c>
      <c r="AI776" s="176">
        <v>140</v>
      </c>
      <c r="AJ776" s="196"/>
      <c r="AK776" s="180"/>
      <c r="AL776" s="199"/>
      <c r="AM776" s="176">
        <v>88</v>
      </c>
      <c r="AN776" s="199"/>
      <c r="AO776" s="180"/>
      <c r="AP776" s="180"/>
      <c r="AQ776" s="180"/>
      <c r="AR776" s="180"/>
      <c r="AS776" s="180"/>
      <c r="AT776" s="180"/>
      <c r="AU776" s="180"/>
      <c r="AV776" s="180"/>
      <c r="AW776" s="180"/>
      <c r="AX776" s="180"/>
      <c r="AY776" s="180"/>
      <c r="AZ776" s="180"/>
      <c r="BA776" s="180"/>
      <c r="BB776" s="180"/>
      <c r="BC776" s="180"/>
      <c r="BD776" s="180"/>
      <c r="BE776" s="179"/>
      <c r="BF776" s="179"/>
      <c r="BG776" s="201">
        <v>0</v>
      </c>
      <c r="BH776" s="178"/>
      <c r="BI776" s="201">
        <v>4.8</v>
      </c>
      <c r="BJ776" s="178"/>
      <c r="BK776" s="201">
        <v>1.6</v>
      </c>
      <c r="BL776" s="178"/>
      <c r="BM776" s="201">
        <v>64.7</v>
      </c>
      <c r="BN776" s="178"/>
      <c r="BO776" s="201">
        <v>21.5</v>
      </c>
      <c r="BP776" s="178"/>
      <c r="BQ776" s="201">
        <v>7.3</v>
      </c>
      <c r="BR776" s="178"/>
      <c r="BS776" s="201">
        <v>49.7</v>
      </c>
      <c r="BT776" s="178"/>
      <c r="BU776" s="201">
        <v>17.100000000000001</v>
      </c>
      <c r="BV776" s="178"/>
      <c r="BW776" s="201">
        <v>11.5</v>
      </c>
      <c r="BX776" s="178"/>
      <c r="BY776" s="178">
        <v>6.2999999999999972</v>
      </c>
      <c r="BZ776" s="178"/>
      <c r="CA776" s="179"/>
      <c r="CB776" s="179"/>
      <c r="CC776" s="201">
        <v>6.2</v>
      </c>
      <c r="CD776" s="198">
        <v>41822</v>
      </c>
      <c r="CE776" s="178"/>
      <c r="CF776" s="178"/>
      <c r="CG776" s="179"/>
      <c r="CH776" s="179"/>
      <c r="CI776" s="174" t="s">
        <v>9386</v>
      </c>
      <c r="CJ776" s="178"/>
      <c r="CK776" s="178"/>
      <c r="CL776" s="174">
        <v>1</v>
      </c>
      <c r="CM776" s="174"/>
    </row>
    <row r="777" spans="1:91" s="181" customFormat="1">
      <c r="A777" s="191" t="s">
        <v>7687</v>
      </c>
      <c r="B777" s="192" t="s">
        <v>271</v>
      </c>
      <c r="C777" s="192" t="s">
        <v>8999</v>
      </c>
      <c r="D777" s="192" t="s">
        <v>8444</v>
      </c>
      <c r="E777" s="193">
        <v>278</v>
      </c>
      <c r="F777" s="193">
        <v>8</v>
      </c>
      <c r="G777" s="193"/>
      <c r="H777" s="193"/>
      <c r="I777" s="195"/>
      <c r="J777" s="195"/>
      <c r="K777" s="176">
        <v>7</v>
      </c>
      <c r="L777" s="196"/>
      <c r="M777" s="197">
        <v>5.0999999999999996</v>
      </c>
      <c r="N777" s="198">
        <v>41822</v>
      </c>
      <c r="O777" s="180"/>
      <c r="P777" s="199"/>
      <c r="Q777" s="180"/>
      <c r="R777" s="199"/>
      <c r="S777" s="176">
        <f>(AE777*BS777)/100</f>
        <v>17.092991452991452</v>
      </c>
      <c r="T777" s="198"/>
      <c r="U777" s="176">
        <v>16.2</v>
      </c>
      <c r="V777" s="199"/>
      <c r="W777" s="180"/>
      <c r="X777" s="199"/>
      <c r="Y777" s="200">
        <f>(AE777*BU777)/100</f>
        <v>5.2695156695156697</v>
      </c>
      <c r="Z777" s="198"/>
      <c r="AA777" s="200"/>
      <c r="AB777" s="198"/>
      <c r="AC777" s="378">
        <f t="shared" si="12"/>
        <v>29.970370370370372</v>
      </c>
      <c r="AD777" s="196"/>
      <c r="AE777" s="176">
        <f>(M777/U777)*((100-CC777)/(100-9))*100</f>
        <v>32.934472934472936</v>
      </c>
      <c r="AF777" s="198">
        <v>41822</v>
      </c>
      <c r="AG777" s="176">
        <v>4.4000000000000004</v>
      </c>
      <c r="AH777" s="196">
        <v>41927</v>
      </c>
      <c r="AI777" s="176">
        <v>145</v>
      </c>
      <c r="AJ777" s="196"/>
      <c r="AK777" s="180"/>
      <c r="AL777" s="199"/>
      <c r="AM777" s="176">
        <v>82</v>
      </c>
      <c r="AN777" s="199"/>
      <c r="AO777" s="180"/>
      <c r="AP777" s="180"/>
      <c r="AQ777" s="180"/>
      <c r="AR777" s="180"/>
      <c r="AS777" s="180"/>
      <c r="AT777" s="180"/>
      <c r="AU777" s="180"/>
      <c r="AV777" s="180"/>
      <c r="AW777" s="180"/>
      <c r="AX777" s="180"/>
      <c r="AY777" s="180"/>
      <c r="AZ777" s="180"/>
      <c r="BA777" s="180"/>
      <c r="BB777" s="180"/>
      <c r="BC777" s="180"/>
      <c r="BD777" s="180"/>
      <c r="BE777" s="179"/>
      <c r="BF777" s="179"/>
      <c r="BG777" s="201">
        <v>0</v>
      </c>
      <c r="BH777" s="178"/>
      <c r="BI777" s="201">
        <v>4.7</v>
      </c>
      <c r="BJ777" s="178"/>
      <c r="BK777" s="201">
        <v>1.5</v>
      </c>
      <c r="BL777" s="178"/>
      <c r="BM777" s="201">
        <v>65</v>
      </c>
      <c r="BN777" s="178"/>
      <c r="BO777" s="201">
        <v>21.9</v>
      </c>
      <c r="BP777" s="178"/>
      <c r="BQ777" s="201">
        <v>8.4</v>
      </c>
      <c r="BR777" s="178"/>
      <c r="BS777" s="201">
        <v>51.9</v>
      </c>
      <c r="BT777" s="178"/>
      <c r="BU777" s="201">
        <v>16</v>
      </c>
      <c r="BV777" s="178"/>
      <c r="BW777" s="201">
        <v>7.6</v>
      </c>
      <c r="BX777" s="178"/>
      <c r="BY777" s="178">
        <v>5.5999999999999943</v>
      </c>
      <c r="BZ777" s="178"/>
      <c r="CA777" s="179"/>
      <c r="CB777" s="179"/>
      <c r="CC777" s="201">
        <v>4.8</v>
      </c>
      <c r="CD777" s="198">
        <v>41822</v>
      </c>
      <c r="CE777" s="178"/>
      <c r="CF777" s="178"/>
      <c r="CG777" s="179"/>
      <c r="CH777" s="179"/>
      <c r="CI777" s="174" t="s">
        <v>9351</v>
      </c>
      <c r="CJ777" s="178"/>
      <c r="CK777" s="178"/>
      <c r="CL777" s="174">
        <v>3</v>
      </c>
      <c r="CM777" s="174"/>
    </row>
    <row r="778" spans="1:91">
      <c r="A778" s="202" t="s">
        <v>7639</v>
      </c>
      <c r="B778" s="203" t="s">
        <v>271</v>
      </c>
      <c r="C778" s="203" t="s">
        <v>8999</v>
      </c>
      <c r="D778" s="203" t="s">
        <v>8252</v>
      </c>
      <c r="E778" s="204">
        <v>278</v>
      </c>
      <c r="F778" s="204">
        <v>9</v>
      </c>
      <c r="G778" s="204"/>
      <c r="H778" s="204"/>
      <c r="I778" s="206"/>
      <c r="J778" s="206"/>
      <c r="K778" s="177">
        <v>8</v>
      </c>
      <c r="L778" s="207"/>
      <c r="M778" s="208">
        <v>2.4500000000000002</v>
      </c>
      <c r="N778" s="209">
        <v>41822</v>
      </c>
      <c r="O778" s="183"/>
      <c r="P778" s="210"/>
      <c r="Q778" s="183"/>
      <c r="R778" s="210"/>
      <c r="S778" s="177">
        <f>(AE778*BS778)/100</f>
        <v>7.4914957264957254</v>
      </c>
      <c r="T778" s="209"/>
      <c r="U778" s="177">
        <v>16.2</v>
      </c>
      <c r="V778" s="210"/>
      <c r="W778" s="183"/>
      <c r="X778" s="210"/>
      <c r="Y778" s="213">
        <f>(AE778*BU778)/100</f>
        <v>3.0661396011396005</v>
      </c>
      <c r="Z778" s="209"/>
      <c r="AA778" s="213"/>
      <c r="AB778" s="209"/>
      <c r="AC778" s="378">
        <f t="shared" si="12"/>
        <v>14.382407407407406</v>
      </c>
      <c r="AD778" s="207"/>
      <c r="AE778" s="177">
        <f>(M778/U778)*((100-CC778)/(100-9))*100</f>
        <v>15.804843304843303</v>
      </c>
      <c r="AF778" s="209">
        <v>41822</v>
      </c>
      <c r="AG778" s="177">
        <v>3.5</v>
      </c>
      <c r="AH778" s="207">
        <v>41927</v>
      </c>
      <c r="AI778" s="177">
        <v>90</v>
      </c>
      <c r="AJ778" s="207"/>
      <c r="AK778" s="183"/>
      <c r="AL778" s="210"/>
      <c r="AM778" s="177">
        <v>75</v>
      </c>
      <c r="AN778" s="210"/>
      <c r="AO778" s="183"/>
      <c r="AP778" s="183"/>
      <c r="AQ778" s="183"/>
      <c r="AR778" s="183"/>
      <c r="AS778" s="183"/>
      <c r="AT778" s="183"/>
      <c r="AU778" s="183"/>
      <c r="AV778" s="183"/>
      <c r="AW778" s="183"/>
      <c r="AX778" s="183"/>
      <c r="AY778" s="183"/>
      <c r="AZ778" s="183"/>
      <c r="BA778" s="183"/>
      <c r="BB778" s="183"/>
      <c r="BC778" s="183"/>
      <c r="BD778" s="183"/>
      <c r="BE778" s="182"/>
      <c r="BF778" s="182"/>
      <c r="BG778" s="211">
        <v>46.7</v>
      </c>
      <c r="BH778" s="181"/>
      <c r="BI778" s="211">
        <v>4.2</v>
      </c>
      <c r="BJ778" s="181"/>
      <c r="BK778" s="211">
        <v>0.9</v>
      </c>
      <c r="BL778" s="181"/>
      <c r="BM778" s="211">
        <v>31.3</v>
      </c>
      <c r="BN778" s="181"/>
      <c r="BO778" s="211">
        <v>16.399999999999999</v>
      </c>
      <c r="BP778" s="181"/>
      <c r="BQ778" s="211">
        <v>9.4</v>
      </c>
      <c r="BR778" s="181"/>
      <c r="BS778" s="211">
        <v>47.4</v>
      </c>
      <c r="BT778" s="181"/>
      <c r="BU778" s="211">
        <v>19.399999999999999</v>
      </c>
      <c r="BV778" s="181"/>
      <c r="BW778" s="211">
        <v>65.7</v>
      </c>
      <c r="BX778" s="181"/>
      <c r="BY778" s="181">
        <v>5.9000000000000057</v>
      </c>
      <c r="BZ778" s="181"/>
      <c r="CA778" s="182"/>
      <c r="CB778" s="182"/>
      <c r="CC778" s="211">
        <v>4.9000000000000004</v>
      </c>
      <c r="CD778" s="209">
        <v>41822</v>
      </c>
      <c r="CE778" s="181"/>
      <c r="CF778" s="181"/>
      <c r="CG778" s="182"/>
      <c r="CH778" s="182"/>
      <c r="CI778" s="175" t="s">
        <v>9349</v>
      </c>
      <c r="CJ778" s="181"/>
      <c r="CK778" s="181"/>
      <c r="CL778" s="175">
        <v>7</v>
      </c>
      <c r="CM778" s="175"/>
    </row>
    <row r="779" spans="1:91">
      <c r="A779" s="191" t="s">
        <v>7793</v>
      </c>
      <c r="B779" s="192" t="s">
        <v>271</v>
      </c>
      <c r="C779" s="192" t="s">
        <v>8999</v>
      </c>
      <c r="D779" s="192" t="s">
        <v>8868</v>
      </c>
      <c r="E779" s="193">
        <v>278</v>
      </c>
      <c r="F779" s="193">
        <v>10</v>
      </c>
      <c r="K779" s="176">
        <v>9</v>
      </c>
      <c r="M779" s="197">
        <v>6.7</v>
      </c>
      <c r="N779" s="198">
        <v>41822</v>
      </c>
      <c r="S779" s="176">
        <f>(AE779*BS779)/100</f>
        <v>21.970018993352323</v>
      </c>
      <c r="T779" s="198"/>
      <c r="U779" s="176">
        <v>16.2</v>
      </c>
      <c r="Y779" s="200">
        <f>(AE779*BU779)/100</f>
        <v>6.9650549450549439</v>
      </c>
      <c r="Z779" s="198"/>
      <c r="AA779" s="200"/>
      <c r="AB779" s="198"/>
      <c r="AC779" s="378">
        <f t="shared" si="12"/>
        <v>39.124691358024691</v>
      </c>
      <c r="AE779" s="176">
        <f>(M779/U779)*((100-CC779)/(100-9))*100</f>
        <v>42.994166327499656</v>
      </c>
      <c r="AF779" s="198">
        <v>41822</v>
      </c>
      <c r="AG779" s="176">
        <v>5.0999999999999996</v>
      </c>
      <c r="AH779" s="196">
        <v>41927</v>
      </c>
      <c r="AI779" s="176">
        <v>165</v>
      </c>
      <c r="AM779" s="176">
        <v>80</v>
      </c>
      <c r="BG779" s="201">
        <v>0</v>
      </c>
      <c r="BI779" s="201">
        <v>4.7</v>
      </c>
      <c r="BK779" s="201">
        <v>1.6</v>
      </c>
      <c r="BM779" s="201">
        <v>65</v>
      </c>
      <c r="BO779" s="201">
        <v>20.8</v>
      </c>
      <c r="BQ779" s="201">
        <v>7.7</v>
      </c>
      <c r="BS779" s="201">
        <v>51.1</v>
      </c>
      <c r="BU779" s="201">
        <v>16.2</v>
      </c>
      <c r="BW779" s="201">
        <v>13.5</v>
      </c>
      <c r="BY779" s="178">
        <v>5.7999999999999972</v>
      </c>
      <c r="CC779" s="201">
        <v>5.4</v>
      </c>
      <c r="CD779" s="198">
        <v>41822</v>
      </c>
      <c r="CI779" s="174" t="s">
        <v>9347</v>
      </c>
      <c r="CL779" s="174">
        <v>1</v>
      </c>
    </row>
    <row r="780" spans="1:91">
      <c r="A780" s="191" t="s">
        <v>7663</v>
      </c>
      <c r="B780" s="192" t="s">
        <v>271</v>
      </c>
      <c r="C780" s="192" t="s">
        <v>8999</v>
      </c>
      <c r="D780" s="192" t="s">
        <v>8348</v>
      </c>
      <c r="E780" s="193">
        <v>278</v>
      </c>
      <c r="F780" s="193">
        <v>11</v>
      </c>
      <c r="K780" s="176">
        <v>7</v>
      </c>
      <c r="M780" s="197">
        <v>5.5</v>
      </c>
      <c r="N780" s="198">
        <v>41822</v>
      </c>
      <c r="S780" s="176">
        <f>(AE780*BS780)/100</f>
        <v>17.151702618369285</v>
      </c>
      <c r="T780" s="198"/>
      <c r="U780" s="176">
        <v>16.2</v>
      </c>
      <c r="Y780" s="200">
        <f>(AE780*BU780)/100</f>
        <v>6.0224664224664233</v>
      </c>
      <c r="Z780" s="198"/>
      <c r="AA780" s="200"/>
      <c r="AB780" s="198"/>
      <c r="AC780" s="378">
        <f t="shared" si="12"/>
        <v>32.049382716049386</v>
      </c>
      <c r="AE780" s="176">
        <f>(M780/U780)*((100-CC780)/(100-9))*100</f>
        <v>35.219101885768552</v>
      </c>
      <c r="AF780" s="198">
        <v>41822</v>
      </c>
      <c r="AG780" s="176">
        <v>4.5999999999999996</v>
      </c>
      <c r="AH780" s="196">
        <v>41927</v>
      </c>
      <c r="AI780" s="176">
        <v>160</v>
      </c>
      <c r="AM780" s="176">
        <v>87</v>
      </c>
      <c r="BG780" s="201">
        <v>14.8</v>
      </c>
      <c r="BI780" s="201">
        <v>4.8</v>
      </c>
      <c r="BK780" s="201">
        <v>1.4</v>
      </c>
      <c r="BM780" s="201">
        <v>57.5</v>
      </c>
      <c r="BO780" s="201">
        <v>18.2</v>
      </c>
      <c r="BQ780" s="201">
        <v>9.6</v>
      </c>
      <c r="BS780" s="201">
        <v>48.7</v>
      </c>
      <c r="BU780" s="201">
        <v>17.100000000000001</v>
      </c>
      <c r="BW780" s="201">
        <v>29.4</v>
      </c>
      <c r="BY780" s="178">
        <v>6.5</v>
      </c>
      <c r="CC780" s="201">
        <v>5.6</v>
      </c>
      <c r="CD780" s="198">
        <v>41822</v>
      </c>
      <c r="CI780" s="174" t="s">
        <v>9358</v>
      </c>
      <c r="CL780" s="174">
        <v>5</v>
      </c>
    </row>
    <row r="781" spans="1:91">
      <c r="A781" s="191" t="s">
        <v>7678</v>
      </c>
      <c r="B781" s="192" t="s">
        <v>271</v>
      </c>
      <c r="C781" s="192" t="s">
        <v>8999</v>
      </c>
      <c r="D781" s="192" t="s">
        <v>8408</v>
      </c>
      <c r="E781" s="193">
        <v>278</v>
      </c>
      <c r="F781" s="193">
        <v>12</v>
      </c>
      <c r="K781" s="176">
        <v>6</v>
      </c>
      <c r="M781" s="197">
        <v>3.7</v>
      </c>
      <c r="N781" s="198">
        <v>41822</v>
      </c>
      <c r="S781" s="176">
        <f>(AE781*BS781)/100</f>
        <v>11.422262922262924</v>
      </c>
      <c r="T781" s="198"/>
      <c r="U781" s="176">
        <v>16.2</v>
      </c>
      <c r="Y781" s="200">
        <f>(AE781*BU781)/100</f>
        <v>4.1092287342287337</v>
      </c>
      <c r="Z781" s="198"/>
      <c r="AA781" s="200"/>
      <c r="AB781" s="198"/>
      <c r="AC781" s="378">
        <f t="shared" si="12"/>
        <v>21.126543209876544</v>
      </c>
      <c r="AE781" s="176">
        <f>(M781/U781)*((100-CC781)/(100-9))*100</f>
        <v>23.215981549314883</v>
      </c>
      <c r="AF781" s="198">
        <v>41822</v>
      </c>
      <c r="AG781" s="176">
        <v>4.8</v>
      </c>
      <c r="AH781" s="196">
        <v>41927</v>
      </c>
      <c r="AI781" s="176">
        <v>125</v>
      </c>
      <c r="AM781" s="176">
        <v>86</v>
      </c>
      <c r="BG781" s="201">
        <v>0</v>
      </c>
      <c r="BI781" s="201">
        <v>4.7</v>
      </c>
      <c r="BK781" s="201">
        <v>1.7</v>
      </c>
      <c r="BM781" s="201">
        <v>62.1</v>
      </c>
      <c r="BO781" s="201">
        <v>19.8</v>
      </c>
      <c r="BQ781" s="201">
        <v>9.5</v>
      </c>
      <c r="BS781" s="201">
        <v>49.2</v>
      </c>
      <c r="BU781" s="201">
        <v>17.7</v>
      </c>
      <c r="BW781" s="201">
        <v>16.600000000000001</v>
      </c>
      <c r="BY781" s="178">
        <v>6.2999999999999972</v>
      </c>
      <c r="CC781" s="201">
        <v>7.5</v>
      </c>
      <c r="CD781" s="198">
        <v>41822</v>
      </c>
      <c r="CI781" s="174" t="s">
        <v>9394</v>
      </c>
      <c r="CL781" s="174">
        <v>1</v>
      </c>
    </row>
    <row r="782" spans="1:91">
      <c r="A782" s="202" t="s">
        <v>7655</v>
      </c>
      <c r="B782" s="203" t="s">
        <v>269</v>
      </c>
      <c r="C782" s="203" t="s">
        <v>8997</v>
      </c>
      <c r="D782" s="203" t="s">
        <v>8314</v>
      </c>
      <c r="E782" s="204">
        <v>279</v>
      </c>
      <c r="F782" s="204">
        <v>1</v>
      </c>
      <c r="G782" s="204"/>
      <c r="H782" s="204"/>
      <c r="I782" s="206"/>
      <c r="J782" s="206"/>
      <c r="K782" s="177">
        <v>8</v>
      </c>
      <c r="L782" s="207"/>
      <c r="M782" s="208">
        <v>0.65</v>
      </c>
      <c r="N782" s="209">
        <v>41822</v>
      </c>
      <c r="O782" s="183"/>
      <c r="P782" s="210"/>
      <c r="Q782" s="183"/>
      <c r="R782" s="210"/>
      <c r="S782" s="177">
        <f>(AE782*BS782)/100</f>
        <v>1.882001763668431</v>
      </c>
      <c r="T782" s="209"/>
      <c r="U782" s="177">
        <v>16.2</v>
      </c>
      <c r="V782" s="210"/>
      <c r="W782" s="183"/>
      <c r="X782" s="210"/>
      <c r="Y782" s="213">
        <f>(AE782*BU782)/100</f>
        <v>0.88952380952380983</v>
      </c>
      <c r="Z782" s="209"/>
      <c r="AA782" s="213"/>
      <c r="AB782" s="209"/>
      <c r="AC782" s="378">
        <f t="shared" si="12"/>
        <v>3.7475308641975316</v>
      </c>
      <c r="AD782" s="207"/>
      <c r="AE782" s="177">
        <f>(M782/U782)*((100-CC782)/(100-9))*100</f>
        <v>4.1181657848324527</v>
      </c>
      <c r="AF782" s="209">
        <v>41822</v>
      </c>
      <c r="AG782" s="177">
        <v>4.5</v>
      </c>
      <c r="AH782" s="207">
        <v>41927</v>
      </c>
      <c r="AI782" s="177">
        <v>20</v>
      </c>
      <c r="AJ782" s="207"/>
      <c r="AK782" s="183"/>
      <c r="AL782" s="210"/>
      <c r="AM782" s="177">
        <v>88</v>
      </c>
      <c r="AN782" s="210"/>
      <c r="AO782" s="183"/>
      <c r="AP782" s="183"/>
      <c r="AQ782" s="183"/>
      <c r="AR782" s="183"/>
      <c r="AS782" s="183"/>
      <c r="AT782" s="183"/>
      <c r="AU782" s="183"/>
      <c r="AV782" s="183"/>
      <c r="AW782" s="183"/>
      <c r="AX782" s="183"/>
      <c r="AY782" s="183"/>
      <c r="AZ782" s="183"/>
      <c r="BA782" s="183"/>
      <c r="BB782" s="183"/>
      <c r="BC782" s="183"/>
      <c r="BD782" s="183"/>
      <c r="BE782" s="182"/>
      <c r="BF782" s="182"/>
      <c r="BG782" s="211">
        <v>0</v>
      </c>
      <c r="BH782" s="181"/>
      <c r="BI782" s="211">
        <v>4.0999999999999996</v>
      </c>
      <c r="BJ782" s="181"/>
      <c r="BK782" s="211">
        <v>1.6</v>
      </c>
      <c r="BL782" s="181"/>
      <c r="BM782" s="211">
        <v>61.6</v>
      </c>
      <c r="BN782" s="181"/>
      <c r="BO782" s="211">
        <v>19.100000000000001</v>
      </c>
      <c r="BP782" s="181"/>
      <c r="BQ782" s="211">
        <v>10</v>
      </c>
      <c r="BR782" s="181"/>
      <c r="BS782" s="211">
        <v>45.7</v>
      </c>
      <c r="BT782" s="181"/>
      <c r="BU782" s="211">
        <v>21.6</v>
      </c>
      <c r="BV782" s="181"/>
      <c r="BW782" s="211">
        <v>45.5</v>
      </c>
      <c r="BX782" s="181"/>
      <c r="BY782" s="181">
        <v>7.2999999999999972</v>
      </c>
      <c r="BZ782" s="181"/>
      <c r="CA782" s="182"/>
      <c r="CB782" s="182"/>
      <c r="CC782" s="211">
        <v>6.6</v>
      </c>
      <c r="CD782" s="209">
        <v>41822</v>
      </c>
      <c r="CE782" s="181"/>
      <c r="CF782" s="181"/>
      <c r="CG782" s="182"/>
      <c r="CH782" s="182"/>
      <c r="CI782" s="175" t="s">
        <v>9337</v>
      </c>
      <c r="CJ782" s="181"/>
      <c r="CK782" s="181"/>
      <c r="CL782" s="175">
        <v>9</v>
      </c>
      <c r="CM782" s="175"/>
    </row>
    <row r="783" spans="1:91">
      <c r="A783" s="191" t="s">
        <v>7633</v>
      </c>
      <c r="B783" s="192" t="s">
        <v>269</v>
      </c>
      <c r="C783" s="192" t="s">
        <v>8997</v>
      </c>
      <c r="D783" s="192" t="s">
        <v>8226</v>
      </c>
      <c r="E783" s="193">
        <v>279</v>
      </c>
      <c r="F783" s="193">
        <v>2</v>
      </c>
      <c r="K783" s="176">
        <v>7</v>
      </c>
      <c r="M783" s="197">
        <v>2.15</v>
      </c>
      <c r="N783" s="198">
        <v>41822</v>
      </c>
      <c r="S783" s="176">
        <f>(AE783*BS783)/100</f>
        <v>6.6003774928774934</v>
      </c>
      <c r="T783" s="198"/>
      <c r="U783" s="176">
        <v>16.2</v>
      </c>
      <c r="Y783" s="200">
        <f>(AE783*BU783)/100</f>
        <v>2.5554256545923213</v>
      </c>
      <c r="Z783" s="198"/>
      <c r="AA783" s="200"/>
      <c r="AB783" s="198"/>
      <c r="AC783" s="378">
        <f t="shared" si="12"/>
        <v>12.435493827160494</v>
      </c>
      <c r="AE783" s="176">
        <f>(M783/U783)*((100-CC783)/(100-9))*100</f>
        <v>13.6653778320445</v>
      </c>
      <c r="AF783" s="198">
        <v>41822</v>
      </c>
      <c r="AG783" s="176">
        <v>5</v>
      </c>
      <c r="AH783" s="196">
        <v>41927</v>
      </c>
      <c r="AI783" s="176">
        <v>130</v>
      </c>
      <c r="AM783" s="176">
        <v>87</v>
      </c>
      <c r="BG783" s="201">
        <v>33.6</v>
      </c>
      <c r="BI783" s="201">
        <v>4.4000000000000004</v>
      </c>
      <c r="BK783" s="201">
        <v>1</v>
      </c>
      <c r="BM783" s="201">
        <v>37.700000000000003</v>
      </c>
      <c r="BO783" s="201">
        <v>16.7</v>
      </c>
      <c r="BQ783" s="201">
        <v>10.4</v>
      </c>
      <c r="BS783" s="201">
        <v>48.3</v>
      </c>
      <c r="BU783" s="201">
        <v>18.7</v>
      </c>
      <c r="BW783" s="201">
        <v>67.7</v>
      </c>
      <c r="BY783" s="178">
        <v>7.0999999999999943</v>
      </c>
      <c r="CC783" s="201">
        <v>6.3</v>
      </c>
      <c r="CD783" s="198">
        <v>41822</v>
      </c>
      <c r="CI783" s="174" t="s">
        <v>9354</v>
      </c>
      <c r="CL783" s="174">
        <v>1</v>
      </c>
    </row>
    <row r="784" spans="1:91">
      <c r="A784" s="191" t="s">
        <v>7722</v>
      </c>
      <c r="B784" s="192" t="s">
        <v>269</v>
      </c>
      <c r="C784" s="192" t="s">
        <v>8997</v>
      </c>
      <c r="D784" s="192" t="s">
        <v>8582</v>
      </c>
      <c r="E784" s="193">
        <v>279</v>
      </c>
      <c r="F784" s="193">
        <v>3</v>
      </c>
      <c r="K784" s="176">
        <v>5</v>
      </c>
      <c r="M784" s="197">
        <v>2</v>
      </c>
      <c r="N784" s="198">
        <v>41822</v>
      </c>
      <c r="S784" s="176">
        <f>(AE784*BS784)/100</f>
        <v>6.7135124135124133</v>
      </c>
      <c r="T784" s="198"/>
      <c r="U784" s="176">
        <v>16.2</v>
      </c>
      <c r="Y784" s="200">
        <f>(AE784*BU784)/100</f>
        <v>2.0000407000406999</v>
      </c>
      <c r="Z784" s="198"/>
      <c r="AA784" s="200"/>
      <c r="AB784" s="198"/>
      <c r="AC784" s="378">
        <f t="shared" si="12"/>
        <v>11.592592592592593</v>
      </c>
      <c r="AE784" s="176">
        <f>(M784/U784)*((100-CC784)/(100-9))*100</f>
        <v>12.739112739112739</v>
      </c>
      <c r="AF784" s="198">
        <v>41822</v>
      </c>
      <c r="AG784" s="176">
        <v>4.4000000000000004</v>
      </c>
      <c r="AH784" s="196">
        <v>41927</v>
      </c>
      <c r="AI784" s="176">
        <v>120</v>
      </c>
      <c r="AM784" s="176">
        <v>77</v>
      </c>
      <c r="BG784" s="201">
        <v>0</v>
      </c>
      <c r="BI784" s="201">
        <v>4.8</v>
      </c>
      <c r="BK784" s="201">
        <v>1.7</v>
      </c>
      <c r="BM784" s="201">
        <v>65.5</v>
      </c>
      <c r="BO784" s="201">
        <v>21.5</v>
      </c>
      <c r="BQ784" s="201">
        <v>7.3</v>
      </c>
      <c r="BS784" s="201">
        <v>52.7</v>
      </c>
      <c r="BU784" s="201">
        <v>15.7</v>
      </c>
      <c r="BW784" s="201">
        <v>11.9</v>
      </c>
      <c r="BY784" s="178">
        <v>6.2999999999999972</v>
      </c>
      <c r="CC784" s="201">
        <v>6.1</v>
      </c>
      <c r="CD784" s="198">
        <v>41822</v>
      </c>
      <c r="CI784" s="174" t="s">
        <v>9372</v>
      </c>
      <c r="CL784" s="174">
        <v>1</v>
      </c>
    </row>
    <row r="785" spans="1:90">
      <c r="A785" s="191" t="s">
        <v>7787</v>
      </c>
      <c r="B785" s="192" t="s">
        <v>269</v>
      </c>
      <c r="C785" s="192" t="s">
        <v>8997</v>
      </c>
      <c r="D785" s="192" t="s">
        <v>8842</v>
      </c>
      <c r="E785" s="193">
        <v>279</v>
      </c>
      <c r="F785" s="193">
        <v>4</v>
      </c>
      <c r="K785" s="176">
        <v>7</v>
      </c>
      <c r="M785" s="197">
        <v>4.75</v>
      </c>
      <c r="N785" s="198">
        <v>41822</v>
      </c>
      <c r="S785" s="176">
        <f>(AE785*BS785)/100</f>
        <v>15.472008547008546</v>
      </c>
      <c r="T785" s="198"/>
      <c r="U785" s="176">
        <v>16.2</v>
      </c>
      <c r="Y785" s="200">
        <f>(AE785*BU785)/100</f>
        <v>5.197161172161171</v>
      </c>
      <c r="Z785" s="198"/>
      <c r="AA785" s="200"/>
      <c r="AB785" s="198"/>
      <c r="AC785" s="378">
        <f t="shared" si="12"/>
        <v>27.180555555555557</v>
      </c>
      <c r="AE785" s="176">
        <f>(M785/U785)*((100-CC785)/(100-9))*100</f>
        <v>29.868742368742367</v>
      </c>
      <c r="AF785" s="198">
        <v>41822</v>
      </c>
      <c r="AG785" s="176">
        <v>5.6</v>
      </c>
      <c r="AH785" s="196">
        <v>41927</v>
      </c>
      <c r="AI785" s="176">
        <v>150</v>
      </c>
      <c r="AM785" s="176">
        <v>80</v>
      </c>
      <c r="BG785" s="201">
        <v>2.5</v>
      </c>
      <c r="BI785" s="201">
        <v>4.3</v>
      </c>
      <c r="BK785" s="201">
        <v>1.6</v>
      </c>
      <c r="BM785" s="201">
        <v>63.9</v>
      </c>
      <c r="BO785" s="201">
        <v>18.399999999999999</v>
      </c>
      <c r="BQ785" s="201">
        <v>9.5</v>
      </c>
      <c r="BS785" s="201">
        <v>51.8</v>
      </c>
      <c r="BU785" s="201">
        <v>17.399999999999999</v>
      </c>
      <c r="BW785" s="201">
        <v>11.1</v>
      </c>
      <c r="BY785" s="178">
        <v>7</v>
      </c>
      <c r="CC785" s="201">
        <v>7.3</v>
      </c>
      <c r="CD785" s="198">
        <v>41822</v>
      </c>
      <c r="CI785" s="174" t="s">
        <v>9377</v>
      </c>
      <c r="CL785" s="174">
        <v>2</v>
      </c>
    </row>
    <row r="786" spans="1:90">
      <c r="A786" s="191" t="s">
        <v>7711</v>
      </c>
      <c r="B786" s="192" t="s">
        <v>269</v>
      </c>
      <c r="C786" s="192" t="s">
        <v>8997</v>
      </c>
      <c r="D786" s="192" t="s">
        <v>8538</v>
      </c>
      <c r="E786" s="193">
        <v>279</v>
      </c>
      <c r="F786" s="193">
        <v>5</v>
      </c>
      <c r="K786" s="176">
        <v>7</v>
      </c>
      <c r="M786" s="197">
        <v>2.6</v>
      </c>
      <c r="N786" s="198">
        <v>41822</v>
      </c>
      <c r="S786" s="176">
        <f>(AE786*BS786)/100</f>
        <v>8.3632275132275158</v>
      </c>
      <c r="T786" s="198"/>
      <c r="U786" s="176">
        <v>16.2</v>
      </c>
      <c r="Y786" s="200">
        <f>(AE786*BU786)/100</f>
        <v>3.0140740740740743</v>
      </c>
      <c r="Z786" s="198"/>
      <c r="AA786" s="200"/>
      <c r="AB786" s="198"/>
      <c r="AC786" s="378">
        <f t="shared" si="12"/>
        <v>15.070370370370373</v>
      </c>
      <c r="AE786" s="176">
        <f>(M786/U786)*((100-CC786)/(100-9))*100</f>
        <v>16.560846560846564</v>
      </c>
      <c r="AF786" s="198">
        <v>41822</v>
      </c>
      <c r="AG786" s="176">
        <v>5.2</v>
      </c>
      <c r="AH786" s="196">
        <v>41927</v>
      </c>
      <c r="AI786" s="176">
        <v>120</v>
      </c>
      <c r="AM786" s="176">
        <v>78</v>
      </c>
      <c r="BG786" s="201">
        <v>0</v>
      </c>
      <c r="BI786" s="201">
        <v>4.7</v>
      </c>
      <c r="BK786" s="201">
        <v>1.6</v>
      </c>
      <c r="BM786" s="201">
        <v>62.3</v>
      </c>
      <c r="BO786" s="201">
        <v>21.6</v>
      </c>
      <c r="BQ786" s="201">
        <v>8.1</v>
      </c>
      <c r="BS786" s="201">
        <v>50.5</v>
      </c>
      <c r="BU786" s="201">
        <v>18.2</v>
      </c>
      <c r="BW786" s="201">
        <v>9.3000000000000007</v>
      </c>
      <c r="BY786" s="178">
        <v>6.2999999999999972</v>
      </c>
      <c r="CC786" s="201">
        <v>6.1</v>
      </c>
      <c r="CD786" s="198">
        <v>41822</v>
      </c>
      <c r="CI786" s="174" t="s">
        <v>9347</v>
      </c>
      <c r="CL786" s="174">
        <v>3</v>
      </c>
    </row>
    <row r="787" spans="1:90">
      <c r="A787" s="191" t="s">
        <v>7659</v>
      </c>
      <c r="B787" s="192" t="s">
        <v>269</v>
      </c>
      <c r="C787" s="192" t="s">
        <v>8997</v>
      </c>
      <c r="D787" s="192" t="s">
        <v>8330</v>
      </c>
      <c r="E787" s="193">
        <v>279</v>
      </c>
      <c r="F787" s="193">
        <v>6</v>
      </c>
      <c r="K787" s="176">
        <v>6</v>
      </c>
      <c r="M787" s="197">
        <v>2.2000000000000002</v>
      </c>
      <c r="N787" s="198">
        <v>41822</v>
      </c>
      <c r="S787" s="176">
        <f>(AE787*BS787)/100</f>
        <v>6.810792294125628</v>
      </c>
      <c r="T787" s="198"/>
      <c r="U787" s="176">
        <v>16.2</v>
      </c>
      <c r="Y787" s="200">
        <f>(AE787*BU787)/100</f>
        <v>2.6681454348121014</v>
      </c>
      <c r="Z787" s="198"/>
      <c r="AA787" s="200"/>
      <c r="AB787" s="198"/>
      <c r="AC787" s="378">
        <f t="shared" si="12"/>
        <v>12.779012345679014</v>
      </c>
      <c r="AE787" s="176">
        <f>(M787/U787)*((100-CC787)/(100-9))*100</f>
        <v>14.042870709537377</v>
      </c>
      <c r="AF787" s="198">
        <v>41822</v>
      </c>
      <c r="AG787" s="176">
        <v>5.6</v>
      </c>
      <c r="AH787" s="196">
        <v>41927</v>
      </c>
      <c r="AI787" s="176">
        <v>130</v>
      </c>
      <c r="AM787" s="176">
        <v>76</v>
      </c>
      <c r="BG787" s="201">
        <v>0</v>
      </c>
      <c r="BI787" s="201">
        <v>4.7</v>
      </c>
      <c r="BK787" s="201">
        <v>1.6</v>
      </c>
      <c r="BM787" s="201">
        <v>59.3</v>
      </c>
      <c r="BO787" s="201">
        <v>21.3</v>
      </c>
      <c r="BQ787" s="201">
        <v>10.199999999999999</v>
      </c>
      <c r="BS787" s="201">
        <v>48.5</v>
      </c>
      <c r="BU787" s="201">
        <v>19</v>
      </c>
      <c r="BW787" s="201">
        <v>20.5</v>
      </c>
      <c r="BY787" s="178">
        <v>6.0999999999999943</v>
      </c>
      <c r="CC787" s="201">
        <v>5.9</v>
      </c>
      <c r="CD787" s="198">
        <v>41822</v>
      </c>
      <c r="CI787" s="174" t="s">
        <v>9350</v>
      </c>
      <c r="CL787" s="174">
        <v>3</v>
      </c>
    </row>
    <row r="788" spans="1:90">
      <c r="A788" s="191" t="s">
        <v>7790</v>
      </c>
      <c r="B788" s="192" t="s">
        <v>271</v>
      </c>
      <c r="C788" s="192" t="s">
        <v>8999</v>
      </c>
      <c r="D788" s="192" t="s">
        <v>8856</v>
      </c>
      <c r="E788" s="193">
        <v>279</v>
      </c>
      <c r="F788" s="193">
        <v>7</v>
      </c>
      <c r="K788" s="176">
        <v>8</v>
      </c>
      <c r="M788" s="197">
        <v>6.6</v>
      </c>
      <c r="N788" s="198">
        <v>41822</v>
      </c>
      <c r="S788" s="176">
        <f>(AE788*BS788)/100</f>
        <v>21.168172568172569</v>
      </c>
      <c r="T788" s="198"/>
      <c r="U788" s="176">
        <v>16.2</v>
      </c>
      <c r="Y788" s="200">
        <f>(AE788*BU788)/100</f>
        <v>7.2805046805046807</v>
      </c>
      <c r="Z788" s="198"/>
      <c r="AA788" s="200"/>
      <c r="AB788" s="198"/>
      <c r="AC788" s="378">
        <f t="shared" si="12"/>
        <v>38.296296296296298</v>
      </c>
      <c r="AE788" s="176">
        <f>(M788/U788)*((100-CC788)/(100-9))*100</f>
        <v>42.083842083842086</v>
      </c>
      <c r="AF788" s="198">
        <v>41822</v>
      </c>
      <c r="AG788" s="176">
        <v>4.7</v>
      </c>
      <c r="AH788" s="196">
        <v>41927</v>
      </c>
      <c r="AI788" s="176">
        <v>155</v>
      </c>
      <c r="AM788" s="176">
        <v>85</v>
      </c>
      <c r="BG788" s="201">
        <v>2</v>
      </c>
      <c r="BI788" s="201">
        <v>4.5</v>
      </c>
      <c r="BK788" s="201">
        <v>1.6</v>
      </c>
      <c r="BM788" s="201">
        <v>65.7</v>
      </c>
      <c r="BO788" s="201">
        <v>20.3</v>
      </c>
      <c r="BQ788" s="201">
        <v>8</v>
      </c>
      <c r="BS788" s="201">
        <v>50.3</v>
      </c>
      <c r="BU788" s="201">
        <v>17.3</v>
      </c>
      <c r="BW788" s="201">
        <v>14.9</v>
      </c>
      <c r="BY788" s="178">
        <v>6.5999999999999943</v>
      </c>
      <c r="CC788" s="201">
        <v>6</v>
      </c>
      <c r="CD788" s="198">
        <v>41822</v>
      </c>
      <c r="CI788" s="174" t="s">
        <v>9382</v>
      </c>
      <c r="CL788" s="174">
        <v>1</v>
      </c>
    </row>
    <row r="789" spans="1:90">
      <c r="A789" s="191" t="s">
        <v>7640</v>
      </c>
      <c r="B789" s="192" t="s">
        <v>271</v>
      </c>
      <c r="C789" s="192" t="s">
        <v>8999</v>
      </c>
      <c r="D789" s="192" t="s">
        <v>8256</v>
      </c>
      <c r="E789" s="193">
        <v>279</v>
      </c>
      <c r="F789" s="193">
        <v>8</v>
      </c>
      <c r="K789" s="176">
        <v>7</v>
      </c>
      <c r="M789" s="197">
        <v>4.95</v>
      </c>
      <c r="N789" s="198">
        <v>41822</v>
      </c>
      <c r="S789" s="176">
        <f>(AE789*BS789)/100</f>
        <v>16.75324175824176</v>
      </c>
      <c r="T789" s="198"/>
      <c r="U789" s="176">
        <v>16.2</v>
      </c>
      <c r="Y789" s="200">
        <f>(AE789*BU789)/100</f>
        <v>5.4776373626373642</v>
      </c>
      <c r="Z789" s="198"/>
      <c r="AA789" s="200"/>
      <c r="AB789" s="198"/>
      <c r="AC789" s="378">
        <f t="shared" si="12"/>
        <v>29.150000000000006</v>
      </c>
      <c r="AE789" s="176">
        <f>(M789/U789)*((100-CC789)/(100-9))*100</f>
        <v>32.032967032967036</v>
      </c>
      <c r="AF789" s="198">
        <v>41822</v>
      </c>
      <c r="AG789" s="176">
        <v>5.0999999999999996</v>
      </c>
      <c r="AH789" s="196">
        <v>41927</v>
      </c>
      <c r="AI789" s="176">
        <v>150</v>
      </c>
      <c r="AM789" s="176">
        <v>84</v>
      </c>
      <c r="BG789" s="201">
        <v>42.6</v>
      </c>
      <c r="BI789" s="201">
        <v>4</v>
      </c>
      <c r="BK789" s="201">
        <v>1.1000000000000001</v>
      </c>
      <c r="BM789" s="201">
        <v>31.2</v>
      </c>
      <c r="BO789" s="201">
        <v>17.3</v>
      </c>
      <c r="BQ789" s="201">
        <v>6.4</v>
      </c>
      <c r="BS789" s="201">
        <v>52.3</v>
      </c>
      <c r="BU789" s="201">
        <v>17.100000000000001</v>
      </c>
      <c r="BW789" s="201">
        <v>11.1</v>
      </c>
      <c r="BY789" s="178">
        <v>5.4000000000000057</v>
      </c>
      <c r="CC789" s="201">
        <v>4.5999999999999996</v>
      </c>
      <c r="CD789" s="198">
        <v>41822</v>
      </c>
      <c r="CI789" s="174" t="s">
        <v>9368</v>
      </c>
      <c r="CL789" s="174">
        <v>3</v>
      </c>
    </row>
    <row r="790" spans="1:90">
      <c r="A790" s="191" t="s">
        <v>7801</v>
      </c>
      <c r="B790" s="192" t="s">
        <v>271</v>
      </c>
      <c r="C790" s="192" t="s">
        <v>8999</v>
      </c>
      <c r="D790" s="192" t="s">
        <v>8900</v>
      </c>
      <c r="E790" s="193">
        <v>279</v>
      </c>
      <c r="F790" s="193">
        <v>9</v>
      </c>
      <c r="K790" s="176">
        <v>7</v>
      </c>
      <c r="M790" s="197">
        <v>6</v>
      </c>
      <c r="N790" s="198">
        <v>41822</v>
      </c>
      <c r="S790" s="176">
        <f>(AE790*BS790)/100</f>
        <v>18.883028083028083</v>
      </c>
      <c r="T790" s="198"/>
      <c r="U790" s="176">
        <v>16.2</v>
      </c>
      <c r="Y790" s="200">
        <f>(AE790*BU790)/100</f>
        <v>6.4094831094831086</v>
      </c>
      <c r="Z790" s="198"/>
      <c r="AA790" s="200"/>
      <c r="AB790" s="198"/>
      <c r="AC790" s="378">
        <f t="shared" si="12"/>
        <v>34.925925925925931</v>
      </c>
      <c r="AE790" s="176">
        <f>(M790/U790)*((100-CC790)/(100-9))*100</f>
        <v>38.380138380138376</v>
      </c>
      <c r="AF790" s="198">
        <v>41822</v>
      </c>
      <c r="AG790" s="176">
        <v>4.3</v>
      </c>
      <c r="AH790" s="196">
        <v>41927</v>
      </c>
      <c r="AI790" s="176">
        <v>145</v>
      </c>
      <c r="AM790" s="176">
        <v>84</v>
      </c>
      <c r="BG790" s="201">
        <v>7.1</v>
      </c>
      <c r="BI790" s="201">
        <v>4.7</v>
      </c>
      <c r="BK790" s="201">
        <v>1.6</v>
      </c>
      <c r="BM790" s="201">
        <v>66.099999999999994</v>
      </c>
      <c r="BO790" s="201">
        <v>21.5</v>
      </c>
      <c r="BQ790" s="201">
        <v>6.4</v>
      </c>
      <c r="BS790" s="201">
        <v>49.2</v>
      </c>
      <c r="BU790" s="201">
        <v>16.7</v>
      </c>
      <c r="BW790" s="201">
        <v>10.1</v>
      </c>
      <c r="BY790" s="178">
        <v>6.2000000000000028</v>
      </c>
      <c r="CC790" s="201">
        <v>5.7</v>
      </c>
      <c r="CD790" s="198">
        <v>41822</v>
      </c>
      <c r="CI790" s="174" t="s">
        <v>9349</v>
      </c>
      <c r="CL790" s="174">
        <v>3</v>
      </c>
    </row>
    <row r="791" spans="1:90">
      <c r="A791" s="191" t="s">
        <v>7702</v>
      </c>
      <c r="B791" s="192" t="s">
        <v>271</v>
      </c>
      <c r="C791" s="192" t="s">
        <v>8999</v>
      </c>
      <c r="D791" s="192" t="s">
        <v>8504</v>
      </c>
      <c r="E791" s="193">
        <v>279</v>
      </c>
      <c r="F791" s="193">
        <v>10</v>
      </c>
      <c r="K791" s="176">
        <v>7</v>
      </c>
      <c r="M791" s="197">
        <v>5.0999999999999996</v>
      </c>
      <c r="N791" s="198">
        <v>41822</v>
      </c>
      <c r="S791" s="176">
        <f>(AE791*BS791)/100</f>
        <v>15.560189255189259</v>
      </c>
      <c r="T791" s="198"/>
      <c r="U791" s="176">
        <v>16.2</v>
      </c>
      <c r="Y791" s="200">
        <f>(AE791*BU791)/100</f>
        <v>5.5224053724053741</v>
      </c>
      <c r="Z791" s="198"/>
      <c r="AA791" s="200"/>
      <c r="AB791" s="198"/>
      <c r="AC791" s="378">
        <f t="shared" si="12"/>
        <v>29.561111111111114</v>
      </c>
      <c r="AE791" s="176">
        <f>(M791/U791)*((100-CC791)/(100-9))*100</f>
        <v>32.484737484737494</v>
      </c>
      <c r="AF791" s="198">
        <v>41822</v>
      </c>
      <c r="AG791" s="176">
        <v>4.9000000000000004</v>
      </c>
      <c r="AH791" s="196">
        <v>41927</v>
      </c>
      <c r="AI791" s="176">
        <v>140</v>
      </c>
      <c r="AM791" s="176">
        <v>80</v>
      </c>
      <c r="BG791" s="201">
        <v>3.9</v>
      </c>
      <c r="BI791" s="201">
        <v>4.3</v>
      </c>
      <c r="BK791" s="201">
        <v>1.6</v>
      </c>
      <c r="BM791" s="201">
        <v>62.3</v>
      </c>
      <c r="BO791" s="201">
        <v>20.2</v>
      </c>
      <c r="BQ791" s="201">
        <v>8.5</v>
      </c>
      <c r="BS791" s="201">
        <v>47.9</v>
      </c>
      <c r="BU791" s="201">
        <v>17</v>
      </c>
      <c r="BW791" s="201">
        <v>11.9</v>
      </c>
      <c r="BY791" s="178">
        <v>6.7999999999999972</v>
      </c>
      <c r="CC791" s="201">
        <v>6.1</v>
      </c>
      <c r="CD791" s="198">
        <v>41822</v>
      </c>
      <c r="CI791" s="174" t="s">
        <v>9355</v>
      </c>
      <c r="CL791" s="174">
        <v>1</v>
      </c>
    </row>
    <row r="792" spans="1:90">
      <c r="A792" s="191" t="s">
        <v>7726</v>
      </c>
      <c r="B792" s="192" t="s">
        <v>271</v>
      </c>
      <c r="C792" s="192" t="s">
        <v>8999</v>
      </c>
      <c r="D792" s="192" t="s">
        <v>8600</v>
      </c>
      <c r="E792" s="193">
        <v>279</v>
      </c>
      <c r="F792" s="193">
        <v>11</v>
      </c>
      <c r="K792" s="176">
        <v>8</v>
      </c>
      <c r="M792" s="197">
        <v>2.65</v>
      </c>
      <c r="N792" s="198">
        <v>41822</v>
      </c>
      <c r="S792" s="176">
        <f>(AE792*BS792)/100</f>
        <v>8.1454694071360727</v>
      </c>
      <c r="T792" s="198"/>
      <c r="U792" s="176">
        <v>16.2</v>
      </c>
      <c r="Y792" s="200">
        <f>(AE792*BU792)/100</f>
        <v>3.0949382716049376</v>
      </c>
      <c r="Z792" s="198"/>
      <c r="AA792" s="200"/>
      <c r="AB792" s="198"/>
      <c r="AC792" s="378">
        <f t="shared" si="12"/>
        <v>15.474691358024691</v>
      </c>
      <c r="AE792" s="176">
        <f>(M792/U792)*((100-CC792)/(100-9))*100</f>
        <v>17.00515533848867</v>
      </c>
      <c r="AF792" s="198">
        <v>41822</v>
      </c>
      <c r="AG792" s="176">
        <v>4.9000000000000004</v>
      </c>
      <c r="AH792" s="196">
        <v>41927</v>
      </c>
      <c r="AI792" s="176">
        <v>155</v>
      </c>
      <c r="AM792" s="176">
        <v>85</v>
      </c>
      <c r="BG792" s="201">
        <v>2.2000000000000002</v>
      </c>
      <c r="BI792" s="201">
        <v>4.4000000000000004</v>
      </c>
      <c r="BK792" s="201">
        <v>1.6</v>
      </c>
      <c r="BM792" s="201">
        <v>65.5</v>
      </c>
      <c r="BO792" s="201">
        <v>19.8</v>
      </c>
      <c r="BQ792" s="201">
        <v>6.7</v>
      </c>
      <c r="BS792" s="201">
        <v>47.9</v>
      </c>
      <c r="BU792" s="201">
        <v>18.2</v>
      </c>
      <c r="BW792" s="201">
        <v>21.1</v>
      </c>
      <c r="BY792" s="178">
        <v>6</v>
      </c>
      <c r="CC792" s="201">
        <v>5.4</v>
      </c>
      <c r="CD792" s="198">
        <v>41822</v>
      </c>
      <c r="CI792" s="174" t="s">
        <v>9349</v>
      </c>
      <c r="CL792" s="174">
        <v>8</v>
      </c>
    </row>
    <row r="793" spans="1:90">
      <c r="A793" s="191" t="s">
        <v>7685</v>
      </c>
      <c r="B793" s="192" t="s">
        <v>271</v>
      </c>
      <c r="C793" s="192" t="s">
        <v>8999</v>
      </c>
      <c r="D793" s="192" t="s">
        <v>8436</v>
      </c>
      <c r="E793" s="193">
        <v>279</v>
      </c>
      <c r="F793" s="193">
        <v>12</v>
      </c>
      <c r="K793" s="176">
        <v>7</v>
      </c>
      <c r="M793" s="197">
        <v>6.25</v>
      </c>
      <c r="N793" s="198">
        <v>41822</v>
      </c>
      <c r="S793" s="176">
        <f>(AE793*BS793)/100</f>
        <v>20.194893840727175</v>
      </c>
      <c r="T793" s="198"/>
      <c r="U793" s="176">
        <v>16.2</v>
      </c>
      <c r="Y793" s="200">
        <f>(AE793*BU793)/100</f>
        <v>6.7048653506986842</v>
      </c>
      <c r="Z793" s="198"/>
      <c r="AA793" s="200"/>
      <c r="AB793" s="198"/>
      <c r="AC793" s="378">
        <f t="shared" si="12"/>
        <v>36.535493827160494</v>
      </c>
      <c r="AE793" s="176">
        <f>(M793/U793)*((100-CC793)/(100-9))*100</f>
        <v>40.148894315560987</v>
      </c>
      <c r="AF793" s="198">
        <v>41822</v>
      </c>
      <c r="AG793" s="176">
        <v>4.0999999999999996</v>
      </c>
      <c r="AH793" s="196">
        <v>41927</v>
      </c>
      <c r="AI793" s="176">
        <v>155</v>
      </c>
      <c r="AM793" s="176">
        <v>85</v>
      </c>
      <c r="BG793" s="201">
        <v>0.2</v>
      </c>
      <c r="BI793" s="201">
        <v>4.7</v>
      </c>
      <c r="BK793" s="201">
        <v>1.6</v>
      </c>
      <c r="BM793" s="201">
        <v>62.7</v>
      </c>
      <c r="BO793" s="201">
        <v>20.7</v>
      </c>
      <c r="BQ793" s="201">
        <v>7.9</v>
      </c>
      <c r="BS793" s="201">
        <v>50.3</v>
      </c>
      <c r="BU793" s="201">
        <v>16.7</v>
      </c>
      <c r="BW793" s="201">
        <v>18.399999999999999</v>
      </c>
      <c r="BY793" s="178">
        <v>6.0999999999999943</v>
      </c>
      <c r="CC793" s="201">
        <v>5.3</v>
      </c>
      <c r="CD793" s="198">
        <v>41822</v>
      </c>
      <c r="CI793" s="174" t="s">
        <v>9353</v>
      </c>
      <c r="CL793" s="174">
        <v>1</v>
      </c>
    </row>
    <row r="794" spans="1:90">
      <c r="A794" s="191" t="s">
        <v>7699</v>
      </c>
      <c r="B794" s="192" t="s">
        <v>269</v>
      </c>
      <c r="C794" s="192" t="s">
        <v>8997</v>
      </c>
      <c r="D794" s="192" t="s">
        <v>8490</v>
      </c>
      <c r="E794" s="193">
        <v>280</v>
      </c>
      <c r="F794" s="193">
        <v>1</v>
      </c>
      <c r="K794" s="176">
        <v>7</v>
      </c>
      <c r="M794" s="197">
        <v>4.25</v>
      </c>
      <c r="N794" s="198">
        <v>41822</v>
      </c>
      <c r="S794" s="176">
        <f>(AE794*BS794)/100</f>
        <v>13.537008207841538</v>
      </c>
      <c r="T794" s="198"/>
      <c r="U794" s="176">
        <v>16.2</v>
      </c>
      <c r="Y794" s="200">
        <f>(AE794*BU794)/100</f>
        <v>4.8830891330891326</v>
      </c>
      <c r="Z794" s="198"/>
      <c r="AA794" s="200"/>
      <c r="AB794" s="198"/>
      <c r="AC794" s="378">
        <f t="shared" si="12"/>
        <v>24.686728395061728</v>
      </c>
      <c r="AE794" s="176">
        <f>(M794/U794)*((100-CC794)/(100-9))*100</f>
        <v>27.128272961606292</v>
      </c>
      <c r="AF794" s="198">
        <v>41822</v>
      </c>
      <c r="AG794" s="176">
        <v>4.7</v>
      </c>
      <c r="AH794" s="196">
        <v>41927</v>
      </c>
      <c r="AI794" s="176">
        <v>110</v>
      </c>
      <c r="AM794" s="176">
        <v>85</v>
      </c>
      <c r="BG794" s="201">
        <v>0</v>
      </c>
      <c r="BI794" s="201">
        <v>4.5</v>
      </c>
      <c r="BK794" s="201">
        <v>1.7</v>
      </c>
      <c r="BM794" s="201">
        <v>62.8</v>
      </c>
      <c r="BO794" s="201">
        <v>19.3</v>
      </c>
      <c r="BQ794" s="201">
        <v>9</v>
      </c>
      <c r="BS794" s="201">
        <v>49.9</v>
      </c>
      <c r="BU794" s="201">
        <v>18</v>
      </c>
      <c r="BW794" s="201">
        <v>11.1</v>
      </c>
      <c r="BY794" s="178">
        <v>6.7000000000000028</v>
      </c>
      <c r="CC794" s="201">
        <v>5.9</v>
      </c>
      <c r="CD794" s="198">
        <v>41822</v>
      </c>
      <c r="CI794" s="174" t="s">
        <v>9339</v>
      </c>
      <c r="CL794" s="174">
        <v>2</v>
      </c>
    </row>
    <row r="795" spans="1:90">
      <c r="A795" s="191" t="s">
        <v>7786</v>
      </c>
      <c r="B795" s="192" t="s">
        <v>269</v>
      </c>
      <c r="C795" s="192" t="s">
        <v>8997</v>
      </c>
      <c r="D795" s="192" t="s">
        <v>8838</v>
      </c>
      <c r="E795" s="193">
        <v>280</v>
      </c>
      <c r="F795" s="193">
        <v>2</v>
      </c>
      <c r="K795" s="176">
        <v>7</v>
      </c>
      <c r="M795" s="197">
        <v>1.95</v>
      </c>
      <c r="N795" s="198">
        <v>41822</v>
      </c>
      <c r="S795" s="176">
        <f>(AE795*BS795)/100</f>
        <v>6.3500000000000014</v>
      </c>
      <c r="T795" s="198"/>
      <c r="U795" s="176">
        <v>16.2</v>
      </c>
      <c r="Y795" s="200">
        <f>(AE795*BU795)/100</f>
        <v>2.1500000000000004</v>
      </c>
      <c r="Z795" s="198"/>
      <c r="AA795" s="200"/>
      <c r="AB795" s="198"/>
      <c r="AC795" s="378">
        <f t="shared" si="12"/>
        <v>11.375</v>
      </c>
      <c r="AE795" s="176">
        <f>(M795/U795)*((100-CC795)/(100-9))*100</f>
        <v>12.500000000000004</v>
      </c>
      <c r="AF795" s="198">
        <v>41822</v>
      </c>
      <c r="AG795" s="176">
        <v>4.5999999999999996</v>
      </c>
      <c r="AH795" s="196">
        <v>41927</v>
      </c>
      <c r="AI795" s="176">
        <v>125</v>
      </c>
      <c r="AM795" s="176">
        <v>78</v>
      </c>
      <c r="BG795" s="201">
        <v>0</v>
      </c>
      <c r="BI795" s="201">
        <v>4.3</v>
      </c>
      <c r="BK795" s="201">
        <v>1.7</v>
      </c>
      <c r="BM795" s="201">
        <v>64.400000000000006</v>
      </c>
      <c r="BO795" s="201">
        <v>17.899999999999999</v>
      </c>
      <c r="BQ795" s="201">
        <v>7.8</v>
      </c>
      <c r="BS795" s="201">
        <v>50.8</v>
      </c>
      <c r="BU795" s="201">
        <v>17.2</v>
      </c>
      <c r="BW795" s="201">
        <v>11.4</v>
      </c>
      <c r="BY795" s="178">
        <v>6.5</v>
      </c>
      <c r="CC795" s="201">
        <v>5.5</v>
      </c>
      <c r="CD795" s="198">
        <v>41822</v>
      </c>
      <c r="CI795" s="174" t="s">
        <v>9359</v>
      </c>
      <c r="CL795" s="174">
        <v>1</v>
      </c>
    </row>
    <row r="796" spans="1:90">
      <c r="A796" s="191" t="s">
        <v>7897</v>
      </c>
      <c r="B796" s="192" t="s">
        <v>269</v>
      </c>
      <c r="C796" s="192" t="s">
        <v>8997</v>
      </c>
      <c r="D796" s="192" t="s">
        <v>8974</v>
      </c>
      <c r="E796" s="193">
        <v>280</v>
      </c>
      <c r="F796" s="193">
        <v>3</v>
      </c>
      <c r="K796" s="176">
        <v>6</v>
      </c>
      <c r="M796" s="197">
        <v>2.35</v>
      </c>
      <c r="N796" s="198">
        <v>41822</v>
      </c>
      <c r="S796" s="176">
        <f>(AE796*BS796)/100</f>
        <v>7.5472907339574009</v>
      </c>
      <c r="T796" s="198"/>
      <c r="U796" s="176">
        <v>16.2</v>
      </c>
      <c r="Y796" s="200">
        <f>(AE796*BU796)/100</f>
        <v>2.6445231311897981</v>
      </c>
      <c r="Z796" s="198"/>
      <c r="AA796" s="200"/>
      <c r="AB796" s="198"/>
      <c r="AC796" s="378">
        <f t="shared" si="12"/>
        <v>13.519753086419755</v>
      </c>
      <c r="AE796" s="176">
        <f>(M796/U796)*((100-CC796)/(100-9))*100</f>
        <v>14.856871523538192</v>
      </c>
      <c r="AF796" s="198">
        <v>41822</v>
      </c>
      <c r="AG796" s="176">
        <v>4.7</v>
      </c>
      <c r="AH796" s="196">
        <v>41927</v>
      </c>
      <c r="AI796" s="176">
        <v>115</v>
      </c>
      <c r="AM796" s="176">
        <v>77</v>
      </c>
      <c r="BG796" s="201">
        <v>0</v>
      </c>
      <c r="BI796" s="201">
        <v>4.2</v>
      </c>
      <c r="BK796" s="201">
        <v>1.6</v>
      </c>
      <c r="BM796" s="201">
        <v>62.9</v>
      </c>
      <c r="BO796" s="201">
        <v>17.600000000000001</v>
      </c>
      <c r="BQ796" s="201">
        <v>9.8000000000000007</v>
      </c>
      <c r="BS796" s="201">
        <v>50.8</v>
      </c>
      <c r="BU796" s="201">
        <v>17.8</v>
      </c>
      <c r="BW796" s="201">
        <v>12.6</v>
      </c>
      <c r="BY796" s="178">
        <v>7.2000000000000028</v>
      </c>
      <c r="CC796" s="201">
        <v>6.8</v>
      </c>
      <c r="CD796" s="198">
        <v>41822</v>
      </c>
      <c r="CI796" s="174" t="s">
        <v>9346</v>
      </c>
      <c r="CL796" s="174">
        <v>5</v>
      </c>
    </row>
    <row r="797" spans="1:90">
      <c r="A797" s="191" t="s">
        <v>7696</v>
      </c>
      <c r="B797" s="192" t="s">
        <v>269</v>
      </c>
      <c r="C797" s="192" t="s">
        <v>8997</v>
      </c>
      <c r="D797" s="192" t="s">
        <v>8478</v>
      </c>
      <c r="E797" s="193">
        <v>280</v>
      </c>
      <c r="F797" s="193">
        <v>4</v>
      </c>
      <c r="K797" s="176">
        <v>6</v>
      </c>
      <c r="M797" s="197">
        <v>2.65</v>
      </c>
      <c r="N797" s="198">
        <v>41822</v>
      </c>
      <c r="S797" s="176">
        <f>(AE797*BS797)/100</f>
        <v>8.5694478361145041</v>
      </c>
      <c r="T797" s="198"/>
      <c r="U797" s="176">
        <v>16.2</v>
      </c>
      <c r="Y797" s="200">
        <f>(AE797*BU797)/100</f>
        <v>2.9526414326414328</v>
      </c>
      <c r="Z797" s="198"/>
      <c r="AA797" s="200"/>
      <c r="AB797" s="198"/>
      <c r="AC797" s="378">
        <f t="shared" si="12"/>
        <v>15.441975308641977</v>
      </c>
      <c r="AE797" s="176">
        <f>(M797/U797)*((100-CC797)/(100-9))*100</f>
        <v>16.969203635870304</v>
      </c>
      <c r="AF797" s="198">
        <v>41822</v>
      </c>
      <c r="AG797" s="176">
        <v>5.0999999999999996</v>
      </c>
      <c r="AH797" s="196">
        <v>41927</v>
      </c>
      <c r="AI797" s="176">
        <v>120</v>
      </c>
      <c r="AM797" s="176">
        <v>80</v>
      </c>
      <c r="BG797" s="201">
        <v>3.6</v>
      </c>
      <c r="BI797" s="201">
        <v>4.8</v>
      </c>
      <c r="BK797" s="201">
        <v>1.6</v>
      </c>
      <c r="BM797" s="201">
        <v>64.5</v>
      </c>
      <c r="BO797" s="201">
        <v>21</v>
      </c>
      <c r="BQ797" s="201">
        <v>7.7</v>
      </c>
      <c r="BS797" s="201">
        <v>50.5</v>
      </c>
      <c r="BU797" s="201">
        <v>17.399999999999999</v>
      </c>
      <c r="BW797" s="201">
        <v>16.3</v>
      </c>
      <c r="BY797" s="178">
        <v>6.2999999999999972</v>
      </c>
      <c r="CC797" s="201">
        <v>5.6</v>
      </c>
      <c r="CD797" s="198">
        <v>41822</v>
      </c>
      <c r="CI797" s="174" t="s">
        <v>9372</v>
      </c>
      <c r="CL797" s="174">
        <v>3</v>
      </c>
    </row>
    <row r="798" spans="1:90">
      <c r="A798" s="191" t="s">
        <v>7675</v>
      </c>
      <c r="B798" s="192" t="s">
        <v>269</v>
      </c>
      <c r="C798" s="192" t="s">
        <v>8997</v>
      </c>
      <c r="D798" s="192" t="s">
        <v>8394</v>
      </c>
      <c r="E798" s="193">
        <v>280</v>
      </c>
      <c r="F798" s="193">
        <v>5</v>
      </c>
      <c r="K798" s="176">
        <v>7</v>
      </c>
      <c r="M798" s="197">
        <v>3.1</v>
      </c>
      <c r="N798" s="198">
        <v>41822</v>
      </c>
      <c r="S798" s="176">
        <f>(AE798*BS798)/100</f>
        <v>10.253846153846156</v>
      </c>
      <c r="T798" s="198"/>
      <c r="U798" s="176">
        <v>16.2</v>
      </c>
      <c r="Y798" s="200">
        <f>(AE798*BU798)/100</f>
        <v>3.3583333333333338</v>
      </c>
      <c r="Z798" s="198"/>
      <c r="AA798" s="200"/>
      <c r="AB798" s="198"/>
      <c r="AC798" s="378">
        <f t="shared" si="12"/>
        <v>18.083333333333336</v>
      </c>
      <c r="AE798" s="176">
        <f>(M798/U798)*((100-CC798)/(100-9))*100</f>
        <v>19.871794871794876</v>
      </c>
      <c r="AF798" s="198">
        <v>41822</v>
      </c>
      <c r="AG798" s="176">
        <v>4.9000000000000004</v>
      </c>
      <c r="AH798" s="196">
        <v>41927</v>
      </c>
      <c r="AI798" s="176">
        <v>140</v>
      </c>
      <c r="AM798" s="176">
        <v>77</v>
      </c>
      <c r="BG798" s="201">
        <v>0</v>
      </c>
      <c r="BI798" s="201">
        <v>4.3</v>
      </c>
      <c r="BK798" s="201">
        <v>1.6</v>
      </c>
      <c r="BM798" s="201">
        <v>63</v>
      </c>
      <c r="BO798" s="201">
        <v>19.2</v>
      </c>
      <c r="BQ798" s="201">
        <v>8.1</v>
      </c>
      <c r="BS798" s="201">
        <v>51.6</v>
      </c>
      <c r="BU798" s="201">
        <v>16.899999999999999</v>
      </c>
      <c r="BW798" s="201">
        <v>12</v>
      </c>
      <c r="BY798" s="178">
        <v>6.5999999999999943</v>
      </c>
      <c r="CC798" s="201">
        <v>5.5</v>
      </c>
      <c r="CD798" s="198">
        <v>41822</v>
      </c>
      <c r="CI798" s="174" t="s">
        <v>9358</v>
      </c>
      <c r="CL798" s="174">
        <v>1</v>
      </c>
    </row>
    <row r="799" spans="1:90">
      <c r="A799" s="191" t="s">
        <v>7714</v>
      </c>
      <c r="B799" s="192" t="s">
        <v>269</v>
      </c>
      <c r="C799" s="192" t="s">
        <v>8997</v>
      </c>
      <c r="D799" s="192" t="s">
        <v>8550</v>
      </c>
      <c r="E799" s="193">
        <v>280</v>
      </c>
      <c r="F799" s="193">
        <v>6</v>
      </c>
      <c r="K799" s="176">
        <v>7</v>
      </c>
      <c r="M799" s="197">
        <v>3.5</v>
      </c>
      <c r="N799" s="198">
        <v>41822</v>
      </c>
      <c r="S799" s="176">
        <f>(AE799*BS799)/100</f>
        <v>11.347364672364675</v>
      </c>
      <c r="T799" s="198"/>
      <c r="U799" s="176">
        <v>16.2</v>
      </c>
      <c r="Y799" s="200">
        <f>(AE799*BU799)/100</f>
        <v>3.5669515669515675</v>
      </c>
      <c r="Z799" s="198"/>
      <c r="AA799" s="200"/>
      <c r="AB799" s="198"/>
      <c r="AC799" s="378">
        <f t="shared" si="12"/>
        <v>20.287037037037038</v>
      </c>
      <c r="AE799" s="176">
        <f>(M799/U799)*((100-CC799)/(100-9))*100</f>
        <v>22.293447293447297</v>
      </c>
      <c r="AF799" s="198">
        <v>41822</v>
      </c>
      <c r="AG799" s="176">
        <v>4.7</v>
      </c>
      <c r="AH799" s="196">
        <v>41927</v>
      </c>
      <c r="AI799" s="176">
        <v>135</v>
      </c>
      <c r="AM799" s="176">
        <v>83</v>
      </c>
      <c r="BG799" s="201">
        <v>2.7</v>
      </c>
      <c r="BI799" s="201">
        <v>5</v>
      </c>
      <c r="BK799" s="201">
        <v>1.5</v>
      </c>
      <c r="BM799" s="201">
        <v>62.6</v>
      </c>
      <c r="BO799" s="201">
        <v>23.1</v>
      </c>
      <c r="BQ799" s="201">
        <v>9.5</v>
      </c>
      <c r="BS799" s="201">
        <v>50.9</v>
      </c>
      <c r="BU799" s="201">
        <v>16</v>
      </c>
      <c r="BW799" s="201">
        <v>10.6</v>
      </c>
      <c r="BY799" s="178">
        <v>6.2999999999999972</v>
      </c>
      <c r="CC799" s="201">
        <v>6.1</v>
      </c>
      <c r="CD799" s="198">
        <v>41822</v>
      </c>
      <c r="CI799" s="174" t="s">
        <v>9350</v>
      </c>
      <c r="CL799" s="174">
        <v>1</v>
      </c>
    </row>
    <row r="800" spans="1:90">
      <c r="A800" s="191" t="s">
        <v>7624</v>
      </c>
      <c r="B800" s="192" t="s">
        <v>271</v>
      </c>
      <c r="C800" s="192" t="s">
        <v>8999</v>
      </c>
      <c r="D800" s="192" t="s">
        <v>8192</v>
      </c>
      <c r="E800" s="193">
        <v>280</v>
      </c>
      <c r="F800" s="193">
        <v>7</v>
      </c>
      <c r="I800" s="184"/>
      <c r="K800" s="176">
        <v>8</v>
      </c>
      <c r="M800" s="197">
        <v>2.2999999999999998</v>
      </c>
      <c r="N800" s="198">
        <v>41822</v>
      </c>
      <c r="O800" s="179"/>
      <c r="S800" s="176">
        <f>(AE800*BS800)/100</f>
        <v>7.0106159272825934</v>
      </c>
      <c r="T800" s="198"/>
      <c r="U800" s="176">
        <v>16.2</v>
      </c>
      <c r="Y800" s="200">
        <f>(AE800*BU800)/100</f>
        <v>3.0977140143806809</v>
      </c>
      <c r="Z800" s="198"/>
      <c r="AA800" s="200"/>
      <c r="AB800" s="198"/>
      <c r="AC800" s="378">
        <f t="shared" si="12"/>
        <v>13.487654320987653</v>
      </c>
      <c r="AE800" s="176">
        <f>(M800/U800)*((100-CC800)/(100-9))*100</f>
        <v>14.82159815493149</v>
      </c>
      <c r="AF800" s="198">
        <v>41822</v>
      </c>
      <c r="AG800" s="176">
        <v>3.8</v>
      </c>
      <c r="AH800" s="196">
        <v>41927</v>
      </c>
      <c r="AI800" s="176">
        <v>115</v>
      </c>
      <c r="AM800" s="176">
        <v>78</v>
      </c>
      <c r="BG800" s="201">
        <v>39.6</v>
      </c>
      <c r="BI800" s="201">
        <v>4.3</v>
      </c>
      <c r="BK800" s="201">
        <v>1</v>
      </c>
      <c r="BM800" s="201">
        <v>33.6</v>
      </c>
      <c r="BO800" s="201">
        <v>17</v>
      </c>
      <c r="BQ800" s="201">
        <v>9.6</v>
      </c>
      <c r="BS800" s="201">
        <v>47.3</v>
      </c>
      <c r="BU800" s="201">
        <v>20.9</v>
      </c>
      <c r="BW800" s="201">
        <v>79.900000000000006</v>
      </c>
      <c r="BY800" s="178">
        <v>5.9000000000000057</v>
      </c>
      <c r="CC800" s="201">
        <v>5</v>
      </c>
      <c r="CD800" s="198">
        <v>41822</v>
      </c>
      <c r="CI800" s="174" t="s">
        <v>9349</v>
      </c>
      <c r="CL800" s="174">
        <v>3</v>
      </c>
    </row>
    <row r="801" spans="1:91">
      <c r="A801" s="202" t="s">
        <v>7762</v>
      </c>
      <c r="B801" s="203" t="s">
        <v>271</v>
      </c>
      <c r="C801" s="203" t="s">
        <v>8999</v>
      </c>
      <c r="D801" s="203" t="s">
        <v>8744</v>
      </c>
      <c r="E801" s="204">
        <v>280</v>
      </c>
      <c r="F801" s="204">
        <v>8</v>
      </c>
      <c r="G801" s="204"/>
      <c r="H801" s="204"/>
      <c r="I801" s="206"/>
      <c r="J801" s="206"/>
      <c r="K801" s="177">
        <v>8</v>
      </c>
      <c r="L801" s="207"/>
      <c r="M801" s="208">
        <v>0.45</v>
      </c>
      <c r="N801" s="209">
        <v>41822</v>
      </c>
      <c r="O801" s="183"/>
      <c r="P801" s="210"/>
      <c r="Q801" s="183"/>
      <c r="R801" s="210"/>
      <c r="S801" s="177">
        <f>(AE801*BS801)/100</f>
        <v>1.2450732600732601</v>
      </c>
      <c r="T801" s="209"/>
      <c r="U801" s="177">
        <v>16.2</v>
      </c>
      <c r="V801" s="210"/>
      <c r="W801" s="183"/>
      <c r="X801" s="210"/>
      <c r="Y801" s="213">
        <f>(AE801*BU801)/100</f>
        <v>0.62684981684981689</v>
      </c>
      <c r="Z801" s="209"/>
      <c r="AA801" s="213"/>
      <c r="AB801" s="209"/>
      <c r="AC801" s="378">
        <f t="shared" si="12"/>
        <v>2.6166666666666671</v>
      </c>
      <c r="AD801" s="207"/>
      <c r="AE801" s="177">
        <f>(M801/U801)*((100-CC801)/(100-9))*100</f>
        <v>2.8754578754578759</v>
      </c>
      <c r="AF801" s="209">
        <v>41822</v>
      </c>
      <c r="AG801" s="177">
        <v>3.8</v>
      </c>
      <c r="AH801" s="207">
        <v>41927</v>
      </c>
      <c r="AI801" s="177">
        <v>20</v>
      </c>
      <c r="AJ801" s="207"/>
      <c r="AK801" s="183"/>
      <c r="AL801" s="210"/>
      <c r="AM801" s="177">
        <v>90</v>
      </c>
      <c r="AN801" s="210"/>
      <c r="AO801" s="183"/>
      <c r="AP801" s="183"/>
      <c r="AQ801" s="183"/>
      <c r="AR801" s="183"/>
      <c r="AS801" s="183"/>
      <c r="AT801" s="183"/>
      <c r="AU801" s="183"/>
      <c r="AV801" s="183"/>
      <c r="AW801" s="183"/>
      <c r="AX801" s="183"/>
      <c r="AY801" s="183"/>
      <c r="AZ801" s="183"/>
      <c r="BA801" s="183"/>
      <c r="BB801" s="183"/>
      <c r="BC801" s="183"/>
      <c r="BD801" s="183"/>
      <c r="BE801" s="182"/>
      <c r="BF801" s="182"/>
      <c r="BG801" s="211">
        <v>23.3</v>
      </c>
      <c r="BH801" s="181"/>
      <c r="BI801" s="211">
        <v>4.5999999999999996</v>
      </c>
      <c r="BJ801" s="181"/>
      <c r="BK801" s="211">
        <v>1.2</v>
      </c>
      <c r="BL801" s="181"/>
      <c r="BM801" s="211">
        <v>52.7</v>
      </c>
      <c r="BN801" s="181"/>
      <c r="BO801" s="211">
        <v>18</v>
      </c>
      <c r="BP801" s="181"/>
      <c r="BQ801" s="211">
        <v>10</v>
      </c>
      <c r="BR801" s="181"/>
      <c r="BS801" s="211">
        <v>43.3</v>
      </c>
      <c r="BT801" s="181"/>
      <c r="BU801" s="211">
        <v>21.8</v>
      </c>
      <c r="BV801" s="181"/>
      <c r="BW801" s="211">
        <v>80.3</v>
      </c>
      <c r="BX801" s="181"/>
      <c r="BY801" s="181">
        <v>6.5</v>
      </c>
      <c r="BZ801" s="181"/>
      <c r="CA801" s="182"/>
      <c r="CB801" s="182"/>
      <c r="CC801" s="211">
        <v>5.8</v>
      </c>
      <c r="CD801" s="209">
        <v>41822</v>
      </c>
      <c r="CE801" s="181"/>
      <c r="CF801" s="181"/>
      <c r="CG801" s="182"/>
      <c r="CH801" s="182"/>
      <c r="CI801" s="175" t="s">
        <v>9370</v>
      </c>
      <c r="CJ801" s="181"/>
      <c r="CK801" s="181"/>
      <c r="CL801" s="175">
        <v>9</v>
      </c>
      <c r="CM801" s="175"/>
    </row>
    <row r="802" spans="1:91">
      <c r="A802" s="191" t="s">
        <v>7637</v>
      </c>
      <c r="B802" s="192" t="s">
        <v>271</v>
      </c>
      <c r="C802" s="192" t="s">
        <v>8999</v>
      </c>
      <c r="D802" s="192" t="s">
        <v>8244</v>
      </c>
      <c r="E802" s="193">
        <v>280</v>
      </c>
      <c r="F802" s="193">
        <v>9</v>
      </c>
      <c r="K802" s="176">
        <v>8</v>
      </c>
      <c r="M802" s="197">
        <v>2.25</v>
      </c>
      <c r="N802" s="198">
        <v>41822</v>
      </c>
      <c r="S802" s="176">
        <f>(AE802*BS802)/100</f>
        <v>6.9157509157509161</v>
      </c>
      <c r="T802" s="198"/>
      <c r="U802" s="176">
        <v>16.2</v>
      </c>
      <c r="Y802" s="200">
        <f>(AE802*BU802)/100</f>
        <v>2.6654456654456657</v>
      </c>
      <c r="Z802" s="198"/>
      <c r="AA802" s="200"/>
      <c r="AB802" s="198"/>
      <c r="AC802" s="378">
        <f t="shared" si="12"/>
        <v>13.111111111111112</v>
      </c>
      <c r="AE802" s="176">
        <f>(M802/U802)*((100-CC802)/(100-9))*100</f>
        <v>14.40781440781441</v>
      </c>
      <c r="AF802" s="198">
        <v>41822</v>
      </c>
      <c r="AG802" s="176">
        <v>5.0999999999999996</v>
      </c>
      <c r="AH802" s="196">
        <v>41927</v>
      </c>
      <c r="AI802" s="176">
        <v>110</v>
      </c>
      <c r="AM802" s="176">
        <v>88</v>
      </c>
      <c r="BG802" s="201">
        <v>56.5</v>
      </c>
      <c r="BI802" s="201">
        <v>4.3</v>
      </c>
      <c r="BK802" s="201">
        <v>1.1000000000000001</v>
      </c>
      <c r="BM802" s="201">
        <v>25.7</v>
      </c>
      <c r="BO802" s="201">
        <v>15</v>
      </c>
      <c r="BQ802" s="201">
        <v>7.6</v>
      </c>
      <c r="BS802" s="201">
        <v>48</v>
      </c>
      <c r="BU802" s="201">
        <v>18.5</v>
      </c>
      <c r="BW802" s="201">
        <v>67.2</v>
      </c>
      <c r="BY802" s="178">
        <v>6</v>
      </c>
      <c r="CC802" s="201">
        <v>5.6</v>
      </c>
      <c r="CD802" s="198">
        <v>41822</v>
      </c>
      <c r="CI802" s="174" t="s">
        <v>9353</v>
      </c>
      <c r="CL802" s="174">
        <v>7</v>
      </c>
    </row>
    <row r="803" spans="1:91">
      <c r="A803" s="191" t="s">
        <v>7622</v>
      </c>
      <c r="B803" s="192" t="s">
        <v>271</v>
      </c>
      <c r="C803" s="192" t="s">
        <v>8999</v>
      </c>
      <c r="D803" s="192" t="s">
        <v>8184</v>
      </c>
      <c r="E803" s="193">
        <v>280</v>
      </c>
      <c r="F803" s="193">
        <v>10</v>
      </c>
      <c r="I803" s="184"/>
      <c r="K803" s="176">
        <v>8</v>
      </c>
      <c r="M803" s="197">
        <v>3.7</v>
      </c>
      <c r="N803" s="198">
        <v>41822</v>
      </c>
      <c r="O803" s="179"/>
      <c r="S803" s="176">
        <f>(AE803*BS803)/100</f>
        <v>11.420757020757023</v>
      </c>
      <c r="T803" s="198"/>
      <c r="U803" s="176">
        <v>16.2</v>
      </c>
      <c r="Y803" s="200">
        <f>(AE803*BU803)/100</f>
        <v>4.8776149776149786</v>
      </c>
      <c r="Z803" s="198"/>
      <c r="AA803" s="200"/>
      <c r="AB803" s="198"/>
      <c r="AC803" s="378">
        <f t="shared" si="12"/>
        <v>21.651851851851852</v>
      </c>
      <c r="AE803" s="176">
        <f>(M803/U803)*((100-CC803)/(100-9))*100</f>
        <v>23.793243793243796</v>
      </c>
      <c r="AF803" s="198">
        <v>41822</v>
      </c>
      <c r="AG803" s="176">
        <v>4.7</v>
      </c>
      <c r="AH803" s="196">
        <v>41927</v>
      </c>
      <c r="AI803" s="176">
        <v>145</v>
      </c>
      <c r="AM803" s="176">
        <v>85</v>
      </c>
      <c r="BG803" s="201">
        <v>58.7</v>
      </c>
      <c r="BI803" s="201">
        <v>4.7</v>
      </c>
      <c r="BK803" s="201">
        <v>0.7</v>
      </c>
      <c r="BM803" s="201">
        <v>24.7</v>
      </c>
      <c r="BO803" s="201">
        <v>15.9</v>
      </c>
      <c r="BQ803" s="201">
        <v>8.8000000000000007</v>
      </c>
      <c r="BS803" s="201">
        <v>48</v>
      </c>
      <c r="BU803" s="201">
        <v>20.5</v>
      </c>
      <c r="BW803" s="201">
        <v>87.6</v>
      </c>
      <c r="BY803" s="178">
        <v>5.5999999999999943</v>
      </c>
      <c r="CC803" s="201">
        <v>5.2</v>
      </c>
      <c r="CD803" s="198">
        <v>41822</v>
      </c>
      <c r="CI803" s="174" t="s">
        <v>9382</v>
      </c>
      <c r="CL803" s="174">
        <v>4</v>
      </c>
    </row>
    <row r="804" spans="1:91">
      <c r="A804" s="191" t="s">
        <v>7763</v>
      </c>
      <c r="B804" s="192" t="s">
        <v>271</v>
      </c>
      <c r="C804" s="192" t="s">
        <v>8999</v>
      </c>
      <c r="D804" s="192" t="s">
        <v>8748</v>
      </c>
      <c r="E804" s="193">
        <v>280</v>
      </c>
      <c r="F804" s="193">
        <v>11</v>
      </c>
      <c r="K804" s="176">
        <v>8</v>
      </c>
      <c r="M804" s="197">
        <v>3.35</v>
      </c>
      <c r="N804" s="198">
        <v>41822</v>
      </c>
      <c r="S804" s="176">
        <f>(AE804*BS804)/100</f>
        <v>10.694230769230769</v>
      </c>
      <c r="T804" s="198"/>
      <c r="U804" s="176">
        <v>16.2</v>
      </c>
      <c r="Y804" s="200">
        <f>(AE804*BU804)/100</f>
        <v>4.2733974358974356</v>
      </c>
      <c r="Z804" s="198"/>
      <c r="AA804" s="200"/>
      <c r="AB804" s="198"/>
      <c r="AC804" s="378">
        <f t="shared" si="12"/>
        <v>19.541666666666668</v>
      </c>
      <c r="AE804" s="176">
        <f>(M804/U804)*((100-CC804)/(100-9))*100</f>
        <v>21.474358974358974</v>
      </c>
      <c r="AF804" s="198">
        <v>41822</v>
      </c>
      <c r="AG804" s="176">
        <v>4.5</v>
      </c>
      <c r="AH804" s="196">
        <v>41927</v>
      </c>
      <c r="AI804" s="176">
        <v>165</v>
      </c>
      <c r="AM804" s="176">
        <v>94</v>
      </c>
      <c r="BG804" s="201">
        <v>50.1</v>
      </c>
      <c r="BI804" s="201">
        <v>4.2</v>
      </c>
      <c r="BK804" s="201">
        <v>0.8</v>
      </c>
      <c r="BM804" s="201">
        <v>26.1</v>
      </c>
      <c r="BO804" s="201">
        <v>14.5</v>
      </c>
      <c r="BQ804" s="201">
        <v>9</v>
      </c>
      <c r="BS804" s="201">
        <v>49.8</v>
      </c>
      <c r="BU804" s="201">
        <v>19.899999999999999</v>
      </c>
      <c r="BW804" s="201">
        <v>67.900000000000006</v>
      </c>
      <c r="BY804" s="178">
        <v>5.5999999999999943</v>
      </c>
      <c r="CC804" s="201">
        <v>5.5</v>
      </c>
      <c r="CD804" s="198">
        <v>41822</v>
      </c>
      <c r="CI804" s="174" t="s">
        <v>9355</v>
      </c>
      <c r="CL804" s="174">
        <v>7</v>
      </c>
    </row>
    <row r="805" spans="1:91">
      <c r="A805" s="191" t="s">
        <v>7815</v>
      </c>
      <c r="B805" s="192" t="s">
        <v>271</v>
      </c>
      <c r="C805" s="192" t="s">
        <v>8999</v>
      </c>
      <c r="D805" s="192" t="s">
        <v>8956</v>
      </c>
      <c r="E805" s="193">
        <v>280</v>
      </c>
      <c r="F805" s="193">
        <v>12</v>
      </c>
      <c r="K805" s="176">
        <v>1</v>
      </c>
      <c r="M805" s="197">
        <v>5.15</v>
      </c>
      <c r="N805" s="198">
        <v>41822</v>
      </c>
      <c r="S805" s="176">
        <f>(AE805*BS805)/100</f>
        <v>16.681779948446618</v>
      </c>
      <c r="T805" s="198"/>
      <c r="U805" s="176">
        <v>16.2</v>
      </c>
      <c r="Y805" s="200">
        <f>(AE805*BU805)/100</f>
        <v>5.0899131732465079</v>
      </c>
      <c r="Z805" s="198"/>
      <c r="AA805" s="200"/>
      <c r="AB805" s="198"/>
      <c r="AC805" s="378">
        <f t="shared" si="12"/>
        <v>29.882716049382719</v>
      </c>
      <c r="AE805" s="176">
        <f>(M805/U805)*((100-CC805)/(100-9))*100</f>
        <v>32.83814950481618</v>
      </c>
      <c r="AF805" s="198">
        <v>41822</v>
      </c>
      <c r="AG805" s="176">
        <v>4.7</v>
      </c>
      <c r="AH805" s="196">
        <v>41927</v>
      </c>
      <c r="AI805" s="176">
        <v>160</v>
      </c>
      <c r="AM805" s="176">
        <v>86</v>
      </c>
      <c r="BG805" s="201">
        <v>0</v>
      </c>
      <c r="BI805" s="201">
        <v>4.9000000000000004</v>
      </c>
      <c r="BK805" s="201">
        <v>1.7</v>
      </c>
      <c r="BM805" s="201">
        <v>64.400000000000006</v>
      </c>
      <c r="BO805" s="201">
        <v>21.1</v>
      </c>
      <c r="BQ805" s="201">
        <v>6.8</v>
      </c>
      <c r="BS805" s="201">
        <v>50.8</v>
      </c>
      <c r="BU805" s="201">
        <v>15.5</v>
      </c>
      <c r="BW805" s="201">
        <v>14.8</v>
      </c>
      <c r="BY805" s="178">
        <v>6.2000000000000028</v>
      </c>
      <c r="CC805" s="201">
        <v>6</v>
      </c>
      <c r="CD805" s="198">
        <v>41822</v>
      </c>
      <c r="CI805" s="174" t="s">
        <v>9369</v>
      </c>
      <c r="CL805" s="174">
        <v>1</v>
      </c>
    </row>
    <row r="806" spans="1:91">
      <c r="A806" s="191" t="s">
        <v>7618</v>
      </c>
      <c r="B806" s="192" t="s">
        <v>269</v>
      </c>
      <c r="C806" s="192" t="s">
        <v>8997</v>
      </c>
      <c r="D806" s="192" t="s">
        <v>8166</v>
      </c>
      <c r="E806" s="193">
        <v>281</v>
      </c>
      <c r="F806" s="193">
        <v>1</v>
      </c>
      <c r="I806" s="184"/>
      <c r="K806" s="176">
        <v>8</v>
      </c>
      <c r="M806" s="197">
        <v>1.05</v>
      </c>
      <c r="N806" s="198">
        <v>41822</v>
      </c>
      <c r="O806" s="179"/>
      <c r="S806" s="176">
        <f>(AE806*BS806)/100</f>
        <v>3.0103205128205128</v>
      </c>
      <c r="T806" s="198"/>
      <c r="U806" s="176">
        <v>16.2</v>
      </c>
      <c r="Y806" s="200">
        <f>(AE806*BU806)/100</f>
        <v>1.4619658119658121</v>
      </c>
      <c r="Z806" s="198"/>
      <c r="AA806" s="200"/>
      <c r="AB806" s="198"/>
      <c r="AC806" s="378">
        <f t="shared" si="12"/>
        <v>6.0472222222222234</v>
      </c>
      <c r="AE806" s="176">
        <f>(M806/U806)*((100-CC806)/(100-9))*100</f>
        <v>6.6452991452991457</v>
      </c>
      <c r="AF806" s="198">
        <v>41822</v>
      </c>
      <c r="AG806" s="176">
        <v>4.9000000000000004</v>
      </c>
      <c r="AH806" s="196">
        <v>41927</v>
      </c>
      <c r="AI806" s="176">
        <v>20</v>
      </c>
      <c r="AM806" s="176">
        <v>82</v>
      </c>
      <c r="BG806" s="201">
        <v>19.2</v>
      </c>
      <c r="BI806" s="201">
        <v>4.2</v>
      </c>
      <c r="BK806" s="201">
        <v>1.4</v>
      </c>
      <c r="BM806" s="201">
        <v>53.6</v>
      </c>
      <c r="BO806" s="201">
        <v>16.899999999999999</v>
      </c>
      <c r="BQ806" s="201">
        <v>8.6999999999999993</v>
      </c>
      <c r="BS806" s="201">
        <v>45.3</v>
      </c>
      <c r="BU806" s="201">
        <v>22</v>
      </c>
      <c r="BW806" s="201">
        <v>69.400000000000006</v>
      </c>
      <c r="BY806" s="178">
        <v>7.0999999999999943</v>
      </c>
      <c r="CC806" s="201">
        <v>6.7</v>
      </c>
      <c r="CD806" s="198">
        <v>41822</v>
      </c>
      <c r="CI806" s="174" t="s">
        <v>9337</v>
      </c>
      <c r="CL806" s="174">
        <v>9</v>
      </c>
    </row>
    <row r="807" spans="1:91">
      <c r="A807" s="191" t="s">
        <v>7648</v>
      </c>
      <c r="B807" s="192" t="s">
        <v>269</v>
      </c>
      <c r="C807" s="192" t="s">
        <v>8997</v>
      </c>
      <c r="D807" s="192" t="s">
        <v>8286</v>
      </c>
      <c r="E807" s="193">
        <v>281</v>
      </c>
      <c r="F807" s="193">
        <v>2</v>
      </c>
      <c r="K807" s="176">
        <v>8</v>
      </c>
      <c r="M807" s="197">
        <v>2.2999999999999998</v>
      </c>
      <c r="N807" s="198">
        <v>41822</v>
      </c>
      <c r="S807" s="176">
        <f>(AE807*BS807)/100</f>
        <v>7.0023938407271746</v>
      </c>
      <c r="T807" s="198"/>
      <c r="U807" s="176">
        <v>16.2</v>
      </c>
      <c r="Y807" s="200">
        <f>(AE807*BU807)/100</f>
        <v>2.6459985076651749</v>
      </c>
      <c r="Z807" s="198"/>
      <c r="AA807" s="200"/>
      <c r="AB807" s="198"/>
      <c r="AC807" s="378">
        <f t="shared" si="12"/>
        <v>13.303086419753086</v>
      </c>
      <c r="AE807" s="176">
        <f>(M807/U807)*((100-CC807)/(100-9))*100</f>
        <v>14.618776285442953</v>
      </c>
      <c r="AF807" s="198">
        <v>41822</v>
      </c>
      <c r="AG807" s="176">
        <v>5.2</v>
      </c>
      <c r="AH807" s="196">
        <v>41927</v>
      </c>
      <c r="AI807" s="176">
        <v>150</v>
      </c>
      <c r="AM807" s="176">
        <v>85</v>
      </c>
      <c r="BG807" s="201">
        <v>3.3</v>
      </c>
      <c r="BI807" s="201">
        <v>5</v>
      </c>
      <c r="BK807" s="201">
        <v>1.4</v>
      </c>
      <c r="BM807" s="201">
        <v>65.3</v>
      </c>
      <c r="BO807" s="201">
        <v>19.5</v>
      </c>
      <c r="BQ807" s="201">
        <v>9.1999999999999993</v>
      </c>
      <c r="BS807" s="201">
        <v>47.9</v>
      </c>
      <c r="BU807" s="201">
        <v>18.100000000000001</v>
      </c>
      <c r="BW807" s="201">
        <v>78.5</v>
      </c>
      <c r="BY807" s="178">
        <v>6.7000000000000028</v>
      </c>
      <c r="CC807" s="201">
        <v>6.3</v>
      </c>
      <c r="CD807" s="198">
        <v>41822</v>
      </c>
      <c r="CI807" s="174" t="s">
        <v>9359</v>
      </c>
      <c r="CL807" s="174">
        <v>4</v>
      </c>
    </row>
    <row r="808" spans="1:91">
      <c r="A808" s="191" t="s">
        <v>7756</v>
      </c>
      <c r="B808" s="192" t="s">
        <v>269</v>
      </c>
      <c r="C808" s="192" t="s">
        <v>8997</v>
      </c>
      <c r="D808" s="192" t="s">
        <v>8718</v>
      </c>
      <c r="E808" s="193">
        <v>281</v>
      </c>
      <c r="F808" s="193">
        <v>3</v>
      </c>
      <c r="K808" s="176">
        <v>8</v>
      </c>
      <c r="M808" s="197">
        <v>1.1499999999999999</v>
      </c>
      <c r="N808" s="198">
        <v>41822</v>
      </c>
      <c r="S808" s="176">
        <f>(AE808*BS808)/100</f>
        <v>3.5862650929317601</v>
      </c>
      <c r="T808" s="198"/>
      <c r="U808" s="176">
        <v>16.2</v>
      </c>
      <c r="Y808" s="200">
        <f>(AE808*BU808)/100</f>
        <v>1.3770668837335505</v>
      </c>
      <c r="Z808" s="198"/>
      <c r="AA808" s="200"/>
      <c r="AB808" s="198"/>
      <c r="AC808" s="378">
        <f t="shared" si="12"/>
        <v>6.7012345679012348</v>
      </c>
      <c r="AE808" s="176">
        <f>(M808/U808)*((100-CC808)/(100-9))*100</f>
        <v>7.3639940306606979</v>
      </c>
      <c r="AF808" s="198">
        <v>41822</v>
      </c>
      <c r="AG808" s="176">
        <v>4.8</v>
      </c>
      <c r="AH808" s="196">
        <v>41927</v>
      </c>
      <c r="AI808" s="176">
        <v>50</v>
      </c>
      <c r="AM808" s="176">
        <v>78</v>
      </c>
      <c r="BG808" s="201">
        <v>6.4</v>
      </c>
      <c r="BI808" s="201">
        <v>4.9000000000000004</v>
      </c>
      <c r="BK808" s="201">
        <v>1.4</v>
      </c>
      <c r="BM808" s="201">
        <v>67.3</v>
      </c>
      <c r="BO808" s="201">
        <v>20</v>
      </c>
      <c r="BQ808" s="201">
        <v>8.3000000000000007</v>
      </c>
      <c r="BS808" s="201">
        <v>48.7</v>
      </c>
      <c r="BU808" s="201">
        <v>18.7</v>
      </c>
      <c r="BW808" s="201">
        <v>51.7</v>
      </c>
      <c r="BY808" s="178">
        <v>6.0999999999999943</v>
      </c>
      <c r="CC808" s="201">
        <v>5.6</v>
      </c>
      <c r="CD808" s="198">
        <v>41822</v>
      </c>
      <c r="CI808" s="174" t="s">
        <v>9380</v>
      </c>
      <c r="CL808" s="174">
        <v>9</v>
      </c>
    </row>
    <row r="809" spans="1:91">
      <c r="A809" s="191" t="s">
        <v>7725</v>
      </c>
      <c r="B809" s="192" t="s">
        <v>269</v>
      </c>
      <c r="C809" s="192" t="s">
        <v>8997</v>
      </c>
      <c r="D809" s="192" t="s">
        <v>8594</v>
      </c>
      <c r="E809" s="193">
        <v>281</v>
      </c>
      <c r="F809" s="193">
        <v>4</v>
      </c>
      <c r="K809" s="176">
        <v>6</v>
      </c>
      <c r="M809" s="197">
        <v>3.1</v>
      </c>
      <c r="N809" s="198">
        <v>41822</v>
      </c>
      <c r="S809" s="176">
        <f>(AE809*BS809)/100</f>
        <v>9.7680911680911695</v>
      </c>
      <c r="T809" s="198"/>
      <c r="U809" s="176">
        <v>16.2</v>
      </c>
      <c r="Y809" s="200">
        <f>(AE809*BU809)/100</f>
        <v>3.4487342287342297</v>
      </c>
      <c r="Z809" s="198"/>
      <c r="AA809" s="200"/>
      <c r="AB809" s="198"/>
      <c r="AC809" s="378">
        <f t="shared" si="12"/>
        <v>18.140740740740743</v>
      </c>
      <c r="AE809" s="176">
        <f>(M809/U809)*((100-CC809)/(100-9))*100</f>
        <v>19.934879934879937</v>
      </c>
      <c r="AF809" s="198">
        <v>41822</v>
      </c>
      <c r="AG809" s="176">
        <v>4.8</v>
      </c>
      <c r="AH809" s="196">
        <v>41927</v>
      </c>
      <c r="AI809" s="176">
        <v>125</v>
      </c>
      <c r="AM809" s="176">
        <v>80</v>
      </c>
      <c r="BG809" s="201">
        <v>0</v>
      </c>
      <c r="BI809" s="201">
        <v>5</v>
      </c>
      <c r="BK809" s="201">
        <v>1.6</v>
      </c>
      <c r="BM809" s="201">
        <v>62.3</v>
      </c>
      <c r="BO809" s="201">
        <v>21.3</v>
      </c>
      <c r="BQ809" s="201">
        <v>7.8</v>
      </c>
      <c r="BS809" s="201">
        <v>49</v>
      </c>
      <c r="BU809" s="201">
        <v>17.3</v>
      </c>
      <c r="BW809" s="201">
        <v>17.899999999999999</v>
      </c>
      <c r="BY809" s="178">
        <v>6.5</v>
      </c>
      <c r="CC809" s="201">
        <v>5.2</v>
      </c>
      <c r="CD809" s="198">
        <v>41822</v>
      </c>
      <c r="CI809" s="174" t="s">
        <v>9390</v>
      </c>
      <c r="CL809" s="174">
        <v>3</v>
      </c>
    </row>
    <row r="810" spans="1:91">
      <c r="A810" s="191" t="s">
        <v>7812</v>
      </c>
      <c r="B810" s="192" t="s">
        <v>269</v>
      </c>
      <c r="C810" s="192" t="s">
        <v>8997</v>
      </c>
      <c r="D810" s="192" t="s">
        <v>8942</v>
      </c>
      <c r="E810" s="193">
        <v>281</v>
      </c>
      <c r="F810" s="193">
        <v>5</v>
      </c>
      <c r="K810" s="176">
        <v>7</v>
      </c>
      <c r="M810" s="197">
        <v>3.95</v>
      </c>
      <c r="N810" s="198">
        <v>41822</v>
      </c>
      <c r="S810" s="176">
        <f>(AE810*BS810)/100</f>
        <v>13.456258309591647</v>
      </c>
      <c r="T810" s="198"/>
      <c r="U810" s="176">
        <v>16.2</v>
      </c>
      <c r="Y810" s="200">
        <f>(AE810*BU810)/100</f>
        <v>3.8193515126848467</v>
      </c>
      <c r="Z810" s="198"/>
      <c r="AA810" s="200"/>
      <c r="AB810" s="198"/>
      <c r="AC810" s="378">
        <f t="shared" si="12"/>
        <v>23.017283950617287</v>
      </c>
      <c r="AE810" s="176">
        <f>(M810/U810)*((100-CC810)/(100-9))*100</f>
        <v>25.293718627051966</v>
      </c>
      <c r="AF810" s="198">
        <v>41822</v>
      </c>
      <c r="AG810" s="176">
        <v>5.2</v>
      </c>
      <c r="AH810" s="196">
        <v>41927</v>
      </c>
      <c r="AI810" s="176">
        <v>145</v>
      </c>
      <c r="AM810" s="176">
        <v>79</v>
      </c>
      <c r="BG810" s="201">
        <v>0</v>
      </c>
      <c r="BI810" s="201">
        <v>4.7</v>
      </c>
      <c r="BK810" s="201">
        <v>1.6</v>
      </c>
      <c r="BM810" s="201">
        <v>65.599999999999994</v>
      </c>
      <c r="BO810" s="201">
        <v>19.3</v>
      </c>
      <c r="BQ810" s="201">
        <v>7.7</v>
      </c>
      <c r="BS810" s="201">
        <v>53.2</v>
      </c>
      <c r="BU810" s="201">
        <v>15.1</v>
      </c>
      <c r="BW810" s="201">
        <v>19.3</v>
      </c>
      <c r="BY810" s="178">
        <v>5.7999999999999972</v>
      </c>
      <c r="CC810" s="201">
        <v>5.6</v>
      </c>
      <c r="CD810" s="198">
        <v>41822</v>
      </c>
      <c r="CI810" s="174" t="s">
        <v>9364</v>
      </c>
      <c r="CL810" s="174">
        <v>2</v>
      </c>
    </row>
    <row r="811" spans="1:91">
      <c r="A811" s="191" t="s">
        <v>7719</v>
      </c>
      <c r="B811" s="192" t="s">
        <v>269</v>
      </c>
      <c r="C811" s="192" t="s">
        <v>8997</v>
      </c>
      <c r="D811" s="192" t="s">
        <v>8570</v>
      </c>
      <c r="E811" s="193">
        <v>281</v>
      </c>
      <c r="F811" s="193">
        <v>6</v>
      </c>
      <c r="K811" s="176">
        <v>7</v>
      </c>
      <c r="M811" s="197">
        <v>1.8</v>
      </c>
      <c r="N811" s="198">
        <v>41822</v>
      </c>
      <c r="S811" s="176">
        <f>(AE811*BS811)/100</f>
        <v>5.5441269841269856</v>
      </c>
      <c r="T811" s="198"/>
      <c r="U811" s="176">
        <v>16.2</v>
      </c>
      <c r="Y811" s="200">
        <f>(AE811*BU811)/100</f>
        <v>2.1093040293040297</v>
      </c>
      <c r="Z811" s="198"/>
      <c r="AA811" s="200"/>
      <c r="AB811" s="198"/>
      <c r="AC811" s="378">
        <f t="shared" si="12"/>
        <v>10.488888888888891</v>
      </c>
      <c r="AE811" s="176">
        <f>(M811/U811)*((100-CC811)/(100-9))*100</f>
        <v>11.526251526251528</v>
      </c>
      <c r="AF811" s="198">
        <v>41822</v>
      </c>
      <c r="AG811" s="176">
        <v>4.3</v>
      </c>
      <c r="AH811" s="196">
        <v>41927</v>
      </c>
      <c r="AI811" s="176">
        <v>120</v>
      </c>
      <c r="AM811" s="176">
        <v>79</v>
      </c>
      <c r="BG811" s="201">
        <v>4.5</v>
      </c>
      <c r="BI811" s="201">
        <v>4.7</v>
      </c>
      <c r="BK811" s="201">
        <v>1.5</v>
      </c>
      <c r="BM811" s="201">
        <v>62.9</v>
      </c>
      <c r="BO811" s="201">
        <v>21.9</v>
      </c>
      <c r="BQ811" s="201">
        <v>7.9</v>
      </c>
      <c r="BS811" s="201">
        <v>48.1</v>
      </c>
      <c r="BU811" s="201">
        <v>18.3</v>
      </c>
      <c r="BW811" s="201">
        <v>27.7</v>
      </c>
      <c r="BY811" s="178">
        <v>6.2000000000000028</v>
      </c>
      <c r="CC811" s="201">
        <v>5.6</v>
      </c>
      <c r="CD811" s="198">
        <v>41822</v>
      </c>
      <c r="CI811" s="174" t="s">
        <v>9378</v>
      </c>
      <c r="CL811" s="174">
        <v>7</v>
      </c>
    </row>
    <row r="812" spans="1:91">
      <c r="A812" s="202" t="s">
        <v>7653</v>
      </c>
      <c r="B812" s="203" t="s">
        <v>271</v>
      </c>
      <c r="C812" s="203" t="s">
        <v>8999</v>
      </c>
      <c r="D812" s="203" t="s">
        <v>8308</v>
      </c>
      <c r="E812" s="204">
        <v>281</v>
      </c>
      <c r="F812" s="204">
        <v>7</v>
      </c>
      <c r="G812" s="204"/>
      <c r="H812" s="204"/>
      <c r="I812" s="206"/>
      <c r="J812" s="206"/>
      <c r="K812" s="177">
        <v>9</v>
      </c>
      <c r="L812" s="207"/>
      <c r="M812" s="208">
        <v>1.6</v>
      </c>
      <c r="N812" s="209">
        <v>41822</v>
      </c>
      <c r="O812" s="183"/>
      <c r="P812" s="210"/>
      <c r="Q812" s="183"/>
      <c r="R812" s="210"/>
      <c r="S812" s="177">
        <f>(AE812*BS812)/100</f>
        <v>4.2565079365079361</v>
      </c>
      <c r="T812" s="209"/>
      <c r="U812" s="177">
        <v>16.2</v>
      </c>
      <c r="V812" s="210"/>
      <c r="W812" s="183"/>
      <c r="X812" s="210"/>
      <c r="Y812" s="213">
        <f>(AE812*BU812)/100</f>
        <v>2.2857142857142856</v>
      </c>
      <c r="Z812" s="209"/>
      <c r="AA812" s="213"/>
      <c r="AB812" s="209"/>
      <c r="AC812" s="378">
        <f t="shared" si="12"/>
        <v>9.2444444444444454</v>
      </c>
      <c r="AD812" s="207"/>
      <c r="AE812" s="177">
        <f>(M812/U812)*((100-CC812)/(100-9))*100</f>
        <v>10.158730158730158</v>
      </c>
      <c r="AF812" s="209">
        <v>41822</v>
      </c>
      <c r="AG812" s="177">
        <v>3.7</v>
      </c>
      <c r="AH812" s="207">
        <v>41927</v>
      </c>
      <c r="AI812" s="177">
        <v>50</v>
      </c>
      <c r="AJ812" s="207"/>
      <c r="AK812" s="183"/>
      <c r="AL812" s="210"/>
      <c r="AM812" s="177">
        <v>88</v>
      </c>
      <c r="AN812" s="210"/>
      <c r="AO812" s="183"/>
      <c r="AP812" s="183"/>
      <c r="AQ812" s="183"/>
      <c r="AR812" s="183"/>
      <c r="AS812" s="183"/>
      <c r="AT812" s="183"/>
      <c r="AU812" s="183"/>
      <c r="AV812" s="183"/>
      <c r="AW812" s="183"/>
      <c r="AX812" s="183"/>
      <c r="AY812" s="183"/>
      <c r="AZ812" s="183"/>
      <c r="BA812" s="183"/>
      <c r="BB812" s="183"/>
      <c r="BC812" s="183"/>
      <c r="BD812" s="183"/>
      <c r="BE812" s="182"/>
      <c r="BF812" s="182"/>
      <c r="BG812" s="211">
        <v>3.7</v>
      </c>
      <c r="BH812" s="181"/>
      <c r="BI812" s="211">
        <v>4.7</v>
      </c>
      <c r="BJ812" s="181"/>
      <c r="BK812" s="211">
        <v>1.6</v>
      </c>
      <c r="BL812" s="181"/>
      <c r="BM812" s="211">
        <v>63.6</v>
      </c>
      <c r="BN812" s="181"/>
      <c r="BO812" s="211">
        <v>21.2</v>
      </c>
      <c r="BP812" s="181"/>
      <c r="BQ812" s="211">
        <v>6.9</v>
      </c>
      <c r="BR812" s="181"/>
      <c r="BS812" s="211">
        <v>41.9</v>
      </c>
      <c r="BT812" s="181"/>
      <c r="BU812" s="211">
        <v>22.5</v>
      </c>
      <c r="BV812" s="181"/>
      <c r="BW812" s="211">
        <v>58.8</v>
      </c>
      <c r="BX812" s="181"/>
      <c r="BY812" s="181">
        <v>6.7000000000000028</v>
      </c>
      <c r="BZ812" s="181"/>
      <c r="CA812" s="182"/>
      <c r="CB812" s="182"/>
      <c r="CC812" s="211">
        <v>6.4</v>
      </c>
      <c r="CD812" s="209">
        <v>41822</v>
      </c>
      <c r="CE812" s="181"/>
      <c r="CF812" s="181"/>
      <c r="CG812" s="182"/>
      <c r="CH812" s="182"/>
      <c r="CI812" s="175" t="s">
        <v>9351</v>
      </c>
      <c r="CJ812" s="181"/>
      <c r="CK812" s="181"/>
      <c r="CL812" s="175">
        <v>9</v>
      </c>
      <c r="CM812" s="175"/>
    </row>
    <row r="813" spans="1:91">
      <c r="A813" s="191" t="s">
        <v>7636</v>
      </c>
      <c r="B813" s="192" t="s">
        <v>271</v>
      </c>
      <c r="C813" s="192" t="s">
        <v>8999</v>
      </c>
      <c r="D813" s="192" t="s">
        <v>8240</v>
      </c>
      <c r="E813" s="193">
        <v>281</v>
      </c>
      <c r="F813" s="193">
        <v>8</v>
      </c>
      <c r="K813" s="176">
        <v>8</v>
      </c>
      <c r="M813" s="197">
        <v>2.5</v>
      </c>
      <c r="N813" s="198">
        <v>41822</v>
      </c>
      <c r="S813" s="176">
        <f>(AE813*BS813)/100</f>
        <v>7.0551485551485564</v>
      </c>
      <c r="T813" s="198"/>
      <c r="U813" s="176">
        <v>16.2</v>
      </c>
      <c r="Y813" s="200">
        <f>(AE813*BU813)/100</f>
        <v>3.2892246642246645</v>
      </c>
      <c r="Z813" s="198"/>
      <c r="AA813" s="200"/>
      <c r="AB813" s="198"/>
      <c r="AC813" s="378">
        <f t="shared" si="12"/>
        <v>14.459876543209878</v>
      </c>
      <c r="AE813" s="176">
        <f>(M813/U813)*((100-CC813)/(100-9))*100</f>
        <v>15.88997422330756</v>
      </c>
      <c r="AF813" s="198">
        <v>41822</v>
      </c>
      <c r="AG813" s="176">
        <v>4.4000000000000004</v>
      </c>
      <c r="AH813" s="196">
        <v>41927</v>
      </c>
      <c r="AI813" s="176">
        <v>110</v>
      </c>
      <c r="AM813" s="176">
        <v>88</v>
      </c>
      <c r="BG813" s="201">
        <v>11.5</v>
      </c>
      <c r="BI813" s="201">
        <v>5</v>
      </c>
      <c r="BK813" s="201">
        <v>1.3</v>
      </c>
      <c r="BM813" s="201">
        <v>54.8</v>
      </c>
      <c r="BO813" s="201">
        <v>19.5</v>
      </c>
      <c r="BQ813" s="201">
        <v>8.8000000000000007</v>
      </c>
      <c r="BS813" s="201">
        <v>44.4</v>
      </c>
      <c r="BU813" s="201">
        <v>20.7</v>
      </c>
      <c r="BW813" s="201">
        <v>78.2</v>
      </c>
      <c r="BY813" s="178">
        <v>6.7999999999999972</v>
      </c>
      <c r="CC813" s="201">
        <v>6.3</v>
      </c>
      <c r="CD813" s="198">
        <v>41822</v>
      </c>
      <c r="CI813" s="174" t="s">
        <v>9351</v>
      </c>
      <c r="CL813" s="174">
        <v>8</v>
      </c>
    </row>
    <row r="814" spans="1:91">
      <c r="A814" s="191" t="s">
        <v>7679</v>
      </c>
      <c r="B814" s="192" t="s">
        <v>271</v>
      </c>
      <c r="C814" s="192" t="s">
        <v>8999</v>
      </c>
      <c r="D814" s="192" t="s">
        <v>8412</v>
      </c>
      <c r="E814" s="193">
        <v>281</v>
      </c>
      <c r="F814" s="193">
        <v>9</v>
      </c>
      <c r="K814" s="176">
        <v>7</v>
      </c>
      <c r="M814" s="197">
        <v>4.45</v>
      </c>
      <c r="N814" s="198">
        <v>41822</v>
      </c>
      <c r="S814" s="176">
        <f>(AE814*BS814)/100</f>
        <v>13.715580993080991</v>
      </c>
      <c r="T814" s="198"/>
      <c r="U814" s="176">
        <v>16.2</v>
      </c>
      <c r="Y814" s="200">
        <f>(AE814*BU814)/100</f>
        <v>5.1820675620675605</v>
      </c>
      <c r="Z814" s="198"/>
      <c r="AA814" s="200"/>
      <c r="AB814" s="198"/>
      <c r="AC814" s="378">
        <f t="shared" si="12"/>
        <v>25.628703703703703</v>
      </c>
      <c r="AE814" s="176">
        <f>(M814/U814)*((100-CC814)/(100-9))*100</f>
        <v>28.163410663410659</v>
      </c>
      <c r="AF814" s="198">
        <v>41822</v>
      </c>
      <c r="AG814" s="176">
        <v>4.5999999999999996</v>
      </c>
      <c r="AH814" s="196">
        <v>41927</v>
      </c>
      <c r="AI814" s="176">
        <v>145</v>
      </c>
      <c r="AM814" s="176">
        <v>87</v>
      </c>
      <c r="BG814" s="201">
        <v>5.5</v>
      </c>
      <c r="BI814" s="201">
        <v>4.8</v>
      </c>
      <c r="BK814" s="201">
        <v>1.6</v>
      </c>
      <c r="BM814" s="201">
        <v>66.3</v>
      </c>
      <c r="BO814" s="201">
        <v>22.8</v>
      </c>
      <c r="BQ814" s="201">
        <v>7</v>
      </c>
      <c r="BS814" s="201">
        <v>48.7</v>
      </c>
      <c r="BU814" s="201">
        <v>18.399999999999999</v>
      </c>
      <c r="BW814" s="201">
        <v>19.2</v>
      </c>
      <c r="BY814" s="178">
        <v>6.0999999999999943</v>
      </c>
      <c r="CC814" s="201">
        <v>6.7</v>
      </c>
      <c r="CD814" s="198">
        <v>41822</v>
      </c>
      <c r="CI814" s="174" t="s">
        <v>9350</v>
      </c>
      <c r="CL814" s="174">
        <v>4</v>
      </c>
    </row>
    <row r="815" spans="1:91">
      <c r="A815" s="191" t="s">
        <v>7761</v>
      </c>
      <c r="B815" s="192" t="s">
        <v>271</v>
      </c>
      <c r="C815" s="192" t="s">
        <v>8999</v>
      </c>
      <c r="D815" s="192" t="s">
        <v>8740</v>
      </c>
      <c r="E815" s="193">
        <v>281</v>
      </c>
      <c r="F815" s="193">
        <v>10</v>
      </c>
      <c r="K815" s="176">
        <v>8</v>
      </c>
      <c r="M815" s="197">
        <v>0.55000000000000004</v>
      </c>
      <c r="N815" s="198">
        <v>41822</v>
      </c>
      <c r="S815" s="176">
        <f>(AE815*BS815)/100</f>
        <v>1.6535256410256414</v>
      </c>
      <c r="T815" s="198"/>
      <c r="U815" s="176">
        <v>16.2</v>
      </c>
      <c r="Y815" s="200">
        <f>(AE815*BU815)/100</f>
        <v>0.69455128205128214</v>
      </c>
      <c r="Z815" s="198"/>
      <c r="AA815" s="200"/>
      <c r="AB815" s="198"/>
      <c r="AC815" s="378">
        <f t="shared" si="12"/>
        <v>3.2083333333333339</v>
      </c>
      <c r="AE815" s="176">
        <f>(M815/U815)*((100-CC815)/(100-9))*100</f>
        <v>3.5256410256410264</v>
      </c>
      <c r="AF815" s="198">
        <v>41822</v>
      </c>
      <c r="AG815" s="176">
        <v>4.2</v>
      </c>
      <c r="AH815" s="196">
        <v>41927</v>
      </c>
      <c r="AI815" s="176">
        <v>20</v>
      </c>
      <c r="AM815" s="176">
        <v>85</v>
      </c>
      <c r="BG815" s="201">
        <v>10.3</v>
      </c>
      <c r="BI815" s="201">
        <v>4.0999999999999996</v>
      </c>
      <c r="BK815" s="201">
        <v>1.3</v>
      </c>
      <c r="BM815" s="201">
        <v>67.599999999999994</v>
      </c>
      <c r="BO815" s="201">
        <v>16.2</v>
      </c>
      <c r="BQ815" s="201">
        <v>8</v>
      </c>
      <c r="BS815" s="201">
        <v>46.9</v>
      </c>
      <c r="BU815" s="201">
        <v>19.7</v>
      </c>
      <c r="BW815" s="201">
        <v>77.900000000000006</v>
      </c>
      <c r="BY815" s="178">
        <v>6.0999999999999943</v>
      </c>
      <c r="CC815" s="201">
        <v>5.5</v>
      </c>
      <c r="CD815" s="198">
        <v>41822</v>
      </c>
      <c r="CI815" s="174" t="s">
        <v>9373</v>
      </c>
      <c r="CL815" s="174">
        <v>9</v>
      </c>
    </row>
    <row r="816" spans="1:91">
      <c r="A816" s="191" t="s">
        <v>7748</v>
      </c>
      <c r="B816" s="192" t="s">
        <v>271</v>
      </c>
      <c r="C816" s="192" t="s">
        <v>8999</v>
      </c>
      <c r="D816" s="192" t="s">
        <v>8688</v>
      </c>
      <c r="E816" s="193">
        <v>281</v>
      </c>
      <c r="F816" s="193">
        <v>11</v>
      </c>
      <c r="K816" s="176">
        <v>8</v>
      </c>
      <c r="M816" s="197">
        <v>1.1000000000000001</v>
      </c>
      <c r="N816" s="198">
        <v>41822</v>
      </c>
      <c r="S816" s="176">
        <f>(AE816*BS816)/100</f>
        <v>3.2475593542260208</v>
      </c>
      <c r="T816" s="198"/>
      <c r="U816" s="176">
        <v>16.2</v>
      </c>
      <c r="Y816" s="200">
        <f>(AE816*BU816)/100</f>
        <v>1.5047958214624881</v>
      </c>
      <c r="Z816" s="198"/>
      <c r="AA816" s="200"/>
      <c r="AB816" s="198"/>
      <c r="AC816" s="378">
        <f t="shared" si="12"/>
        <v>6.3691358024691365</v>
      </c>
      <c r="AE816" s="176">
        <f>(M816/U816)*((100-CC816)/(100-9))*100</f>
        <v>6.9990503323836659</v>
      </c>
      <c r="AF816" s="198">
        <v>41822</v>
      </c>
      <c r="AG816" s="176">
        <v>4</v>
      </c>
      <c r="AH816" s="196">
        <v>41927</v>
      </c>
      <c r="AI816" s="176">
        <v>110</v>
      </c>
      <c r="AM816" s="176">
        <v>91</v>
      </c>
      <c r="BG816" s="201">
        <v>37.799999999999997</v>
      </c>
      <c r="BI816" s="201">
        <v>4.5999999999999996</v>
      </c>
      <c r="BK816" s="201">
        <v>1</v>
      </c>
      <c r="BM816" s="201">
        <v>32.799999999999997</v>
      </c>
      <c r="BO816" s="201">
        <v>15.6</v>
      </c>
      <c r="BQ816" s="201">
        <v>9.1999999999999993</v>
      </c>
      <c r="BS816" s="201">
        <v>46.4</v>
      </c>
      <c r="BU816" s="201">
        <v>21.5</v>
      </c>
      <c r="BW816" s="201">
        <v>87.2</v>
      </c>
      <c r="BY816" s="178">
        <v>6.2000000000000028</v>
      </c>
      <c r="CC816" s="201">
        <v>6.2</v>
      </c>
      <c r="CD816" s="198">
        <v>41822</v>
      </c>
      <c r="CI816" s="174" t="s">
        <v>9351</v>
      </c>
      <c r="CL816" s="174">
        <v>9</v>
      </c>
    </row>
    <row r="817" spans="1:91">
      <c r="A817" s="191" t="s">
        <v>7660</v>
      </c>
      <c r="B817" s="192" t="s">
        <v>271</v>
      </c>
      <c r="C817" s="192" t="s">
        <v>8999</v>
      </c>
      <c r="D817" s="192" t="s">
        <v>8336</v>
      </c>
      <c r="E817" s="193">
        <v>281</v>
      </c>
      <c r="F817" s="193">
        <v>12</v>
      </c>
      <c r="K817" s="176">
        <v>8</v>
      </c>
      <c r="M817" s="197">
        <v>2.15</v>
      </c>
      <c r="N817" s="198">
        <v>41822</v>
      </c>
      <c r="S817" s="176">
        <f>(AE817*BS817)/100</f>
        <v>6.5394301994302007</v>
      </c>
      <c r="T817" s="198"/>
      <c r="U817" s="176">
        <v>16.2</v>
      </c>
      <c r="Y817" s="200">
        <f>(AE817*BU817)/100</f>
        <v>2.486632071632072</v>
      </c>
      <c r="Z817" s="198"/>
      <c r="AA817" s="200"/>
      <c r="AB817" s="198"/>
      <c r="AC817" s="378">
        <f t="shared" si="12"/>
        <v>12.501851851851853</v>
      </c>
      <c r="AE817" s="176">
        <f>(M817/U817)*((100-CC817)/(100-9))*100</f>
        <v>13.73829873829874</v>
      </c>
      <c r="AF817" s="198">
        <v>41822</v>
      </c>
      <c r="AG817" s="176">
        <v>4.9000000000000004</v>
      </c>
      <c r="AH817" s="196">
        <v>41927</v>
      </c>
      <c r="AI817" s="176">
        <v>135</v>
      </c>
      <c r="AM817" s="176">
        <v>86</v>
      </c>
      <c r="BG817" s="201">
        <v>8.1999999999999993</v>
      </c>
      <c r="BI817" s="201">
        <v>4.7</v>
      </c>
      <c r="BK817" s="201">
        <v>1.3</v>
      </c>
      <c r="BM817" s="201">
        <v>64.400000000000006</v>
      </c>
      <c r="BO817" s="201">
        <v>20.399999999999999</v>
      </c>
      <c r="BQ817" s="201">
        <v>8.6</v>
      </c>
      <c r="BS817" s="201">
        <v>47.6</v>
      </c>
      <c r="BU817" s="201">
        <v>18.100000000000001</v>
      </c>
      <c r="BW817" s="201">
        <v>72.2</v>
      </c>
      <c r="BY817" s="178">
        <v>6.2000000000000028</v>
      </c>
      <c r="CC817" s="201">
        <v>5.8</v>
      </c>
      <c r="CD817" s="198">
        <v>41822</v>
      </c>
      <c r="CI817" s="174" t="s">
        <v>9349</v>
      </c>
      <c r="CL817" s="174">
        <v>1</v>
      </c>
    </row>
    <row r="818" spans="1:91">
      <c r="A818" s="191" t="s">
        <v>7663</v>
      </c>
      <c r="B818" s="192" t="s">
        <v>269</v>
      </c>
      <c r="C818" s="192" t="s">
        <v>8997</v>
      </c>
      <c r="D818" s="192" t="s">
        <v>8346</v>
      </c>
      <c r="E818" s="193">
        <v>282</v>
      </c>
      <c r="F818" s="193">
        <v>1</v>
      </c>
      <c r="K818" s="176">
        <v>7</v>
      </c>
      <c r="M818" s="197">
        <v>4.4000000000000004</v>
      </c>
      <c r="N818" s="198">
        <v>41822</v>
      </c>
      <c r="S818" s="176">
        <f>(AE818*BS818)/100</f>
        <v>13.130158730158733</v>
      </c>
      <c r="T818" s="198"/>
      <c r="U818" s="176">
        <v>16.2</v>
      </c>
      <c r="Y818" s="200">
        <f>(AE818*BU818)/100</f>
        <v>5.4428435761769105</v>
      </c>
      <c r="Z818" s="198"/>
      <c r="AA818" s="200"/>
      <c r="AB818" s="198"/>
      <c r="AC818" s="378">
        <f t="shared" si="12"/>
        <v>25.530864197530867</v>
      </c>
      <c r="AE818" s="176">
        <f>(M818/U818)*((100-CC818)/(100-9))*100</f>
        <v>28.055894722561398</v>
      </c>
      <c r="AF818" s="198">
        <v>41822</v>
      </c>
      <c r="AG818" s="176">
        <v>4.5</v>
      </c>
      <c r="AH818" s="196">
        <v>41927</v>
      </c>
      <c r="AI818" s="176">
        <v>125</v>
      </c>
      <c r="AM818" s="176">
        <v>90</v>
      </c>
      <c r="BG818" s="201">
        <v>22.7</v>
      </c>
      <c r="BI818" s="201">
        <v>4.5</v>
      </c>
      <c r="BK818" s="201">
        <v>1.3</v>
      </c>
      <c r="BM818" s="201">
        <v>46.8</v>
      </c>
      <c r="BO818" s="201">
        <v>18.7</v>
      </c>
      <c r="BQ818" s="201">
        <v>9.8000000000000007</v>
      </c>
      <c r="BS818" s="201">
        <v>46.8</v>
      </c>
      <c r="BU818" s="201">
        <v>19.399999999999999</v>
      </c>
      <c r="BW818" s="201">
        <v>28.5</v>
      </c>
      <c r="BY818" s="178">
        <v>7.0999999999999943</v>
      </c>
      <c r="CC818" s="201">
        <v>6</v>
      </c>
      <c r="CD818" s="198">
        <v>41822</v>
      </c>
      <c r="CI818" s="174" t="s">
        <v>9335</v>
      </c>
      <c r="CL818" s="174">
        <v>5</v>
      </c>
    </row>
    <row r="819" spans="1:91">
      <c r="A819" s="191" t="s">
        <v>7897</v>
      </c>
      <c r="B819" s="192" t="s">
        <v>269</v>
      </c>
      <c r="C819" s="192" t="s">
        <v>8997</v>
      </c>
      <c r="D819" s="192" t="s">
        <v>8970</v>
      </c>
      <c r="E819" s="193">
        <v>282</v>
      </c>
      <c r="F819" s="193">
        <v>2</v>
      </c>
      <c r="K819" s="176">
        <v>7</v>
      </c>
      <c r="M819" s="197">
        <v>2.2999999999999998</v>
      </c>
      <c r="N819" s="198">
        <v>41822</v>
      </c>
      <c r="S819" s="176">
        <f>(AE819*BS819)/100</f>
        <v>7.3285470085470088</v>
      </c>
      <c r="T819" s="198"/>
      <c r="U819" s="176">
        <v>16.2</v>
      </c>
      <c r="Y819" s="200">
        <f>(AE819*BU819)/100</f>
        <v>2.6027974494641164</v>
      </c>
      <c r="Z819" s="198"/>
      <c r="AA819" s="200"/>
      <c r="AB819" s="198"/>
      <c r="AC819" s="378">
        <f t="shared" si="12"/>
        <v>13.232098765432099</v>
      </c>
      <c r="AE819" s="176">
        <f>(M819/U819)*((100-CC819)/(100-9))*100</f>
        <v>14.54076787410121</v>
      </c>
      <c r="AF819" s="198">
        <v>41822</v>
      </c>
      <c r="AG819" s="176">
        <v>4.5</v>
      </c>
      <c r="AH819" s="196">
        <v>41927</v>
      </c>
      <c r="AI819" s="176">
        <v>105</v>
      </c>
      <c r="AM819" s="176">
        <v>77</v>
      </c>
      <c r="BG819" s="201">
        <v>1.7</v>
      </c>
      <c r="BI819" s="201">
        <v>4.4000000000000004</v>
      </c>
      <c r="BK819" s="201">
        <v>1.5</v>
      </c>
      <c r="BM819" s="201">
        <v>63.9</v>
      </c>
      <c r="BO819" s="201">
        <v>18.8</v>
      </c>
      <c r="BQ819" s="201">
        <v>9.6999999999999993</v>
      </c>
      <c r="BS819" s="201">
        <v>50.4</v>
      </c>
      <c r="BU819" s="201">
        <v>17.899999999999999</v>
      </c>
      <c r="BW819" s="201">
        <v>21</v>
      </c>
      <c r="BY819" s="178">
        <v>6.9000000000000057</v>
      </c>
      <c r="CC819" s="201">
        <v>6.8</v>
      </c>
      <c r="CD819" s="198">
        <v>41822</v>
      </c>
      <c r="CI819" s="174" t="s">
        <v>9354</v>
      </c>
      <c r="CL819" s="174">
        <v>2</v>
      </c>
    </row>
    <row r="820" spans="1:91">
      <c r="A820" s="202" t="s">
        <v>7653</v>
      </c>
      <c r="B820" s="203" t="s">
        <v>269</v>
      </c>
      <c r="C820" s="203" t="s">
        <v>8997</v>
      </c>
      <c r="D820" s="203" t="s">
        <v>8306</v>
      </c>
      <c r="E820" s="204">
        <v>282</v>
      </c>
      <c r="F820" s="204">
        <v>3</v>
      </c>
      <c r="G820" s="204"/>
      <c r="H820" s="204"/>
      <c r="I820" s="206"/>
      <c r="J820" s="206"/>
      <c r="K820" s="177">
        <v>8</v>
      </c>
      <c r="L820" s="207"/>
      <c r="M820" s="208">
        <v>0.65</v>
      </c>
      <c r="N820" s="209">
        <v>41822</v>
      </c>
      <c r="O820" s="183"/>
      <c r="P820" s="210"/>
      <c r="Q820" s="183"/>
      <c r="R820" s="210"/>
      <c r="S820" s="177">
        <f>(AE820*BS820)/100</f>
        <v>1.8467328042328046</v>
      </c>
      <c r="T820" s="209"/>
      <c r="U820" s="177">
        <v>16.2</v>
      </c>
      <c r="V820" s="210"/>
      <c r="W820" s="183"/>
      <c r="X820" s="210"/>
      <c r="Y820" s="213">
        <f>(AE820*BU820)/100</f>
        <v>0.8510670194003529</v>
      </c>
      <c r="Z820" s="209"/>
      <c r="AA820" s="213"/>
      <c r="AB820" s="209"/>
      <c r="AC820" s="378">
        <f t="shared" si="12"/>
        <v>3.7595679012345684</v>
      </c>
      <c r="AD820" s="207"/>
      <c r="AE820" s="177">
        <f>(M820/U820)*((100-CC820)/(100-9))*100</f>
        <v>4.1313932980599652</v>
      </c>
      <c r="AF820" s="209">
        <v>41822</v>
      </c>
      <c r="AG820" s="177">
        <v>4.4000000000000004</v>
      </c>
      <c r="AH820" s="207">
        <v>41927</v>
      </c>
      <c r="AI820" s="177">
        <v>50</v>
      </c>
      <c r="AJ820" s="207"/>
      <c r="AK820" s="183"/>
      <c r="AL820" s="210"/>
      <c r="AM820" s="177">
        <v>87</v>
      </c>
      <c r="AN820" s="210"/>
      <c r="AO820" s="183"/>
      <c r="AP820" s="183"/>
      <c r="AQ820" s="183"/>
      <c r="AR820" s="183"/>
      <c r="AS820" s="183"/>
      <c r="AT820" s="183"/>
      <c r="AU820" s="183"/>
      <c r="AV820" s="183"/>
      <c r="AW820" s="183"/>
      <c r="AX820" s="183"/>
      <c r="AY820" s="183"/>
      <c r="AZ820" s="183"/>
      <c r="BA820" s="183"/>
      <c r="BB820" s="183"/>
      <c r="BC820" s="183"/>
      <c r="BD820" s="183"/>
      <c r="BE820" s="182"/>
      <c r="BF820" s="182"/>
      <c r="BG820" s="211">
        <v>3.2</v>
      </c>
      <c r="BH820" s="181"/>
      <c r="BI820" s="211">
        <v>5</v>
      </c>
      <c r="BJ820" s="181"/>
      <c r="BK820" s="211">
        <v>1.5</v>
      </c>
      <c r="BL820" s="181"/>
      <c r="BM820" s="211">
        <v>63.2</v>
      </c>
      <c r="BN820" s="181"/>
      <c r="BO820" s="211">
        <v>21.4</v>
      </c>
      <c r="BP820" s="181"/>
      <c r="BQ820" s="211">
        <v>8.6999999999999993</v>
      </c>
      <c r="BR820" s="181"/>
      <c r="BS820" s="211">
        <v>44.7</v>
      </c>
      <c r="BT820" s="181"/>
      <c r="BU820" s="211">
        <v>20.6</v>
      </c>
      <c r="BV820" s="181"/>
      <c r="BW820" s="211">
        <v>64.7</v>
      </c>
      <c r="BX820" s="181"/>
      <c r="BY820" s="181">
        <v>6.7999999999999972</v>
      </c>
      <c r="BZ820" s="181"/>
      <c r="CA820" s="182"/>
      <c r="CB820" s="182"/>
      <c r="CC820" s="211">
        <v>6.3</v>
      </c>
      <c r="CD820" s="209">
        <v>41822</v>
      </c>
      <c r="CE820" s="181"/>
      <c r="CF820" s="181"/>
      <c r="CG820" s="182"/>
      <c r="CH820" s="182"/>
      <c r="CI820" s="175" t="s">
        <v>9380</v>
      </c>
      <c r="CJ820" s="181"/>
      <c r="CK820" s="181"/>
      <c r="CL820" s="175">
        <v>9</v>
      </c>
      <c r="CM820" s="175"/>
    </row>
    <row r="821" spans="1:91">
      <c r="A821" s="191" t="s">
        <v>7707</v>
      </c>
      <c r="B821" s="192" t="s">
        <v>269</v>
      </c>
      <c r="C821" s="192" t="s">
        <v>8997</v>
      </c>
      <c r="D821" s="192" t="s">
        <v>8522</v>
      </c>
      <c r="E821" s="193">
        <v>282</v>
      </c>
      <c r="F821" s="193">
        <v>4</v>
      </c>
      <c r="K821" s="176">
        <v>7</v>
      </c>
      <c r="M821" s="197">
        <v>2.4500000000000002</v>
      </c>
      <c r="N821" s="198">
        <v>41822</v>
      </c>
      <c r="S821" s="176">
        <f>(AE821*BS821)/100</f>
        <v>7.6554273504273498</v>
      </c>
      <c r="T821" s="198"/>
      <c r="U821" s="176">
        <v>16.2</v>
      </c>
      <c r="Y821" s="200">
        <f>(AE821*BU821)/100</f>
        <v>2.8022934472934469</v>
      </c>
      <c r="Z821" s="198"/>
      <c r="AA821" s="200"/>
      <c r="AB821" s="198"/>
      <c r="AC821" s="378">
        <f t="shared" si="12"/>
        <v>14.246296296296297</v>
      </c>
      <c r="AE821" s="176">
        <f>(M821/U821)*((100-CC821)/(100-9))*100</f>
        <v>15.655270655270655</v>
      </c>
      <c r="AF821" s="198">
        <v>41822</v>
      </c>
      <c r="AG821" s="176">
        <v>4.8</v>
      </c>
      <c r="AH821" s="196">
        <v>41927</v>
      </c>
      <c r="AI821" s="176">
        <v>135</v>
      </c>
      <c r="AM821" s="176">
        <v>85</v>
      </c>
      <c r="BG821" s="201">
        <v>0</v>
      </c>
      <c r="BI821" s="201">
        <v>4.8</v>
      </c>
      <c r="BK821" s="201">
        <v>1.6</v>
      </c>
      <c r="BM821" s="201">
        <v>64.099999999999994</v>
      </c>
      <c r="BO821" s="201">
        <v>20.8</v>
      </c>
      <c r="BQ821" s="201">
        <v>8.6</v>
      </c>
      <c r="BS821" s="201">
        <v>48.9</v>
      </c>
      <c r="BU821" s="201">
        <v>17.899999999999999</v>
      </c>
      <c r="BW821" s="201">
        <v>14.5</v>
      </c>
      <c r="BY821" s="178">
        <v>6.5999999999999943</v>
      </c>
      <c r="CC821" s="201">
        <v>5.8</v>
      </c>
      <c r="CD821" s="198">
        <v>41822</v>
      </c>
      <c r="CI821" s="174" t="s">
        <v>9378</v>
      </c>
      <c r="CL821" s="174">
        <v>5</v>
      </c>
    </row>
    <row r="822" spans="1:91">
      <c r="A822" s="191" t="s">
        <v>7810</v>
      </c>
      <c r="B822" s="192" t="s">
        <v>269</v>
      </c>
      <c r="C822" s="192" t="s">
        <v>8997</v>
      </c>
      <c r="D822" s="192" t="s">
        <v>8934</v>
      </c>
      <c r="E822" s="193">
        <v>282</v>
      </c>
      <c r="F822" s="193">
        <v>5</v>
      </c>
      <c r="K822" s="176">
        <v>6</v>
      </c>
      <c r="M822" s="197">
        <v>4</v>
      </c>
      <c r="N822" s="198">
        <v>41822</v>
      </c>
      <c r="S822" s="176">
        <f>(AE822*BS822)/100</f>
        <v>13.285470085470086</v>
      </c>
      <c r="T822" s="198"/>
      <c r="U822" s="176">
        <v>16.2</v>
      </c>
      <c r="Y822" s="200">
        <f>(AE822*BU822)/100</f>
        <v>4.0721747388414054</v>
      </c>
      <c r="Z822" s="198"/>
      <c r="AA822" s="200"/>
      <c r="AB822" s="198"/>
      <c r="AC822" s="378">
        <f t="shared" si="12"/>
        <v>23.160493827160494</v>
      </c>
      <c r="AE822" s="176">
        <f>(M822/U822)*((100-CC822)/(100-9))*100</f>
        <v>25.451092117758783</v>
      </c>
      <c r="AF822" s="198">
        <v>41822</v>
      </c>
      <c r="AG822" s="176">
        <v>4.7</v>
      </c>
      <c r="AH822" s="196">
        <v>41927</v>
      </c>
      <c r="AI822" s="176">
        <v>150</v>
      </c>
      <c r="AM822" s="176">
        <v>78</v>
      </c>
      <c r="BG822" s="201">
        <v>3.1</v>
      </c>
      <c r="BI822" s="201">
        <v>4.5</v>
      </c>
      <c r="BK822" s="201">
        <v>1.5</v>
      </c>
      <c r="BM822" s="201">
        <v>63.2</v>
      </c>
      <c r="BO822" s="201">
        <v>19.3</v>
      </c>
      <c r="BQ822" s="201">
        <v>9.8000000000000007</v>
      </c>
      <c r="BS822" s="201">
        <v>52.2</v>
      </c>
      <c r="BU822" s="201">
        <v>16</v>
      </c>
      <c r="BW822" s="201">
        <v>11.3</v>
      </c>
      <c r="BY822" s="178">
        <v>7</v>
      </c>
      <c r="CC822" s="201">
        <v>6.2</v>
      </c>
      <c r="CD822" s="198">
        <v>41822</v>
      </c>
      <c r="CI822" s="174" t="s">
        <v>9347</v>
      </c>
      <c r="CL822" s="174">
        <v>5</v>
      </c>
    </row>
    <row r="823" spans="1:91">
      <c r="A823" s="191" t="s">
        <v>7619</v>
      </c>
      <c r="B823" s="192" t="s">
        <v>269</v>
      </c>
      <c r="C823" s="192" t="s">
        <v>8997</v>
      </c>
      <c r="D823" s="192" t="s">
        <v>8170</v>
      </c>
      <c r="E823" s="193">
        <v>282</v>
      </c>
      <c r="F823" s="193">
        <v>6</v>
      </c>
      <c r="I823" s="184"/>
      <c r="K823" s="176">
        <v>8</v>
      </c>
      <c r="M823" s="197">
        <v>2.0499999999999998</v>
      </c>
      <c r="N823" s="198">
        <v>41822</v>
      </c>
      <c r="O823" s="179"/>
      <c r="S823" s="176">
        <f>(AE823*BS823)/100</f>
        <v>6.4916666666666671</v>
      </c>
      <c r="T823" s="198"/>
      <c r="U823" s="176">
        <v>16.2</v>
      </c>
      <c r="Y823" s="200">
        <f>(AE823*BU823)/100</f>
        <v>2.3391025641025642</v>
      </c>
      <c r="Z823" s="198"/>
      <c r="AA823" s="200"/>
      <c r="AB823" s="198"/>
      <c r="AC823" s="378">
        <f t="shared" si="12"/>
        <v>11.958333333333334</v>
      </c>
      <c r="AE823" s="176">
        <f>(M823/U823)*((100-CC823)/(100-9))*100</f>
        <v>13.141025641025642</v>
      </c>
      <c r="AF823" s="198">
        <v>41822</v>
      </c>
      <c r="AG823" s="176">
        <v>4.8</v>
      </c>
      <c r="AH823" s="196">
        <v>41927</v>
      </c>
      <c r="AI823" s="176">
        <v>110</v>
      </c>
      <c r="AM823" s="176">
        <v>86</v>
      </c>
      <c r="BG823" s="201">
        <v>49.8</v>
      </c>
      <c r="BI823" s="201">
        <v>4.5999999999999996</v>
      </c>
      <c r="BK823" s="201">
        <v>0.9</v>
      </c>
      <c r="BM823" s="201">
        <v>29.2</v>
      </c>
      <c r="BO823" s="201">
        <v>16.5</v>
      </c>
      <c r="BQ823" s="201">
        <v>9.4</v>
      </c>
      <c r="BS823" s="201">
        <v>49.4</v>
      </c>
      <c r="BU823" s="201">
        <v>17.8</v>
      </c>
      <c r="BW823" s="201">
        <v>73.5</v>
      </c>
      <c r="BY823" s="178">
        <v>6.2000000000000028</v>
      </c>
      <c r="CC823" s="201">
        <v>5.5</v>
      </c>
      <c r="CD823" s="198">
        <v>41822</v>
      </c>
      <c r="CI823" s="174" t="s">
        <v>9346</v>
      </c>
      <c r="CL823" s="174" t="s">
        <v>9001</v>
      </c>
    </row>
    <row r="824" spans="1:91">
      <c r="A824" s="191" t="s">
        <v>7732</v>
      </c>
      <c r="B824" s="192" t="s">
        <v>271</v>
      </c>
      <c r="C824" s="192" t="s">
        <v>8999</v>
      </c>
      <c r="D824" s="192" t="s">
        <v>8624</v>
      </c>
      <c r="E824" s="193">
        <v>282</v>
      </c>
      <c r="F824" s="193">
        <v>7</v>
      </c>
      <c r="K824" s="176">
        <v>7</v>
      </c>
      <c r="M824" s="197">
        <v>5.55</v>
      </c>
      <c r="N824" s="198">
        <v>41822</v>
      </c>
      <c r="S824" s="176">
        <f>(AE824*BS824)/100</f>
        <v>18.166141636141639</v>
      </c>
      <c r="T824" s="198"/>
      <c r="U824" s="176">
        <v>16.2</v>
      </c>
      <c r="Y824" s="200">
        <f>(AE824*BU824)/100</f>
        <v>6.4955555555555566</v>
      </c>
      <c r="Z824" s="198"/>
      <c r="AA824" s="200"/>
      <c r="AB824" s="198"/>
      <c r="AC824" s="378">
        <f t="shared" si="12"/>
        <v>32.477777777777781</v>
      </c>
      <c r="AE824" s="176">
        <f>(M824/U824)*((100-CC824)/(100-9))*100</f>
        <v>35.689865689865698</v>
      </c>
      <c r="AF824" s="198">
        <v>41822</v>
      </c>
      <c r="AG824" s="176">
        <v>4.7</v>
      </c>
      <c r="AH824" s="196">
        <v>41927</v>
      </c>
      <c r="AI824" s="176">
        <v>135</v>
      </c>
      <c r="AM824" s="176">
        <v>79</v>
      </c>
      <c r="BG824" s="201">
        <v>0</v>
      </c>
      <c r="BI824" s="201">
        <v>4.3</v>
      </c>
      <c r="BK824" s="201">
        <v>1.5</v>
      </c>
      <c r="BM824" s="201">
        <v>64.400000000000006</v>
      </c>
      <c r="BO824" s="201">
        <v>19.899999999999999</v>
      </c>
      <c r="BQ824" s="201">
        <v>9.1</v>
      </c>
      <c r="BS824" s="201">
        <v>50.9</v>
      </c>
      <c r="BU824" s="201">
        <v>18.2</v>
      </c>
      <c r="BW824" s="201">
        <v>16.2</v>
      </c>
      <c r="BY824" s="178">
        <v>5.9000000000000057</v>
      </c>
      <c r="CC824" s="201">
        <v>5.2</v>
      </c>
      <c r="CD824" s="198">
        <v>41822</v>
      </c>
      <c r="CI824" s="174" t="s">
        <v>9383</v>
      </c>
      <c r="CL824" s="174">
        <v>2</v>
      </c>
    </row>
    <row r="825" spans="1:91">
      <c r="A825" s="191" t="s">
        <v>7705</v>
      </c>
      <c r="B825" s="192" t="s">
        <v>271</v>
      </c>
      <c r="C825" s="192" t="s">
        <v>8999</v>
      </c>
      <c r="D825" s="192" t="s">
        <v>8516</v>
      </c>
      <c r="E825" s="193">
        <v>282</v>
      </c>
      <c r="F825" s="193">
        <v>8</v>
      </c>
      <c r="K825" s="176">
        <v>8</v>
      </c>
      <c r="M825" s="197">
        <v>5.05</v>
      </c>
      <c r="N825" s="198">
        <v>41822</v>
      </c>
      <c r="S825" s="176">
        <f>(AE825*BS825)/100</f>
        <v>16.629510921177587</v>
      </c>
      <c r="T825" s="198"/>
      <c r="U825" s="176">
        <v>16.2</v>
      </c>
      <c r="Y825" s="200">
        <f>(AE825*BU825)/100</f>
        <v>5.8577533577533583</v>
      </c>
      <c r="Z825" s="198"/>
      <c r="AA825" s="200"/>
      <c r="AB825" s="198"/>
      <c r="AC825" s="378">
        <f t="shared" si="12"/>
        <v>29.614197530864196</v>
      </c>
      <c r="AE825" s="176">
        <f>(M825/U825)*((100-CC825)/(100-9))*100</f>
        <v>32.54307420974088</v>
      </c>
      <c r="AF825" s="198">
        <v>41822</v>
      </c>
      <c r="AG825" s="176">
        <v>4.0999999999999996</v>
      </c>
      <c r="AH825" s="196">
        <v>41927</v>
      </c>
      <c r="AI825" s="176">
        <v>140</v>
      </c>
      <c r="AM825" s="176">
        <v>85</v>
      </c>
      <c r="BG825" s="201">
        <v>0</v>
      </c>
      <c r="BI825" s="201">
        <v>4.3</v>
      </c>
      <c r="BK825" s="201">
        <v>1.6</v>
      </c>
      <c r="BM825" s="201">
        <v>66.599999999999994</v>
      </c>
      <c r="BO825" s="201">
        <v>19.7</v>
      </c>
      <c r="BQ825" s="201">
        <v>8.6999999999999993</v>
      </c>
      <c r="BS825" s="201">
        <v>51.1</v>
      </c>
      <c r="BU825" s="201">
        <v>18</v>
      </c>
      <c r="BW825" s="201">
        <v>18.600000000000001</v>
      </c>
      <c r="BY825" s="178">
        <v>6.0999999999999943</v>
      </c>
      <c r="CC825" s="201">
        <v>5</v>
      </c>
      <c r="CD825" s="198">
        <v>41822</v>
      </c>
      <c r="CI825" s="174" t="s">
        <v>9399</v>
      </c>
      <c r="CL825" s="174">
        <v>1</v>
      </c>
    </row>
    <row r="826" spans="1:91">
      <c r="A826" s="191" t="s">
        <v>7710</v>
      </c>
      <c r="B826" s="192" t="s">
        <v>271</v>
      </c>
      <c r="C826" s="192" t="s">
        <v>8999</v>
      </c>
      <c r="D826" s="192" t="s">
        <v>8536</v>
      </c>
      <c r="E826" s="193">
        <v>282</v>
      </c>
      <c r="F826" s="193">
        <v>9</v>
      </c>
      <c r="K826" s="176">
        <v>7</v>
      </c>
      <c r="M826" s="197">
        <v>5.25</v>
      </c>
      <c r="N826" s="198">
        <v>41822</v>
      </c>
      <c r="S826" s="176">
        <f>(AE826*BS826)/100</f>
        <v>16.977207977207978</v>
      </c>
      <c r="T826" s="198"/>
      <c r="U826" s="176">
        <v>16.2</v>
      </c>
      <c r="Y826" s="200">
        <f>(AE826*BU826)/100</f>
        <v>5.7150997150997158</v>
      </c>
      <c r="Z826" s="198"/>
      <c r="AA826" s="200"/>
      <c r="AB826" s="198"/>
      <c r="AC826" s="378">
        <f t="shared" si="12"/>
        <v>30.592592592592595</v>
      </c>
      <c r="AE826" s="176">
        <f>(M826/U826)*((100-CC826)/(100-9))*100</f>
        <v>33.618233618233624</v>
      </c>
      <c r="AF826" s="198">
        <v>41822</v>
      </c>
      <c r="AG826" s="176">
        <v>4</v>
      </c>
      <c r="AH826" s="196">
        <v>41927</v>
      </c>
      <c r="AI826" s="176">
        <v>155</v>
      </c>
      <c r="AM826" s="176">
        <v>87</v>
      </c>
      <c r="BG826" s="201">
        <v>1.1000000000000001</v>
      </c>
      <c r="BI826" s="201">
        <v>4.7</v>
      </c>
      <c r="BK826" s="201">
        <v>1.6</v>
      </c>
      <c r="BM826" s="201">
        <v>63.1</v>
      </c>
      <c r="BO826" s="201">
        <v>20.399999999999999</v>
      </c>
      <c r="BQ826" s="201">
        <v>8.9</v>
      </c>
      <c r="BS826" s="201">
        <v>50.5</v>
      </c>
      <c r="BU826" s="201">
        <v>17</v>
      </c>
      <c r="BW826" s="201">
        <v>14.5</v>
      </c>
      <c r="BY826" s="178">
        <v>6.2999999999999972</v>
      </c>
      <c r="CC826" s="201">
        <v>5.6</v>
      </c>
      <c r="CD826" s="198">
        <v>41822</v>
      </c>
      <c r="CI826" s="174" t="s">
        <v>9376</v>
      </c>
      <c r="CL826" s="174">
        <v>1</v>
      </c>
    </row>
    <row r="827" spans="1:91">
      <c r="A827" s="191" t="s">
        <v>7743</v>
      </c>
      <c r="B827" s="192" t="s">
        <v>271</v>
      </c>
      <c r="C827" s="192" t="s">
        <v>8999</v>
      </c>
      <c r="D827" s="192" t="s">
        <v>8668</v>
      </c>
      <c r="E827" s="193">
        <v>282</v>
      </c>
      <c r="F827" s="193">
        <v>10</v>
      </c>
      <c r="K827" s="176">
        <v>7</v>
      </c>
      <c r="M827" s="197">
        <v>1.5</v>
      </c>
      <c r="N827" s="198">
        <v>41822</v>
      </c>
      <c r="S827" s="176">
        <f>(AE827*BS827)/100</f>
        <v>4.6395197395197387</v>
      </c>
      <c r="T827" s="198"/>
      <c r="U827" s="176">
        <v>16.2</v>
      </c>
      <c r="Y827" s="200">
        <f>(AE827*BU827)/100</f>
        <v>1.8866096866096864</v>
      </c>
      <c r="Z827" s="198"/>
      <c r="AA827" s="200"/>
      <c r="AB827" s="198"/>
      <c r="AC827" s="378">
        <f t="shared" si="12"/>
        <v>8.7592592592592595</v>
      </c>
      <c r="AE827" s="176">
        <f>(M827/U827)*((100-CC827)/(100-9))*100</f>
        <v>9.6255596255596245</v>
      </c>
      <c r="AF827" s="198">
        <v>41822</v>
      </c>
      <c r="AG827" s="176">
        <v>4.3</v>
      </c>
      <c r="AH827" s="196">
        <v>41927</v>
      </c>
      <c r="AI827" s="176">
        <v>145</v>
      </c>
      <c r="AM827" s="176">
        <v>95</v>
      </c>
      <c r="BG827" s="201">
        <v>19.2</v>
      </c>
      <c r="BI827" s="201">
        <v>4.4000000000000004</v>
      </c>
      <c r="BK827" s="201">
        <v>1.4</v>
      </c>
      <c r="BM827" s="201">
        <v>48.8</v>
      </c>
      <c r="BO827" s="201">
        <v>16.5</v>
      </c>
      <c r="BQ827" s="201">
        <v>7</v>
      </c>
      <c r="BS827" s="201">
        <v>48.2</v>
      </c>
      <c r="BU827" s="201">
        <v>19.600000000000001</v>
      </c>
      <c r="BW827" s="201">
        <v>48.4</v>
      </c>
      <c r="BY827" s="178">
        <v>5.7000000000000028</v>
      </c>
      <c r="CC827" s="201">
        <v>5.4</v>
      </c>
      <c r="CD827" s="198">
        <v>41822</v>
      </c>
      <c r="CI827" s="174" t="s">
        <v>9367</v>
      </c>
      <c r="CL827" s="174">
        <v>7</v>
      </c>
    </row>
    <row r="828" spans="1:91">
      <c r="A828" s="191" t="s">
        <v>7760</v>
      </c>
      <c r="B828" s="192" t="s">
        <v>271</v>
      </c>
      <c r="C828" s="192" t="s">
        <v>8999</v>
      </c>
      <c r="D828" s="192" t="s">
        <v>8736</v>
      </c>
      <c r="E828" s="193">
        <v>282</v>
      </c>
      <c r="F828" s="193">
        <v>11</v>
      </c>
      <c r="K828" s="176">
        <v>7</v>
      </c>
      <c r="M828" s="197">
        <v>4.5999999999999996</v>
      </c>
      <c r="N828" s="198">
        <v>41822</v>
      </c>
      <c r="S828" s="176">
        <f>(AE828*BS828)/100</f>
        <v>14.25669244335911</v>
      </c>
      <c r="T828" s="198"/>
      <c r="U828" s="176">
        <v>16.2</v>
      </c>
      <c r="Y828" s="200">
        <f>(AE828*BU828)/100</f>
        <v>5.47881155881156</v>
      </c>
      <c r="Z828" s="198"/>
      <c r="AA828" s="200"/>
      <c r="AB828" s="198"/>
      <c r="AC828" s="378">
        <f t="shared" si="12"/>
        <v>26.804938271604939</v>
      </c>
      <c r="AE828" s="176">
        <f>(M828/U828)*((100-CC828)/(100-9))*100</f>
        <v>29.455976122642792</v>
      </c>
      <c r="AF828" s="198">
        <v>41822</v>
      </c>
      <c r="AG828" s="176">
        <v>4.4000000000000004</v>
      </c>
      <c r="AH828" s="196">
        <v>41927</v>
      </c>
      <c r="AI828" s="176">
        <v>155</v>
      </c>
      <c r="AM828" s="176">
        <v>87</v>
      </c>
      <c r="BG828" s="201">
        <v>4.0999999999999996</v>
      </c>
      <c r="BI828" s="201">
        <v>4.0999999999999996</v>
      </c>
      <c r="BK828" s="201">
        <v>1.5</v>
      </c>
      <c r="BM828" s="201">
        <v>64.8</v>
      </c>
      <c r="BO828" s="201">
        <v>19.7</v>
      </c>
      <c r="BQ828" s="201">
        <v>8.6</v>
      </c>
      <c r="BS828" s="201">
        <v>48.4</v>
      </c>
      <c r="BU828" s="201">
        <v>18.600000000000001</v>
      </c>
      <c r="BW828" s="201">
        <v>11.7</v>
      </c>
      <c r="BY828" s="178">
        <v>5.9000000000000057</v>
      </c>
      <c r="CC828" s="201">
        <v>5.6</v>
      </c>
      <c r="CD828" s="198">
        <v>41822</v>
      </c>
      <c r="CI828" s="174" t="s">
        <v>9350</v>
      </c>
      <c r="CL828" s="174">
        <v>3</v>
      </c>
    </row>
    <row r="829" spans="1:91">
      <c r="A829" s="191" t="s">
        <v>7809</v>
      </c>
      <c r="B829" s="192" t="s">
        <v>271</v>
      </c>
      <c r="C829" s="192" t="s">
        <v>8999</v>
      </c>
      <c r="D829" s="192" t="s">
        <v>8932</v>
      </c>
      <c r="E829" s="193">
        <v>282</v>
      </c>
      <c r="F829" s="193">
        <v>12</v>
      </c>
      <c r="K829" s="176">
        <v>7</v>
      </c>
      <c r="M829" s="197">
        <v>4.8</v>
      </c>
      <c r="N829" s="198">
        <v>41822</v>
      </c>
      <c r="S829" s="176">
        <f>(AE829*BS829)/100</f>
        <v>15.578673178673178</v>
      </c>
      <c r="T829" s="198"/>
      <c r="U829" s="176">
        <v>16.2</v>
      </c>
      <c r="Y829" s="200">
        <f>(AE829*BU829)/100</f>
        <v>4.9582417582417584</v>
      </c>
      <c r="Z829" s="198"/>
      <c r="AA829" s="200"/>
      <c r="AB829" s="198"/>
      <c r="AC829" s="378">
        <f t="shared" si="12"/>
        <v>27.851851851851851</v>
      </c>
      <c r="AE829" s="176">
        <f>(M829/U829)*((100-CC829)/(100-9))*100</f>
        <v>30.606430606430607</v>
      </c>
      <c r="AF829" s="198">
        <v>41822</v>
      </c>
      <c r="AG829" s="176">
        <v>3.8</v>
      </c>
      <c r="AH829" s="196">
        <v>41927</v>
      </c>
      <c r="AI829" s="176">
        <v>155</v>
      </c>
      <c r="AM829" s="176">
        <v>83</v>
      </c>
      <c r="BG829" s="201">
        <v>1.9</v>
      </c>
      <c r="BI829" s="201">
        <v>4.8</v>
      </c>
      <c r="BK829" s="201">
        <v>1.6</v>
      </c>
      <c r="BM829" s="201">
        <v>65.8</v>
      </c>
      <c r="BO829" s="201">
        <v>21</v>
      </c>
      <c r="BQ829" s="201">
        <v>8.4</v>
      </c>
      <c r="BS829" s="201">
        <v>50.9</v>
      </c>
      <c r="BU829" s="201">
        <v>16.2</v>
      </c>
      <c r="BW829" s="201">
        <v>14.8</v>
      </c>
      <c r="BY829" s="178">
        <v>6.0999999999999943</v>
      </c>
      <c r="CC829" s="201">
        <v>6</v>
      </c>
      <c r="CD829" s="198">
        <v>41822</v>
      </c>
      <c r="CI829" s="174" t="s">
        <v>9347</v>
      </c>
      <c r="CL829" s="174">
        <v>1</v>
      </c>
    </row>
    <row r="830" spans="1:91">
      <c r="A830" s="191" t="s">
        <v>7670</v>
      </c>
      <c r="B830" s="192" t="s">
        <v>269</v>
      </c>
      <c r="C830" s="192" t="s">
        <v>8997</v>
      </c>
      <c r="D830" s="192" t="s">
        <v>8374</v>
      </c>
      <c r="E830" s="193">
        <v>283</v>
      </c>
      <c r="F830" s="193">
        <v>1</v>
      </c>
      <c r="K830" s="176">
        <v>8</v>
      </c>
      <c r="M830" s="197">
        <v>4.5</v>
      </c>
      <c r="N830" s="198">
        <v>41822</v>
      </c>
      <c r="S830" s="176">
        <f>(AE830*BS830)/100</f>
        <v>14.960805860805863</v>
      </c>
      <c r="T830" s="198"/>
      <c r="U830" s="176">
        <v>16.2</v>
      </c>
      <c r="Y830" s="200">
        <f>(AE830*BU830)/100</f>
        <v>4.7168498168498179</v>
      </c>
      <c r="Z830" s="198"/>
      <c r="AA830" s="200"/>
      <c r="AB830" s="198"/>
      <c r="AC830" s="378">
        <f t="shared" si="12"/>
        <v>26.333333333333332</v>
      </c>
      <c r="AE830" s="176">
        <f>(M830/U830)*((100-CC830)/(100-9))*100</f>
        <v>28.937728937728942</v>
      </c>
      <c r="AF830" s="198">
        <v>41822</v>
      </c>
      <c r="AG830" s="176">
        <v>4.5999999999999996</v>
      </c>
      <c r="AH830" s="196">
        <v>41927</v>
      </c>
      <c r="AI830" s="176">
        <v>115</v>
      </c>
      <c r="AM830" s="176">
        <v>84</v>
      </c>
      <c r="BG830" s="201">
        <v>0.7</v>
      </c>
      <c r="BI830" s="201">
        <v>4.4000000000000004</v>
      </c>
      <c r="BK830" s="201">
        <v>1.6</v>
      </c>
      <c r="BM830" s="201">
        <v>64.2</v>
      </c>
      <c r="BO830" s="201">
        <v>19.899999999999999</v>
      </c>
      <c r="BQ830" s="201">
        <v>7.3</v>
      </c>
      <c r="BS830" s="201">
        <v>51.7</v>
      </c>
      <c r="BU830" s="201">
        <v>16.3</v>
      </c>
      <c r="BW830" s="201">
        <v>15.6</v>
      </c>
      <c r="BY830" s="178">
        <v>6</v>
      </c>
      <c r="CC830" s="201">
        <v>5.2</v>
      </c>
      <c r="CD830" s="198">
        <v>41822</v>
      </c>
      <c r="CI830" s="174" t="s">
        <v>9339</v>
      </c>
      <c r="CL830" s="174">
        <v>1</v>
      </c>
    </row>
    <row r="831" spans="1:91">
      <c r="A831" s="191" t="s">
        <v>7665</v>
      </c>
      <c r="B831" s="192" t="s">
        <v>269</v>
      </c>
      <c r="C831" s="192" t="s">
        <v>8997</v>
      </c>
      <c r="D831" s="192" t="s">
        <v>8354</v>
      </c>
      <c r="E831" s="193">
        <v>283</v>
      </c>
      <c r="F831" s="193">
        <v>2</v>
      </c>
      <c r="K831" s="176">
        <v>7</v>
      </c>
      <c r="M831" s="197">
        <v>1.6</v>
      </c>
      <c r="N831" s="198">
        <v>41822</v>
      </c>
      <c r="S831" s="176">
        <f>(AE831*BS831)/100</f>
        <v>5.1596147062813751</v>
      </c>
      <c r="T831" s="198"/>
      <c r="U831" s="176">
        <v>16.2</v>
      </c>
      <c r="Y831" s="200">
        <f>(AE831*BU831)/100</f>
        <v>1.8397829331162669</v>
      </c>
      <c r="Z831" s="198"/>
      <c r="AA831" s="200"/>
      <c r="AB831" s="198"/>
      <c r="AC831" s="378">
        <f t="shared" si="12"/>
        <v>9.3530864197530867</v>
      </c>
      <c r="AE831" s="176">
        <f>(M831/U831)*((100-CC831)/(100-9))*100</f>
        <v>10.278116944783614</v>
      </c>
      <c r="AF831" s="198">
        <v>41822</v>
      </c>
      <c r="AG831" s="176">
        <v>4.9000000000000004</v>
      </c>
      <c r="AH831" s="196">
        <v>41927</v>
      </c>
      <c r="AI831" s="176">
        <v>100</v>
      </c>
      <c r="AM831" s="176">
        <v>90</v>
      </c>
      <c r="BG831" s="201">
        <v>0</v>
      </c>
      <c r="BI831" s="201">
        <v>4.5999999999999996</v>
      </c>
      <c r="BK831" s="201">
        <v>1.6</v>
      </c>
      <c r="BM831" s="201">
        <v>62.6</v>
      </c>
      <c r="BO831" s="201">
        <v>20.2</v>
      </c>
      <c r="BQ831" s="201">
        <v>9</v>
      </c>
      <c r="BS831" s="201">
        <v>50.2</v>
      </c>
      <c r="BU831" s="201">
        <v>17.899999999999999</v>
      </c>
      <c r="BW831" s="201">
        <v>12.4</v>
      </c>
      <c r="BY831" s="178">
        <v>6.7000000000000028</v>
      </c>
      <c r="CC831" s="201">
        <v>5.3</v>
      </c>
      <c r="CD831" s="198">
        <v>41822</v>
      </c>
      <c r="CI831" s="174" t="s">
        <v>9371</v>
      </c>
      <c r="CL831" s="174">
        <v>3</v>
      </c>
    </row>
    <row r="832" spans="1:91">
      <c r="A832" s="191" t="s">
        <v>7897</v>
      </c>
      <c r="B832" s="192" t="s">
        <v>269</v>
      </c>
      <c r="C832" s="192" t="s">
        <v>8997</v>
      </c>
      <c r="D832" s="192" t="s">
        <v>8966</v>
      </c>
      <c r="E832" s="193">
        <v>283</v>
      </c>
      <c r="F832" s="193">
        <v>3</v>
      </c>
      <c r="K832" s="176">
        <v>5</v>
      </c>
      <c r="M832" s="197">
        <v>1.7</v>
      </c>
      <c r="N832" s="198">
        <v>41822</v>
      </c>
      <c r="S832" s="176">
        <f>(AE832*BS832)/100</f>
        <v>5.5224053724053741</v>
      </c>
      <c r="T832" s="198"/>
      <c r="U832" s="176">
        <v>16.2</v>
      </c>
      <c r="Y832" s="200">
        <f>(AE832*BU832)/100</f>
        <v>1.9274277574277578</v>
      </c>
      <c r="Z832" s="198"/>
      <c r="AA832" s="200"/>
      <c r="AB832" s="198"/>
      <c r="AC832" s="378">
        <f t="shared" si="12"/>
        <v>9.8537037037037045</v>
      </c>
      <c r="AE832" s="176">
        <f>(M832/U832)*((100-CC832)/(100-9))*100</f>
        <v>10.82824582824583</v>
      </c>
      <c r="AF832" s="198">
        <v>41822</v>
      </c>
      <c r="AG832" s="176">
        <v>4.8</v>
      </c>
      <c r="AH832" s="196">
        <v>41927</v>
      </c>
      <c r="AI832" s="176">
        <v>105</v>
      </c>
      <c r="AM832" s="176">
        <v>78</v>
      </c>
      <c r="BG832" s="201">
        <v>0.7</v>
      </c>
      <c r="BI832" s="201">
        <v>4.5</v>
      </c>
      <c r="BK832" s="201">
        <v>1.5</v>
      </c>
      <c r="BM832" s="201">
        <v>65.2</v>
      </c>
      <c r="BO832" s="201">
        <v>19.100000000000001</v>
      </c>
      <c r="BQ832" s="201">
        <v>9</v>
      </c>
      <c r="BS832" s="201">
        <v>51</v>
      </c>
      <c r="BU832" s="201">
        <v>17.8</v>
      </c>
      <c r="BW832" s="201">
        <v>16.2</v>
      </c>
      <c r="BY832" s="178">
        <v>7</v>
      </c>
      <c r="CC832" s="201">
        <v>6.1</v>
      </c>
      <c r="CD832" s="198">
        <v>41822</v>
      </c>
      <c r="CI832" s="174" t="s">
        <v>9339</v>
      </c>
      <c r="CL832" s="174">
        <v>3</v>
      </c>
    </row>
    <row r="833" spans="1:91">
      <c r="A833" s="191" t="s">
        <v>7796</v>
      </c>
      <c r="B833" s="192" t="s">
        <v>269</v>
      </c>
      <c r="C833" s="192" t="s">
        <v>8997</v>
      </c>
      <c r="D833" s="192" t="s">
        <v>8878</v>
      </c>
      <c r="E833" s="193">
        <v>283</v>
      </c>
      <c r="F833" s="193">
        <v>4</v>
      </c>
      <c r="K833" s="176">
        <v>6</v>
      </c>
      <c r="M833" s="197">
        <v>3.75</v>
      </c>
      <c r="N833" s="198">
        <v>41822</v>
      </c>
      <c r="S833" s="176">
        <f>(AE833*BS833)/100</f>
        <v>11.988985551485552</v>
      </c>
      <c r="T833" s="198"/>
      <c r="U833" s="176">
        <v>16.2</v>
      </c>
      <c r="Y833" s="200">
        <f>(AE833*BU833)/100</f>
        <v>4.4094678469678481</v>
      </c>
      <c r="Z833" s="198"/>
      <c r="AA833" s="200"/>
      <c r="AB833" s="198"/>
      <c r="AC833" s="378">
        <f t="shared" si="12"/>
        <v>21.689814814814817</v>
      </c>
      <c r="AE833" s="176">
        <f>(M833/U833)*((100-CC833)/(100-9))*100</f>
        <v>23.834961334961339</v>
      </c>
      <c r="AF833" s="198">
        <v>41822</v>
      </c>
      <c r="AG833" s="176">
        <v>5.0999999999999996</v>
      </c>
      <c r="AH833" s="196">
        <v>41927</v>
      </c>
      <c r="AI833" s="176">
        <v>150</v>
      </c>
      <c r="AM833" s="176">
        <v>80</v>
      </c>
      <c r="BG833" s="201">
        <v>0</v>
      </c>
      <c r="BI833" s="201">
        <v>4.0999999999999996</v>
      </c>
      <c r="BK833" s="201">
        <v>1.7</v>
      </c>
      <c r="BM833" s="201">
        <v>65.599999999999994</v>
      </c>
      <c r="BO833" s="201">
        <v>17.7</v>
      </c>
      <c r="BQ833" s="201">
        <v>8.1</v>
      </c>
      <c r="BS833" s="201">
        <v>50.3</v>
      </c>
      <c r="BU833" s="201">
        <v>18.5</v>
      </c>
      <c r="BW833" s="201">
        <v>9.6</v>
      </c>
      <c r="BY833" s="178">
        <v>6.5999999999999943</v>
      </c>
      <c r="CC833" s="201">
        <v>6.3</v>
      </c>
      <c r="CD833" s="198">
        <v>41822</v>
      </c>
      <c r="CI833" s="174" t="s">
        <v>9391</v>
      </c>
      <c r="CL833" s="174">
        <v>3</v>
      </c>
    </row>
    <row r="834" spans="1:91">
      <c r="A834" s="191" t="s">
        <v>7640</v>
      </c>
      <c r="B834" s="192" t="s">
        <v>269</v>
      </c>
      <c r="C834" s="192" t="s">
        <v>8997</v>
      </c>
      <c r="D834" s="192" t="s">
        <v>8254</v>
      </c>
      <c r="E834" s="193">
        <v>283</v>
      </c>
      <c r="F834" s="193">
        <v>5</v>
      </c>
      <c r="K834" s="176">
        <v>6</v>
      </c>
      <c r="M834" s="197">
        <v>2.85</v>
      </c>
      <c r="N834" s="198">
        <v>41822</v>
      </c>
      <c r="S834" s="176">
        <f>(AE834*BS834)/100</f>
        <v>9.9936752136752123</v>
      </c>
      <c r="T834" s="198"/>
      <c r="U834" s="176">
        <v>16.2</v>
      </c>
      <c r="Y834" s="200">
        <f>(AE834*BU834)/100</f>
        <v>2.889515669515669</v>
      </c>
      <c r="Z834" s="198"/>
      <c r="AA834" s="200"/>
      <c r="AB834" s="198"/>
      <c r="AC834" s="378">
        <f t="shared" si="12"/>
        <v>16.74814814814815</v>
      </c>
      <c r="AE834" s="176">
        <f>(M834/U834)*((100-CC834)/(100-9))*100</f>
        <v>18.404558404558404</v>
      </c>
      <c r="AF834" s="198">
        <v>41822</v>
      </c>
      <c r="AG834" s="176">
        <v>5.0999999999999996</v>
      </c>
      <c r="AH834" s="196">
        <v>41927</v>
      </c>
      <c r="AI834" s="176">
        <v>140</v>
      </c>
      <c r="AM834" s="176">
        <v>78</v>
      </c>
      <c r="BG834" s="201">
        <v>48</v>
      </c>
      <c r="BI834" s="201">
        <v>4</v>
      </c>
      <c r="BK834" s="201">
        <v>1</v>
      </c>
      <c r="BM834" s="201">
        <v>23.9</v>
      </c>
      <c r="BO834" s="201">
        <v>16.100000000000001</v>
      </c>
      <c r="BQ834" s="201">
        <v>7.1</v>
      </c>
      <c r="BS834" s="201">
        <v>54.3</v>
      </c>
      <c r="BU834" s="201">
        <v>15.7</v>
      </c>
      <c r="BW834" s="201">
        <v>14.7</v>
      </c>
      <c r="BY834" s="178">
        <v>5.5</v>
      </c>
      <c r="CC834" s="201">
        <v>4.8</v>
      </c>
      <c r="CD834" s="198">
        <v>41822</v>
      </c>
      <c r="CI834" s="174" t="s">
        <v>9355</v>
      </c>
      <c r="CL834" s="174">
        <v>1</v>
      </c>
    </row>
    <row r="835" spans="1:91">
      <c r="A835" s="191" t="s">
        <v>7760</v>
      </c>
      <c r="B835" s="192" t="s">
        <v>269</v>
      </c>
      <c r="C835" s="192" t="s">
        <v>8997</v>
      </c>
      <c r="D835" s="192" t="s">
        <v>8734</v>
      </c>
      <c r="E835" s="193">
        <v>283</v>
      </c>
      <c r="F835" s="193">
        <v>6</v>
      </c>
      <c r="K835" s="176">
        <v>7</v>
      </c>
      <c r="M835" s="197">
        <v>3.6</v>
      </c>
      <c r="N835" s="198">
        <v>41822</v>
      </c>
      <c r="S835" s="176">
        <f>(AE835*BS835)/100</f>
        <v>11.664566544566547</v>
      </c>
      <c r="T835" s="198"/>
      <c r="U835" s="176">
        <v>16.2</v>
      </c>
      <c r="Y835" s="200">
        <f>(AE835*BU835)/100</f>
        <v>3.7806105006105009</v>
      </c>
      <c r="Z835" s="198"/>
      <c r="AA835" s="200"/>
      <c r="AB835" s="198"/>
      <c r="AC835" s="378">
        <f t="shared" ref="AC835:AC865" si="13">(M835/16.2)*(100-CC835)</f>
        <v>20.977777777777781</v>
      </c>
      <c r="AE835" s="176">
        <f>(M835/U835)*((100-CC835)/(100-9))*100</f>
        <v>23.052503052503056</v>
      </c>
      <c r="AF835" s="198">
        <v>41822</v>
      </c>
      <c r="AG835" s="176">
        <v>4.9000000000000004</v>
      </c>
      <c r="AH835" s="196">
        <v>41927</v>
      </c>
      <c r="AI835" s="176">
        <v>125</v>
      </c>
      <c r="AM835" s="176">
        <v>83</v>
      </c>
      <c r="BG835" s="201">
        <v>5.7</v>
      </c>
      <c r="BI835" s="201">
        <v>4.5</v>
      </c>
      <c r="BK835" s="201">
        <v>1.6</v>
      </c>
      <c r="BM835" s="201">
        <v>65.7</v>
      </c>
      <c r="BO835" s="201">
        <v>19.3</v>
      </c>
      <c r="BQ835" s="201">
        <v>8.6999999999999993</v>
      </c>
      <c r="BS835" s="201">
        <v>50.6</v>
      </c>
      <c r="BU835" s="201">
        <v>16.399999999999999</v>
      </c>
      <c r="BW835" s="201">
        <v>11.1</v>
      </c>
      <c r="BY835" s="178">
        <v>6.2999999999999972</v>
      </c>
      <c r="CC835" s="201">
        <v>5.6</v>
      </c>
      <c r="CD835" s="198">
        <v>41822</v>
      </c>
      <c r="CI835" s="174" t="s">
        <v>9394</v>
      </c>
      <c r="CL835" s="174">
        <v>1</v>
      </c>
    </row>
    <row r="836" spans="1:91">
      <c r="A836" s="191" t="s">
        <v>7792</v>
      </c>
      <c r="B836" s="192" t="s">
        <v>271</v>
      </c>
      <c r="C836" s="192" t="s">
        <v>8999</v>
      </c>
      <c r="D836" s="192" t="s">
        <v>8864</v>
      </c>
      <c r="E836" s="193">
        <v>283</v>
      </c>
      <c r="F836" s="193">
        <v>7</v>
      </c>
      <c r="K836" s="176">
        <v>7</v>
      </c>
      <c r="M836" s="197">
        <v>5.65</v>
      </c>
      <c r="N836" s="198">
        <v>41822</v>
      </c>
      <c r="S836" s="176">
        <f>(AE836*BS836)/100</f>
        <v>18.61809523809524</v>
      </c>
      <c r="T836" s="198"/>
      <c r="U836" s="176">
        <v>16.2</v>
      </c>
      <c r="Y836" s="200">
        <f>(AE836*BU836)/100</f>
        <v>6.098412698412699</v>
      </c>
      <c r="Z836" s="198"/>
      <c r="AA836" s="200"/>
      <c r="AB836" s="198"/>
      <c r="AC836" s="378">
        <f t="shared" si="13"/>
        <v>32.644444444444446</v>
      </c>
      <c r="AE836" s="176">
        <f>(M836/U836)*((100-CC836)/(100-9))*100</f>
        <v>35.873015873015873</v>
      </c>
      <c r="AF836" s="198">
        <v>41822</v>
      </c>
      <c r="AG836" s="176">
        <v>4.5</v>
      </c>
      <c r="AH836" s="196">
        <v>41927</v>
      </c>
      <c r="AI836" s="176">
        <v>150</v>
      </c>
      <c r="AM836" s="176">
        <v>85</v>
      </c>
      <c r="BG836" s="201">
        <v>0</v>
      </c>
      <c r="BI836" s="201">
        <v>4.7</v>
      </c>
      <c r="BK836" s="201">
        <v>1.6</v>
      </c>
      <c r="BM836" s="201">
        <v>63.8</v>
      </c>
      <c r="BO836" s="201">
        <v>20.8</v>
      </c>
      <c r="BQ836" s="201">
        <v>8.9</v>
      </c>
      <c r="BS836" s="201">
        <v>51.9</v>
      </c>
      <c r="BU836" s="201">
        <v>17</v>
      </c>
      <c r="BW836" s="201">
        <v>9.8000000000000007</v>
      </c>
      <c r="BY836" s="178">
        <v>6.2000000000000028</v>
      </c>
      <c r="CC836" s="201">
        <v>6.4</v>
      </c>
      <c r="CD836" s="198">
        <v>41822</v>
      </c>
      <c r="CI836" s="174" t="s">
        <v>9383</v>
      </c>
      <c r="CL836" s="174">
        <v>1</v>
      </c>
    </row>
    <row r="837" spans="1:91">
      <c r="A837" s="191" t="s">
        <v>7808</v>
      </c>
      <c r="B837" s="192" t="s">
        <v>271</v>
      </c>
      <c r="C837" s="192" t="s">
        <v>8999</v>
      </c>
      <c r="D837" s="192" t="s">
        <v>8928</v>
      </c>
      <c r="E837" s="193">
        <v>283</v>
      </c>
      <c r="F837" s="193">
        <v>8</v>
      </c>
      <c r="K837" s="176">
        <v>8</v>
      </c>
      <c r="M837" s="197">
        <v>6</v>
      </c>
      <c r="N837" s="198">
        <v>41822</v>
      </c>
      <c r="S837" s="176">
        <f>(AE837*BS837)/100</f>
        <v>19.302564102564101</v>
      </c>
      <c r="T837" s="198"/>
      <c r="U837" s="176">
        <v>16.2</v>
      </c>
      <c r="Y837" s="200">
        <f>(AE837*BU837)/100</f>
        <v>6.7022792022792022</v>
      </c>
      <c r="Z837" s="198"/>
      <c r="AA837" s="200"/>
      <c r="AB837" s="198"/>
      <c r="AC837" s="378">
        <f t="shared" si="13"/>
        <v>34.851851851851855</v>
      </c>
      <c r="AE837" s="176">
        <f>(M837/U837)*((100-CC837)/(100-9))*100</f>
        <v>38.2987382987383</v>
      </c>
      <c r="AF837" s="198">
        <v>41822</v>
      </c>
      <c r="AG837" s="176">
        <v>4.9000000000000004</v>
      </c>
      <c r="AH837" s="196">
        <v>41927</v>
      </c>
      <c r="AI837" s="176">
        <v>140</v>
      </c>
      <c r="AM837" s="176">
        <v>87</v>
      </c>
      <c r="BG837" s="201">
        <v>0</v>
      </c>
      <c r="BI837" s="201">
        <v>4.7</v>
      </c>
      <c r="BK837" s="201">
        <v>1.7</v>
      </c>
      <c r="BM837" s="201">
        <v>64.8</v>
      </c>
      <c r="BO837" s="201">
        <v>19.100000000000001</v>
      </c>
      <c r="BQ837" s="201">
        <v>7.2</v>
      </c>
      <c r="BS837" s="201">
        <v>50.4</v>
      </c>
      <c r="BU837" s="201">
        <v>17.5</v>
      </c>
      <c r="BW837" s="201">
        <v>15.7</v>
      </c>
      <c r="BY837" s="178">
        <v>6.4000000000000057</v>
      </c>
      <c r="CC837" s="201">
        <v>5.9</v>
      </c>
      <c r="CD837" s="198">
        <v>41822</v>
      </c>
      <c r="CI837" s="174" t="s">
        <v>9347</v>
      </c>
      <c r="CL837" s="174">
        <v>1</v>
      </c>
    </row>
    <row r="838" spans="1:91">
      <c r="A838" s="191" t="s">
        <v>7797</v>
      </c>
      <c r="B838" s="192" t="s">
        <v>271</v>
      </c>
      <c r="C838" s="192" t="s">
        <v>8999</v>
      </c>
      <c r="D838" s="192" t="s">
        <v>8884</v>
      </c>
      <c r="E838" s="193">
        <v>283</v>
      </c>
      <c r="F838" s="193">
        <v>9</v>
      </c>
      <c r="K838" s="176">
        <v>8</v>
      </c>
      <c r="M838" s="197">
        <v>7.15</v>
      </c>
      <c r="N838" s="198">
        <v>41822</v>
      </c>
      <c r="S838" s="176">
        <f>(AE838*BS838)/100</f>
        <v>23.720908289241621</v>
      </c>
      <c r="T838" s="198"/>
      <c r="U838" s="176">
        <v>16.2</v>
      </c>
      <c r="Y838" s="200">
        <f>(AE838*BU838)/100</f>
        <v>7.1575661375661364</v>
      </c>
      <c r="Z838" s="198"/>
      <c r="AA838" s="200"/>
      <c r="AB838" s="198"/>
      <c r="AC838" s="378">
        <f t="shared" si="13"/>
        <v>41.752469135802471</v>
      </c>
      <c r="AE838" s="176">
        <f>(M838/U838)*((100-CC838)/(100-9))*100</f>
        <v>45.881834215167544</v>
      </c>
      <c r="AF838" s="198">
        <v>41822</v>
      </c>
      <c r="AG838" s="176">
        <v>4.5</v>
      </c>
      <c r="AH838" s="196">
        <v>41927</v>
      </c>
      <c r="AI838" s="176">
        <v>165</v>
      </c>
      <c r="AM838" s="176">
        <v>84</v>
      </c>
      <c r="BG838" s="201">
        <v>1.6</v>
      </c>
      <c r="BI838" s="201">
        <v>4.7</v>
      </c>
      <c r="BK838" s="201">
        <v>1.6</v>
      </c>
      <c r="BM838" s="201">
        <v>67.3</v>
      </c>
      <c r="BO838" s="201">
        <v>20.9</v>
      </c>
      <c r="BQ838" s="201">
        <v>7.5</v>
      </c>
      <c r="BS838" s="201">
        <v>51.7</v>
      </c>
      <c r="BU838" s="201">
        <v>15.6</v>
      </c>
      <c r="BW838" s="201">
        <v>15.8</v>
      </c>
      <c r="BY838" s="178">
        <v>6.2000000000000028</v>
      </c>
      <c r="CC838" s="201">
        <v>5.4</v>
      </c>
      <c r="CD838" s="198">
        <v>41822</v>
      </c>
      <c r="CI838" s="174" t="s">
        <v>9355</v>
      </c>
      <c r="CL838" s="174">
        <v>1</v>
      </c>
    </row>
    <row r="839" spans="1:91">
      <c r="A839" s="191" t="s">
        <v>7772</v>
      </c>
      <c r="B839" s="192" t="s">
        <v>271</v>
      </c>
      <c r="C839" s="192" t="s">
        <v>8999</v>
      </c>
      <c r="D839" s="192" t="s">
        <v>8784</v>
      </c>
      <c r="E839" s="193">
        <v>283</v>
      </c>
      <c r="F839" s="193">
        <v>10</v>
      </c>
      <c r="K839" s="176">
        <v>8</v>
      </c>
      <c r="M839" s="197">
        <v>6.65</v>
      </c>
      <c r="N839" s="198">
        <v>41822</v>
      </c>
      <c r="S839" s="176">
        <f>(AE839*BS839)/100</f>
        <v>22.232796771130108</v>
      </c>
      <c r="T839" s="198"/>
      <c r="U839" s="176">
        <v>16.2</v>
      </c>
      <c r="Y839" s="200">
        <f>(AE839*BU839)/100</f>
        <v>6.8277302943969609</v>
      </c>
      <c r="Z839" s="198"/>
      <c r="AA839" s="200"/>
      <c r="AB839" s="198"/>
      <c r="AC839" s="378">
        <f t="shared" si="13"/>
        <v>38.832716049382718</v>
      </c>
      <c r="AE839" s="176">
        <f>(M839/U839)*((100-CC839)/(100-9))*100</f>
        <v>42.673314339981005</v>
      </c>
      <c r="AF839" s="198">
        <v>41822</v>
      </c>
      <c r="AG839" s="176">
        <v>4.5</v>
      </c>
      <c r="AH839" s="196">
        <v>41927</v>
      </c>
      <c r="AI839" s="176">
        <v>160</v>
      </c>
      <c r="AM839" s="176">
        <v>80</v>
      </c>
      <c r="BG839" s="201">
        <v>0</v>
      </c>
      <c r="BI839" s="201">
        <v>4.8</v>
      </c>
      <c r="BK839" s="201">
        <v>1.5</v>
      </c>
      <c r="BM839" s="201">
        <v>61.1</v>
      </c>
      <c r="BO839" s="201">
        <v>21.9</v>
      </c>
      <c r="BQ839" s="201">
        <v>9</v>
      </c>
      <c r="BS839" s="201">
        <v>52.1</v>
      </c>
      <c r="BU839" s="201">
        <v>16</v>
      </c>
      <c r="BW839" s="201">
        <v>11.7</v>
      </c>
      <c r="BY839" s="178">
        <v>6.2000000000000028</v>
      </c>
      <c r="CC839" s="201">
        <v>5.4</v>
      </c>
      <c r="CD839" s="198">
        <v>41822</v>
      </c>
      <c r="CI839" s="174" t="s">
        <v>9347</v>
      </c>
      <c r="CL839" s="174">
        <v>1</v>
      </c>
    </row>
    <row r="840" spans="1:91">
      <c r="A840" s="191" t="s">
        <v>7619</v>
      </c>
      <c r="B840" s="192" t="s">
        <v>271</v>
      </c>
      <c r="C840" s="192" t="s">
        <v>8999</v>
      </c>
      <c r="D840" s="192" t="s">
        <v>8172</v>
      </c>
      <c r="E840" s="193">
        <v>283</v>
      </c>
      <c r="F840" s="193">
        <v>11</v>
      </c>
      <c r="I840" s="184"/>
      <c r="K840" s="176">
        <v>8</v>
      </c>
      <c r="M840" s="197">
        <v>2.5</v>
      </c>
      <c r="N840" s="198">
        <v>41822</v>
      </c>
      <c r="O840" s="179"/>
      <c r="S840" s="176">
        <f>(AE840*BS840)/100</f>
        <v>7.821428571428573</v>
      </c>
      <c r="T840" s="198"/>
      <c r="U840" s="176">
        <v>16.2</v>
      </c>
      <c r="Y840" s="200">
        <f>(AE840*BU840)/100</f>
        <v>2.9290123456790127</v>
      </c>
      <c r="Z840" s="198"/>
      <c r="AA840" s="200"/>
      <c r="AB840" s="198"/>
      <c r="AC840" s="378">
        <f t="shared" si="13"/>
        <v>14.645061728395065</v>
      </c>
      <c r="AE840" s="176">
        <f>(M840/U840)*((100-CC840)/(100-9))*100</f>
        <v>16.093474426807763</v>
      </c>
      <c r="AF840" s="198">
        <v>41822</v>
      </c>
      <c r="AG840" s="176">
        <v>4.7</v>
      </c>
      <c r="AH840" s="196">
        <v>41927</v>
      </c>
      <c r="AI840" s="176">
        <v>125</v>
      </c>
      <c r="AM840" s="176">
        <v>88</v>
      </c>
      <c r="BG840" s="201">
        <v>46.2</v>
      </c>
      <c r="BI840" s="201">
        <v>4.5</v>
      </c>
      <c r="BK840" s="201">
        <v>0.9</v>
      </c>
      <c r="BM840" s="201">
        <v>35.799999999999997</v>
      </c>
      <c r="BO840" s="201">
        <v>16.100000000000001</v>
      </c>
      <c r="BQ840" s="201">
        <v>8.5</v>
      </c>
      <c r="BS840" s="201">
        <v>48.6</v>
      </c>
      <c r="BU840" s="201">
        <v>18.2</v>
      </c>
      <c r="BW840" s="201">
        <v>73.8</v>
      </c>
      <c r="BY840" s="178">
        <v>5.7999999999999972</v>
      </c>
      <c r="CC840" s="201">
        <v>5.0999999999999996</v>
      </c>
      <c r="CD840" s="198">
        <v>41822</v>
      </c>
      <c r="CI840" s="174" t="s">
        <v>9346</v>
      </c>
      <c r="CL840" s="174" t="s">
        <v>9001</v>
      </c>
    </row>
    <row r="841" spans="1:91">
      <c r="A841" s="191" t="s">
        <v>7744</v>
      </c>
      <c r="B841" s="192" t="s">
        <v>271</v>
      </c>
      <c r="C841" s="192" t="s">
        <v>8999</v>
      </c>
      <c r="D841" s="192" t="s">
        <v>8672</v>
      </c>
      <c r="E841" s="193">
        <v>283</v>
      </c>
      <c r="F841" s="193">
        <v>12</v>
      </c>
      <c r="K841" s="176">
        <v>7</v>
      </c>
      <c r="M841" s="197">
        <v>1</v>
      </c>
      <c r="N841" s="198">
        <v>41822</v>
      </c>
      <c r="S841" s="176">
        <f>(AE841*BS841)/100</f>
        <v>2.9773707773707772</v>
      </c>
      <c r="T841" s="198"/>
      <c r="U841" s="176">
        <v>16.2</v>
      </c>
      <c r="Y841" s="200">
        <f>(AE841*BU841)/100</f>
        <v>1.3311355311355311</v>
      </c>
      <c r="Z841" s="198"/>
      <c r="AA841" s="200"/>
      <c r="AB841" s="198"/>
      <c r="AC841" s="378">
        <f t="shared" si="13"/>
        <v>5.8518518518518521</v>
      </c>
      <c r="AE841" s="176">
        <f>(M841/U841)*((100-CC841)/(100-9))*100</f>
        <v>6.4306064306064306</v>
      </c>
      <c r="AF841" s="198">
        <v>41822</v>
      </c>
      <c r="AG841" s="176">
        <v>3.8</v>
      </c>
      <c r="AH841" s="196">
        <v>41927</v>
      </c>
      <c r="AI841" s="176">
        <v>90</v>
      </c>
      <c r="AM841" s="176">
        <v>85</v>
      </c>
      <c r="BG841" s="201">
        <v>37.200000000000003</v>
      </c>
      <c r="BI841" s="201">
        <v>4</v>
      </c>
      <c r="BK841" s="201">
        <v>1.1000000000000001</v>
      </c>
      <c r="BM841" s="201">
        <v>40.5</v>
      </c>
      <c r="BO841" s="201">
        <v>15.6</v>
      </c>
      <c r="BQ841" s="201">
        <v>8.9</v>
      </c>
      <c r="BS841" s="201">
        <v>46.3</v>
      </c>
      <c r="BU841" s="201">
        <v>20.7</v>
      </c>
      <c r="BW841" s="201">
        <v>70.2</v>
      </c>
      <c r="BY841" s="178">
        <v>6.2999999999999972</v>
      </c>
      <c r="CC841" s="201">
        <v>5.2</v>
      </c>
      <c r="CD841" s="198">
        <v>41822</v>
      </c>
      <c r="CI841" s="174" t="s">
        <v>9349</v>
      </c>
      <c r="CL841" s="174">
        <v>4</v>
      </c>
    </row>
    <row r="842" spans="1:91">
      <c r="A842" s="191" t="s">
        <v>7617</v>
      </c>
      <c r="B842" s="192" t="s">
        <v>269</v>
      </c>
      <c r="C842" s="192" t="s">
        <v>8997</v>
      </c>
      <c r="D842" s="192" t="s">
        <v>8162</v>
      </c>
      <c r="E842" s="193">
        <v>284</v>
      </c>
      <c r="F842" s="193">
        <v>1</v>
      </c>
      <c r="I842" s="184"/>
      <c r="K842" s="176">
        <v>8</v>
      </c>
      <c r="M842" s="197">
        <v>0.9</v>
      </c>
      <c r="N842" s="198">
        <v>41822</v>
      </c>
      <c r="O842" s="179"/>
      <c r="S842" s="176">
        <f>(AE842*BS842)/100</f>
        <v>2.754578754578755</v>
      </c>
      <c r="T842" s="198"/>
      <c r="U842" s="176">
        <v>16.2</v>
      </c>
      <c r="Y842" s="200">
        <f>(AE842*BU842)/100</f>
        <v>1.1649572649572653</v>
      </c>
      <c r="Z842" s="198"/>
      <c r="AA842" s="200"/>
      <c r="AB842" s="198"/>
      <c r="AC842" s="378">
        <f t="shared" si="13"/>
        <v>5.2222222222222223</v>
      </c>
      <c r="AE842" s="176">
        <f>(M842/U842)*((100-CC842)/(100-9))*100</f>
        <v>5.7387057387057396</v>
      </c>
      <c r="AF842" s="198">
        <v>41822</v>
      </c>
      <c r="AG842" s="176">
        <v>5.2</v>
      </c>
      <c r="AH842" s="196">
        <v>41927</v>
      </c>
      <c r="AI842" s="176">
        <v>20</v>
      </c>
      <c r="AM842" s="176">
        <v>76</v>
      </c>
      <c r="BG842" s="201">
        <v>39.9</v>
      </c>
      <c r="BI842" s="201">
        <v>4.3</v>
      </c>
      <c r="BK842" s="201">
        <v>1.1000000000000001</v>
      </c>
      <c r="BM842" s="201">
        <v>37.1</v>
      </c>
      <c r="BO842" s="201">
        <v>17.399999999999999</v>
      </c>
      <c r="BQ842" s="201">
        <v>10.3</v>
      </c>
      <c r="BS842" s="201">
        <v>48</v>
      </c>
      <c r="BU842" s="201">
        <v>20.3</v>
      </c>
      <c r="BW842" s="201">
        <v>62.5</v>
      </c>
      <c r="BY842" s="178">
        <v>6.7999999999999972</v>
      </c>
      <c r="CC842" s="201">
        <v>6</v>
      </c>
      <c r="CD842" s="198">
        <v>41822</v>
      </c>
      <c r="CI842" s="174" t="s">
        <v>9337</v>
      </c>
      <c r="CL842" s="174">
        <v>9</v>
      </c>
    </row>
    <row r="843" spans="1:91">
      <c r="A843" s="191" t="s">
        <v>7798</v>
      </c>
      <c r="B843" s="192" t="s">
        <v>269</v>
      </c>
      <c r="C843" s="192" t="s">
        <v>8997</v>
      </c>
      <c r="D843" s="192" t="s">
        <v>8886</v>
      </c>
      <c r="E843" s="193">
        <v>284</v>
      </c>
      <c r="F843" s="193">
        <v>2</v>
      </c>
      <c r="K843" s="176">
        <v>8</v>
      </c>
      <c r="M843" s="197">
        <v>2.5</v>
      </c>
      <c r="N843" s="198">
        <v>41822</v>
      </c>
      <c r="S843" s="176">
        <f>(AE843*BS843)/100</f>
        <v>8.4846018179351521</v>
      </c>
      <c r="T843" s="198"/>
      <c r="U843" s="176">
        <v>16.2</v>
      </c>
      <c r="Y843" s="200">
        <f>(AE843*BU843)/100</f>
        <v>2.513363180029847</v>
      </c>
      <c r="Z843" s="198"/>
      <c r="AA843" s="200"/>
      <c r="AB843" s="198"/>
      <c r="AC843" s="378">
        <f t="shared" si="13"/>
        <v>14.567901234567904</v>
      </c>
      <c r="AE843" s="176">
        <f>(M843/U843)*((100-CC843)/(100-9))*100</f>
        <v>16.008682675349345</v>
      </c>
      <c r="AF843" s="198">
        <v>41822</v>
      </c>
      <c r="AG843" s="176">
        <v>4.2</v>
      </c>
      <c r="AH843" s="196">
        <v>41927</v>
      </c>
      <c r="AI843" s="176">
        <v>115</v>
      </c>
      <c r="AM843" s="176">
        <v>86</v>
      </c>
      <c r="BG843" s="201">
        <v>5.4</v>
      </c>
      <c r="BI843" s="201">
        <v>4.7</v>
      </c>
      <c r="BK843" s="201">
        <v>1.4</v>
      </c>
      <c r="BM843" s="201">
        <v>64.900000000000006</v>
      </c>
      <c r="BO843" s="201">
        <v>19</v>
      </c>
      <c r="BQ843" s="201">
        <v>9.9</v>
      </c>
      <c r="BS843" s="201">
        <v>53</v>
      </c>
      <c r="BU843" s="201">
        <v>15.7</v>
      </c>
      <c r="BW843" s="201">
        <v>21</v>
      </c>
      <c r="BY843" s="178">
        <v>6.2000000000000028</v>
      </c>
      <c r="CC843" s="201">
        <v>5.6</v>
      </c>
      <c r="CD843" s="198">
        <v>41822</v>
      </c>
      <c r="CI843" s="174" t="s">
        <v>9372</v>
      </c>
      <c r="CL843" s="174">
        <v>3</v>
      </c>
    </row>
    <row r="844" spans="1:91">
      <c r="A844" s="191" t="s">
        <v>7755</v>
      </c>
      <c r="B844" s="192" t="s">
        <v>269</v>
      </c>
      <c r="C844" s="192" t="s">
        <v>8997</v>
      </c>
      <c r="D844" s="192" t="s">
        <v>8714</v>
      </c>
      <c r="E844" s="193">
        <v>284</v>
      </c>
      <c r="F844" s="193">
        <v>3</v>
      </c>
      <c r="K844" s="176">
        <v>8</v>
      </c>
      <c r="M844" s="197">
        <v>1.7</v>
      </c>
      <c r="N844" s="198">
        <v>41822</v>
      </c>
      <c r="S844" s="176">
        <f>(AE844*BS844)/100</f>
        <v>5.3292036358703028</v>
      </c>
      <c r="T844" s="198"/>
      <c r="U844" s="176">
        <v>16.2</v>
      </c>
      <c r="Y844" s="200">
        <f>(AE844*BU844)/100</f>
        <v>2.0530538597205266</v>
      </c>
      <c r="Z844" s="198"/>
      <c r="AA844" s="200"/>
      <c r="AB844" s="198"/>
      <c r="AC844" s="378">
        <f t="shared" si="13"/>
        <v>9.9376543209876562</v>
      </c>
      <c r="AE844" s="176">
        <f>(M844/U844)*((100-CC844)/(100-9))*100</f>
        <v>10.920499253832588</v>
      </c>
      <c r="AF844" s="198">
        <v>41822</v>
      </c>
      <c r="AG844" s="176">
        <v>4.5</v>
      </c>
      <c r="AH844" s="196">
        <v>41927</v>
      </c>
      <c r="AI844" s="176">
        <v>90</v>
      </c>
      <c r="AM844" s="176">
        <v>85</v>
      </c>
      <c r="BG844" s="201">
        <v>42.7</v>
      </c>
      <c r="BI844" s="201">
        <v>4.5999999999999996</v>
      </c>
      <c r="BK844" s="201">
        <v>1</v>
      </c>
      <c r="BM844" s="201">
        <v>32.700000000000003</v>
      </c>
      <c r="BO844" s="201">
        <v>16</v>
      </c>
      <c r="BQ844" s="201">
        <v>9.6</v>
      </c>
      <c r="BS844" s="201">
        <v>48.8</v>
      </c>
      <c r="BU844" s="201">
        <v>18.8</v>
      </c>
      <c r="BW844" s="201">
        <v>76</v>
      </c>
      <c r="BY844" s="178">
        <v>6.2000000000000028</v>
      </c>
      <c r="CC844" s="201">
        <v>5.3</v>
      </c>
      <c r="CD844" s="198">
        <v>41822</v>
      </c>
      <c r="CI844" s="174" t="s">
        <v>9380</v>
      </c>
      <c r="CL844" s="174">
        <v>7</v>
      </c>
    </row>
    <row r="845" spans="1:91">
      <c r="A845" s="202" t="s">
        <v>7616</v>
      </c>
      <c r="B845" s="203" t="s">
        <v>269</v>
      </c>
      <c r="C845" s="203" t="s">
        <v>8997</v>
      </c>
      <c r="D845" s="203" t="s">
        <v>8158</v>
      </c>
      <c r="E845" s="204">
        <v>284</v>
      </c>
      <c r="F845" s="204">
        <v>4</v>
      </c>
      <c r="G845" s="204"/>
      <c r="H845" s="204"/>
      <c r="I845" s="185"/>
      <c r="J845" s="206"/>
      <c r="K845" s="177">
        <v>6</v>
      </c>
      <c r="L845" s="207"/>
      <c r="M845" s="208">
        <v>0.85</v>
      </c>
      <c r="N845" s="209">
        <v>41822</v>
      </c>
      <c r="O845" s="182"/>
      <c r="P845" s="210"/>
      <c r="Q845" s="183"/>
      <c r="R845" s="210"/>
      <c r="S845" s="177">
        <f>(AE845*BS845)/100</f>
        <v>2.6854049654049659</v>
      </c>
      <c r="T845" s="209"/>
      <c r="U845" s="177">
        <v>16.2</v>
      </c>
      <c r="V845" s="210"/>
      <c r="W845" s="183"/>
      <c r="X845" s="210"/>
      <c r="Y845" s="213">
        <f>(AE845*BU845)/100</f>
        <v>0.97454212454212463</v>
      </c>
      <c r="Z845" s="209"/>
      <c r="AA845" s="213"/>
      <c r="AB845" s="209"/>
      <c r="AC845" s="378">
        <f t="shared" si="13"/>
        <v>4.9268518518518523</v>
      </c>
      <c r="AD845" s="207"/>
      <c r="AE845" s="177">
        <f>(M845/U845)*((100-CC845)/(100-9))*100</f>
        <v>5.414122914122915</v>
      </c>
      <c r="AF845" s="209">
        <v>41822</v>
      </c>
      <c r="AG845" s="177">
        <v>5.2</v>
      </c>
      <c r="AH845" s="207">
        <v>41927</v>
      </c>
      <c r="AI845" s="177">
        <v>80</v>
      </c>
      <c r="AJ845" s="207"/>
      <c r="AK845" s="183"/>
      <c r="AL845" s="210"/>
      <c r="AM845" s="177">
        <v>74</v>
      </c>
      <c r="AN845" s="210"/>
      <c r="AO845" s="183"/>
      <c r="AP845" s="183"/>
      <c r="AQ845" s="183"/>
      <c r="AR845" s="183"/>
      <c r="AS845" s="183"/>
      <c r="AT845" s="183"/>
      <c r="AU845" s="183"/>
      <c r="AV845" s="183"/>
      <c r="AW845" s="183"/>
      <c r="AX845" s="183"/>
      <c r="AY845" s="183"/>
      <c r="AZ845" s="183"/>
      <c r="BA845" s="183"/>
      <c r="BB845" s="183"/>
      <c r="BC845" s="183"/>
      <c r="BD845" s="183"/>
      <c r="BE845" s="182"/>
      <c r="BF845" s="182"/>
      <c r="BG845" s="211">
        <v>18.899999999999999</v>
      </c>
      <c r="BH845" s="181"/>
      <c r="BI845" s="211">
        <v>4.7</v>
      </c>
      <c r="BJ845" s="181"/>
      <c r="BK845" s="211">
        <v>1.4</v>
      </c>
      <c r="BL845" s="181"/>
      <c r="BM845" s="211">
        <v>50.3</v>
      </c>
      <c r="BN845" s="181"/>
      <c r="BO845" s="211">
        <v>20.3</v>
      </c>
      <c r="BP845" s="181"/>
      <c r="BQ845" s="211">
        <v>8.8000000000000007</v>
      </c>
      <c r="BR845" s="181"/>
      <c r="BS845" s="211">
        <v>49.6</v>
      </c>
      <c r="BT845" s="181"/>
      <c r="BU845" s="211">
        <v>18</v>
      </c>
      <c r="BV845" s="181"/>
      <c r="BW845" s="211">
        <v>25.2</v>
      </c>
      <c r="BX845" s="181"/>
      <c r="BY845" s="181">
        <v>6.5999999999999943</v>
      </c>
      <c r="BZ845" s="181"/>
      <c r="CA845" s="182"/>
      <c r="CB845" s="182"/>
      <c r="CC845" s="211">
        <v>6.1</v>
      </c>
      <c r="CD845" s="209">
        <v>41822</v>
      </c>
      <c r="CE845" s="181"/>
      <c r="CF845" s="181"/>
      <c r="CG845" s="182"/>
      <c r="CH845" s="182"/>
      <c r="CI845" s="175" t="s">
        <v>9367</v>
      </c>
      <c r="CJ845" s="181"/>
      <c r="CK845" s="181"/>
      <c r="CL845" s="175">
        <v>7</v>
      </c>
      <c r="CM845" s="175"/>
    </row>
    <row r="846" spans="1:91">
      <c r="A846" s="191" t="s">
        <v>7770</v>
      </c>
      <c r="B846" s="192" t="s">
        <v>269</v>
      </c>
      <c r="C846" s="192" t="s">
        <v>8997</v>
      </c>
      <c r="D846" s="192" t="s">
        <v>8774</v>
      </c>
      <c r="E846" s="193">
        <v>284</v>
      </c>
      <c r="F846" s="193">
        <v>5</v>
      </c>
      <c r="K846" s="176">
        <v>7</v>
      </c>
      <c r="M846" s="197">
        <v>3.9</v>
      </c>
      <c r="N846" s="198">
        <v>41822</v>
      </c>
      <c r="S846" s="176">
        <f>(AE846*BS846)/100</f>
        <v>13.072275132275131</v>
      </c>
      <c r="T846" s="198"/>
      <c r="U846" s="176">
        <v>16.2</v>
      </c>
      <c r="Y846" s="200">
        <f>(AE846*BU846)/100</f>
        <v>4.166164021164021</v>
      </c>
      <c r="Z846" s="198"/>
      <c r="AA846" s="200"/>
      <c r="AB846" s="198"/>
      <c r="AC846" s="378">
        <f t="shared" si="13"/>
        <v>22.701851851851853</v>
      </c>
      <c r="AE846" s="176">
        <f>(M846/U846)*((100-CC846)/(100-9))*100</f>
        <v>24.947089947089946</v>
      </c>
      <c r="AF846" s="198">
        <v>41822</v>
      </c>
      <c r="AG846" s="176">
        <v>4.9000000000000004</v>
      </c>
      <c r="AH846" s="196">
        <v>41927</v>
      </c>
      <c r="AI846" s="176">
        <v>150</v>
      </c>
      <c r="AM846" s="176">
        <v>78</v>
      </c>
      <c r="BG846" s="201">
        <v>7.4</v>
      </c>
      <c r="BI846" s="201">
        <v>4.3</v>
      </c>
      <c r="BK846" s="201">
        <v>1.6</v>
      </c>
      <c r="BM846" s="201">
        <v>62</v>
      </c>
      <c r="BO846" s="201">
        <v>19</v>
      </c>
      <c r="BQ846" s="201">
        <v>10</v>
      </c>
      <c r="BS846" s="201">
        <v>52.4</v>
      </c>
      <c r="BU846" s="201">
        <v>16.7</v>
      </c>
      <c r="BW846" s="201">
        <v>10.4</v>
      </c>
      <c r="BY846" s="178">
        <v>6.2000000000000028</v>
      </c>
      <c r="CC846" s="201">
        <v>5.7</v>
      </c>
      <c r="CD846" s="198">
        <v>41822</v>
      </c>
      <c r="CI846" s="174" t="s">
        <v>9358</v>
      </c>
      <c r="CL846" s="174">
        <v>1</v>
      </c>
    </row>
    <row r="847" spans="1:91">
      <c r="A847" s="191" t="s">
        <v>7657</v>
      </c>
      <c r="B847" s="192" t="s">
        <v>269</v>
      </c>
      <c r="C847" s="192" t="s">
        <v>8997</v>
      </c>
      <c r="D847" s="192" t="s">
        <v>8322</v>
      </c>
      <c r="E847" s="193">
        <v>284</v>
      </c>
      <c r="F847" s="193">
        <v>6</v>
      </c>
      <c r="K847" s="176">
        <v>9</v>
      </c>
      <c r="M847" s="197">
        <v>0.5</v>
      </c>
      <c r="N847" s="198">
        <v>41822</v>
      </c>
      <c r="S847" s="176">
        <f>(AE847*BS847)/100</f>
        <v>1.5910866910866914</v>
      </c>
      <c r="T847" s="198"/>
      <c r="U847" s="176">
        <v>16.2</v>
      </c>
      <c r="Y847" s="200">
        <f>(AE847*BU847)/100</f>
        <v>0.55272690272690295</v>
      </c>
      <c r="Z847" s="198"/>
      <c r="AA847" s="200"/>
      <c r="AB847" s="198"/>
      <c r="AC847" s="378">
        <f t="shared" si="13"/>
        <v>2.9074074074074074</v>
      </c>
      <c r="AE847" s="176">
        <f>(M847/U847)*((100-CC847)/(100-9))*100</f>
        <v>3.1949531949531957</v>
      </c>
      <c r="AF847" s="198">
        <v>41822</v>
      </c>
      <c r="AG847" s="176">
        <v>4.7</v>
      </c>
      <c r="AH847" s="196">
        <v>41927</v>
      </c>
      <c r="AI847" s="176">
        <v>20</v>
      </c>
      <c r="AM847" s="176">
        <v>78</v>
      </c>
      <c r="BG847" s="201">
        <v>1.9</v>
      </c>
      <c r="BI847" s="201">
        <v>4.7</v>
      </c>
      <c r="BK847" s="201">
        <v>1.6</v>
      </c>
      <c r="BM847" s="201">
        <v>62.7</v>
      </c>
      <c r="BO847" s="201">
        <v>21.1</v>
      </c>
      <c r="BQ847" s="201">
        <v>8.3000000000000007</v>
      </c>
      <c r="BS847" s="201">
        <v>49.8</v>
      </c>
      <c r="BU847" s="201">
        <v>17.3</v>
      </c>
      <c r="BW847" s="201">
        <v>29.2</v>
      </c>
      <c r="BY847" s="178">
        <v>6.0999999999999943</v>
      </c>
      <c r="CC847" s="201">
        <v>5.8</v>
      </c>
      <c r="CD847" s="198">
        <v>41822</v>
      </c>
      <c r="CI847" s="174" t="s">
        <v>9370</v>
      </c>
      <c r="CL847" s="174">
        <v>9</v>
      </c>
    </row>
    <row r="848" spans="1:91">
      <c r="A848" s="191" t="s">
        <v>7813</v>
      </c>
      <c r="B848" s="192" t="s">
        <v>271</v>
      </c>
      <c r="C848" s="192" t="s">
        <v>8999</v>
      </c>
      <c r="D848" s="192" t="s">
        <v>8948</v>
      </c>
      <c r="E848" s="193">
        <v>284</v>
      </c>
      <c r="F848" s="193">
        <v>7</v>
      </c>
      <c r="K848" s="176">
        <v>7</v>
      </c>
      <c r="M848" s="197">
        <v>6</v>
      </c>
      <c r="N848" s="198">
        <v>41822</v>
      </c>
      <c r="S848" s="176">
        <f>(AE848*BS848)/100</f>
        <v>19.06796906796907</v>
      </c>
      <c r="T848" s="198"/>
      <c r="U848" s="176">
        <v>16.2</v>
      </c>
      <c r="Y848" s="200">
        <f>(AE848*BU848)/100</f>
        <v>6.4449735449735455</v>
      </c>
      <c r="Z848" s="198"/>
      <c r="AA848" s="200"/>
      <c r="AB848" s="198"/>
      <c r="AC848" s="378">
        <f t="shared" si="13"/>
        <v>34.703703703703709</v>
      </c>
      <c r="AE848" s="176">
        <f>(M848/U848)*((100-CC848)/(100-9))*100</f>
        <v>38.13593813593814</v>
      </c>
      <c r="AF848" s="198">
        <v>41822</v>
      </c>
      <c r="AG848" s="176">
        <v>4.4000000000000004</v>
      </c>
      <c r="AH848" s="196">
        <v>41927</v>
      </c>
      <c r="AI848" s="176">
        <v>145</v>
      </c>
      <c r="AM848" s="176">
        <v>86</v>
      </c>
      <c r="BG848" s="201">
        <v>0</v>
      </c>
      <c r="BI848" s="201">
        <v>4.5999999999999996</v>
      </c>
      <c r="BK848" s="201">
        <v>1.7</v>
      </c>
      <c r="BM848" s="201">
        <v>65.099999999999994</v>
      </c>
      <c r="BO848" s="201">
        <v>20.399999999999999</v>
      </c>
      <c r="BQ848" s="201">
        <v>7</v>
      </c>
      <c r="BS848" s="201">
        <v>50</v>
      </c>
      <c r="BU848" s="201">
        <v>16.899999999999999</v>
      </c>
      <c r="BW848" s="201">
        <v>11.9</v>
      </c>
      <c r="BY848" s="178">
        <v>6.2000000000000028</v>
      </c>
      <c r="CC848" s="201">
        <v>6.3</v>
      </c>
      <c r="CD848" s="198">
        <v>41822</v>
      </c>
      <c r="CI848" s="174" t="s">
        <v>9350</v>
      </c>
      <c r="CL848" s="174">
        <v>1</v>
      </c>
    </row>
    <row r="849" spans="1:90">
      <c r="A849" s="191" t="s">
        <v>7803</v>
      </c>
      <c r="B849" s="192" t="s">
        <v>271</v>
      </c>
      <c r="C849" s="192" t="s">
        <v>8999</v>
      </c>
      <c r="D849" s="192" t="s">
        <v>8908</v>
      </c>
      <c r="E849" s="193">
        <v>284</v>
      </c>
      <c r="F849" s="193">
        <v>8</v>
      </c>
      <c r="K849" s="176">
        <v>8</v>
      </c>
      <c r="M849" s="197">
        <v>4.75</v>
      </c>
      <c r="N849" s="198">
        <v>41822</v>
      </c>
      <c r="S849" s="176">
        <f>(AE849*BS849)/100</f>
        <v>15.589743589743593</v>
      </c>
      <c r="T849" s="198"/>
      <c r="U849" s="176">
        <v>16.2</v>
      </c>
      <c r="Y849" s="200">
        <f>(AE849*BU849)/100</f>
        <v>4.6586538461538467</v>
      </c>
      <c r="Z849" s="198"/>
      <c r="AA849" s="200"/>
      <c r="AB849" s="198"/>
      <c r="AC849" s="378">
        <f t="shared" si="13"/>
        <v>27.708333333333336</v>
      </c>
      <c r="AE849" s="176">
        <f>(M849/U849)*((100-CC849)/(100-9))*100</f>
        <v>30.448717948717952</v>
      </c>
      <c r="AF849" s="198">
        <v>41822</v>
      </c>
      <c r="AG849" s="176">
        <v>4.5999999999999996</v>
      </c>
      <c r="AH849" s="196">
        <v>41927</v>
      </c>
      <c r="AI849" s="176">
        <v>130</v>
      </c>
      <c r="AM849" s="176">
        <v>84</v>
      </c>
      <c r="BG849" s="201">
        <v>0</v>
      </c>
      <c r="BI849" s="201">
        <v>4.8</v>
      </c>
      <c r="BK849" s="201">
        <v>1.6</v>
      </c>
      <c r="BM849" s="201">
        <v>63.2</v>
      </c>
      <c r="BO849" s="201">
        <v>20.6</v>
      </c>
      <c r="BQ849" s="201">
        <v>7.8</v>
      </c>
      <c r="BS849" s="201">
        <v>51.2</v>
      </c>
      <c r="BU849" s="201">
        <v>15.3</v>
      </c>
      <c r="BW849" s="201">
        <v>13.6</v>
      </c>
      <c r="BY849" s="178">
        <v>5.9000000000000057</v>
      </c>
      <c r="CC849" s="201">
        <v>5.5</v>
      </c>
      <c r="CD849" s="198">
        <v>41822</v>
      </c>
      <c r="CI849" s="174" t="s">
        <v>9357</v>
      </c>
      <c r="CL849" s="174">
        <v>1</v>
      </c>
    </row>
    <row r="850" spans="1:90">
      <c r="A850" s="191" t="s">
        <v>7615</v>
      </c>
      <c r="B850" s="192" t="s">
        <v>271</v>
      </c>
      <c r="C850" s="192" t="s">
        <v>8999</v>
      </c>
      <c r="D850" s="192" t="s">
        <v>8156</v>
      </c>
      <c r="E850" s="193">
        <v>284</v>
      </c>
      <c r="F850" s="193">
        <v>9</v>
      </c>
      <c r="I850" s="184"/>
      <c r="K850" s="176">
        <v>8</v>
      </c>
      <c r="M850" s="197">
        <v>1</v>
      </c>
      <c r="N850" s="198">
        <v>41822</v>
      </c>
      <c r="O850" s="179"/>
      <c r="S850" s="176">
        <f>(AE850*BS850)/100</f>
        <v>2.9872541039207703</v>
      </c>
      <c r="T850" s="198"/>
      <c r="U850" s="176">
        <v>16.2</v>
      </c>
      <c r="Y850" s="200">
        <f>(AE850*BU850)/100</f>
        <v>1.2985280151946819</v>
      </c>
      <c r="Z850" s="198"/>
      <c r="AA850" s="200"/>
      <c r="AB850" s="198"/>
      <c r="AC850" s="378">
        <f t="shared" si="13"/>
        <v>5.8209876543209882</v>
      </c>
      <c r="AE850" s="176">
        <f>(M850/U850)*((100-CC850)/(100-9))*100</f>
        <v>6.3966897300230627</v>
      </c>
      <c r="AF850" s="198">
        <v>41822</v>
      </c>
      <c r="AG850" s="176">
        <v>4.8</v>
      </c>
      <c r="AH850" s="196">
        <v>41927</v>
      </c>
      <c r="AI850" s="176">
        <v>140</v>
      </c>
      <c r="AM850" s="176">
        <v>82</v>
      </c>
      <c r="BG850" s="201">
        <v>38.700000000000003</v>
      </c>
      <c r="BI850" s="201">
        <v>4.8</v>
      </c>
      <c r="BK850" s="201">
        <v>1.1000000000000001</v>
      </c>
      <c r="BM850" s="201">
        <v>35.700000000000003</v>
      </c>
      <c r="BO850" s="201">
        <v>17.8</v>
      </c>
      <c r="BQ850" s="201">
        <v>8.6</v>
      </c>
      <c r="BS850" s="201">
        <v>46.7</v>
      </c>
      <c r="BU850" s="201">
        <v>20.3</v>
      </c>
      <c r="BW850" s="201">
        <v>70.3</v>
      </c>
      <c r="BY850" s="178">
        <v>6.2000000000000028</v>
      </c>
      <c r="CC850" s="201">
        <v>5.7</v>
      </c>
      <c r="CD850" s="198">
        <v>41822</v>
      </c>
      <c r="CI850" s="174" t="s">
        <v>9373</v>
      </c>
      <c r="CL850" s="174">
        <v>8</v>
      </c>
    </row>
    <row r="851" spans="1:90">
      <c r="A851" s="191" t="s">
        <v>7673</v>
      </c>
      <c r="B851" s="192" t="s">
        <v>271</v>
      </c>
      <c r="C851" s="192" t="s">
        <v>8999</v>
      </c>
      <c r="D851" s="192" t="s">
        <v>8388</v>
      </c>
      <c r="E851" s="193">
        <v>284</v>
      </c>
      <c r="F851" s="193">
        <v>10</v>
      </c>
      <c r="K851" s="176">
        <v>7</v>
      </c>
      <c r="M851" s="197">
        <v>2.85</v>
      </c>
      <c r="N851" s="198">
        <v>41822</v>
      </c>
      <c r="S851" s="176">
        <f>(AE851*BS851)/100</f>
        <v>8.7417012617012624</v>
      </c>
      <c r="T851" s="198"/>
      <c r="U851" s="176">
        <v>16.2</v>
      </c>
      <c r="Y851" s="200">
        <f>(AE851*BU851)/100</f>
        <v>3.3397313797313801</v>
      </c>
      <c r="Z851" s="198"/>
      <c r="AA851" s="200"/>
      <c r="AB851" s="198"/>
      <c r="AC851" s="378">
        <f t="shared" si="13"/>
        <v>16.607407407407408</v>
      </c>
      <c r="AE851" s="176">
        <f>(M851/U851)*((100-CC851)/(100-9))*100</f>
        <v>18.249898249898251</v>
      </c>
      <c r="AF851" s="198">
        <v>41822</v>
      </c>
      <c r="AG851" s="176">
        <v>4.8</v>
      </c>
      <c r="AH851" s="196">
        <v>41927</v>
      </c>
      <c r="AI851" s="176">
        <v>135</v>
      </c>
      <c r="AM851" s="176">
        <v>78</v>
      </c>
      <c r="BG851" s="201">
        <v>15.6</v>
      </c>
      <c r="BI851" s="201">
        <v>4.5</v>
      </c>
      <c r="BK851" s="201">
        <v>1.5</v>
      </c>
      <c r="BM851" s="201">
        <v>52.4</v>
      </c>
      <c r="BO851" s="201">
        <v>19.7</v>
      </c>
      <c r="BQ851" s="201">
        <v>5.7</v>
      </c>
      <c r="BS851" s="201">
        <v>47.9</v>
      </c>
      <c r="BU851" s="201">
        <v>18.3</v>
      </c>
      <c r="BW851" s="201">
        <v>25.6</v>
      </c>
      <c r="BY851" s="178">
        <v>6</v>
      </c>
      <c r="CC851" s="201">
        <v>5.6</v>
      </c>
      <c r="CD851" s="198">
        <v>41822</v>
      </c>
      <c r="CI851" s="174" t="s">
        <v>9375</v>
      </c>
      <c r="CL851" s="174">
        <v>6</v>
      </c>
    </row>
    <row r="852" spans="1:90">
      <c r="A852" s="191" t="s">
        <v>7749</v>
      </c>
      <c r="B852" s="192" t="s">
        <v>271</v>
      </c>
      <c r="C852" s="192" t="s">
        <v>8999</v>
      </c>
      <c r="D852" s="192" t="s">
        <v>8692</v>
      </c>
      <c r="E852" s="193">
        <v>284</v>
      </c>
      <c r="F852" s="193">
        <v>11</v>
      </c>
      <c r="K852" s="176">
        <v>7</v>
      </c>
      <c r="M852" s="197">
        <v>3.1</v>
      </c>
      <c r="N852" s="198">
        <v>41822</v>
      </c>
      <c r="S852" s="176">
        <f>(AE852*BS852)/100</f>
        <v>9.2006410256410263</v>
      </c>
      <c r="T852" s="198"/>
      <c r="U852" s="176">
        <v>16.2</v>
      </c>
      <c r="Y852" s="200">
        <f>(AE852*BU852)/100</f>
        <v>4.3320512820512826</v>
      </c>
      <c r="Z852" s="198"/>
      <c r="AA852" s="200"/>
      <c r="AB852" s="198"/>
      <c r="AC852" s="378">
        <f t="shared" si="13"/>
        <v>18.083333333333336</v>
      </c>
      <c r="AE852" s="176">
        <f>(M852/U852)*((100-CC852)/(100-9))*100</f>
        <v>19.871794871794876</v>
      </c>
      <c r="AF852" s="198">
        <v>41822</v>
      </c>
      <c r="AG852" s="176">
        <v>4.3</v>
      </c>
      <c r="AH852" s="196">
        <v>41927</v>
      </c>
      <c r="AI852" s="176">
        <v>150</v>
      </c>
      <c r="AM852" s="176">
        <v>94</v>
      </c>
      <c r="BG852" s="201">
        <v>48.9</v>
      </c>
      <c r="BI852" s="201">
        <v>4.3</v>
      </c>
      <c r="BK852" s="201">
        <v>0.8</v>
      </c>
      <c r="BM852" s="201">
        <v>32</v>
      </c>
      <c r="BO852" s="201">
        <v>16.399999999999999</v>
      </c>
      <c r="BQ852" s="201">
        <v>8.9</v>
      </c>
      <c r="BS852" s="201">
        <v>46.3</v>
      </c>
      <c r="BU852" s="201">
        <v>21.8</v>
      </c>
      <c r="BW852" s="201">
        <v>89.3</v>
      </c>
      <c r="BY852" s="178">
        <v>5.9000000000000057</v>
      </c>
      <c r="CC852" s="201">
        <v>5.5</v>
      </c>
      <c r="CD852" s="198">
        <v>41822</v>
      </c>
      <c r="CI852" s="174" t="s">
        <v>9347</v>
      </c>
      <c r="CL852" s="174">
        <v>7</v>
      </c>
    </row>
    <row r="853" spans="1:90">
      <c r="A853" s="191" t="s">
        <v>7715</v>
      </c>
      <c r="B853" s="192" t="s">
        <v>271</v>
      </c>
      <c r="C853" s="192" t="s">
        <v>8999</v>
      </c>
      <c r="D853" s="192" t="s">
        <v>8556</v>
      </c>
      <c r="E853" s="193">
        <v>284</v>
      </c>
      <c r="F853" s="193">
        <v>12</v>
      </c>
      <c r="K853" s="176">
        <v>6</v>
      </c>
      <c r="M853" s="197">
        <v>4.05</v>
      </c>
      <c r="N853" s="198">
        <v>41822</v>
      </c>
      <c r="S853" s="176">
        <f>(AE853*BS853)/100</f>
        <v>11.656730769230769</v>
      </c>
      <c r="T853" s="198"/>
      <c r="U853" s="176">
        <v>16.2</v>
      </c>
      <c r="Y853" s="200">
        <f>(AE853*BU853)/100</f>
        <v>5.0105769230769237</v>
      </c>
      <c r="Z853" s="198"/>
      <c r="AA853" s="200"/>
      <c r="AB853" s="198"/>
      <c r="AC853" s="378">
        <f t="shared" si="13"/>
        <v>23.625</v>
      </c>
      <c r="AE853" s="176">
        <f>(M853/U853)*((100-CC853)/(100-9))*100</f>
        <v>25.961538461538463</v>
      </c>
      <c r="AF853" s="198">
        <v>41822</v>
      </c>
      <c r="AG853" s="176">
        <v>4</v>
      </c>
      <c r="AH853" s="196">
        <v>41927</v>
      </c>
      <c r="AI853" s="176">
        <v>155</v>
      </c>
      <c r="AM853" s="176">
        <v>86</v>
      </c>
      <c r="BG853" s="201">
        <v>0</v>
      </c>
      <c r="BI853" s="201">
        <v>4.8</v>
      </c>
      <c r="BK853" s="201">
        <v>1.6</v>
      </c>
      <c r="BM853" s="201">
        <v>64.599999999999994</v>
      </c>
      <c r="BO853" s="201">
        <v>22.7</v>
      </c>
      <c r="BQ853" s="201">
        <v>8.3000000000000007</v>
      </c>
      <c r="BS853" s="201">
        <v>44.9</v>
      </c>
      <c r="BU853" s="201">
        <v>19.3</v>
      </c>
      <c r="BW853" s="201">
        <v>20.100000000000001</v>
      </c>
      <c r="BY853" s="178">
        <v>6</v>
      </c>
      <c r="CC853" s="201">
        <v>5.5</v>
      </c>
      <c r="CD853" s="198">
        <v>41822</v>
      </c>
      <c r="CI853" s="174" t="s">
        <v>9402</v>
      </c>
      <c r="CL853" s="174">
        <v>9</v>
      </c>
    </row>
    <row r="854" spans="1:90">
      <c r="A854" s="191" t="s">
        <v>7749</v>
      </c>
      <c r="B854" s="192" t="s">
        <v>269</v>
      </c>
      <c r="C854" s="192" t="s">
        <v>8997</v>
      </c>
      <c r="D854" s="192" t="s">
        <v>8690</v>
      </c>
      <c r="E854" s="193">
        <v>285</v>
      </c>
      <c r="F854" s="193">
        <v>1</v>
      </c>
      <c r="K854" s="176">
        <v>8</v>
      </c>
      <c r="M854" s="197">
        <v>1.45</v>
      </c>
      <c r="N854" s="198">
        <v>41822</v>
      </c>
      <c r="S854" s="176">
        <f>(AE854*BS854)/100</f>
        <v>4.3177777777777768</v>
      </c>
      <c r="T854" s="198"/>
      <c r="U854" s="176">
        <v>16.2</v>
      </c>
      <c r="Y854" s="200">
        <f>(AE854*BU854)/100</f>
        <v>1.919012345679012</v>
      </c>
      <c r="Z854" s="198"/>
      <c r="AA854" s="200"/>
      <c r="AB854" s="198"/>
      <c r="AC854" s="378">
        <f t="shared" si="13"/>
        <v>8.3956790123456777</v>
      </c>
      <c r="AE854" s="176">
        <f>(M854/U854)*((100-CC854)/(100-9))*100</f>
        <v>9.2260208926875578</v>
      </c>
      <c r="AF854" s="198">
        <v>41822</v>
      </c>
      <c r="AG854" s="176">
        <v>4.3</v>
      </c>
      <c r="AH854" s="196">
        <v>41927</v>
      </c>
      <c r="AI854" s="176">
        <v>115</v>
      </c>
      <c r="AM854" s="176">
        <v>95</v>
      </c>
      <c r="BG854" s="201">
        <v>49.4</v>
      </c>
      <c r="BI854" s="201">
        <v>4.7</v>
      </c>
      <c r="BK854" s="201">
        <v>0.8</v>
      </c>
      <c r="BM854" s="201">
        <v>29.5</v>
      </c>
      <c r="BO854" s="201">
        <v>16.600000000000001</v>
      </c>
      <c r="BQ854" s="201">
        <v>8.9</v>
      </c>
      <c r="BS854" s="201">
        <v>46.8</v>
      </c>
      <c r="BU854" s="201">
        <v>20.8</v>
      </c>
      <c r="BW854" s="201">
        <v>85.2</v>
      </c>
      <c r="BY854" s="178">
        <v>6.4000000000000057</v>
      </c>
      <c r="CC854" s="201">
        <v>6.2</v>
      </c>
      <c r="CD854" s="198">
        <v>41822</v>
      </c>
      <c r="CI854" s="174" t="s">
        <v>9343</v>
      </c>
      <c r="CL854" s="174">
        <v>7</v>
      </c>
    </row>
    <row r="855" spans="1:90">
      <c r="A855" s="191" t="s">
        <v>7741</v>
      </c>
      <c r="B855" s="192" t="s">
        <v>269</v>
      </c>
      <c r="C855" s="192" t="s">
        <v>8997</v>
      </c>
      <c r="D855" s="192" t="s">
        <v>8658</v>
      </c>
      <c r="E855" s="193">
        <v>285</v>
      </c>
      <c r="F855" s="193">
        <v>2</v>
      </c>
      <c r="K855" s="176">
        <v>9</v>
      </c>
      <c r="M855" s="197">
        <v>1.85</v>
      </c>
      <c r="N855" s="198">
        <v>41822</v>
      </c>
      <c r="S855" s="176">
        <f>(AE855*BS855)/100</f>
        <v>6.0900915750915736</v>
      </c>
      <c r="T855" s="198"/>
      <c r="U855" s="176">
        <v>16.2</v>
      </c>
      <c r="Y855" s="200">
        <f>(AE855*BU855)/100</f>
        <v>1.9944159544159541</v>
      </c>
      <c r="Z855" s="198"/>
      <c r="AA855" s="200"/>
      <c r="AB855" s="198"/>
      <c r="AC855" s="378">
        <f t="shared" si="13"/>
        <v>10.803086419753086</v>
      </c>
      <c r="AE855" s="176">
        <f>(M855/U855)*((100-CC855)/(100-9))*100</f>
        <v>11.871523538190203</v>
      </c>
      <c r="AF855" s="198">
        <v>41822</v>
      </c>
      <c r="AG855" s="176">
        <v>4.3</v>
      </c>
      <c r="AH855" s="196">
        <v>41927</v>
      </c>
      <c r="AI855" s="176">
        <v>110</v>
      </c>
      <c r="AM855" s="176">
        <v>87</v>
      </c>
      <c r="BG855" s="201">
        <v>47.4</v>
      </c>
      <c r="BI855" s="201">
        <v>4.8</v>
      </c>
      <c r="BK855" s="201">
        <v>0.9</v>
      </c>
      <c r="BM855" s="201">
        <v>28.7</v>
      </c>
      <c r="BO855" s="201">
        <v>17.100000000000001</v>
      </c>
      <c r="BQ855" s="201">
        <v>8.8000000000000007</v>
      </c>
      <c r="BS855" s="201">
        <v>51.3</v>
      </c>
      <c r="BU855" s="201">
        <v>16.8</v>
      </c>
      <c r="BW855" s="201">
        <v>57.3</v>
      </c>
      <c r="BY855" s="178">
        <v>6</v>
      </c>
      <c r="CC855" s="201">
        <v>5.4</v>
      </c>
      <c r="CD855" s="198">
        <v>41822</v>
      </c>
      <c r="CI855" s="174" t="s">
        <v>9368</v>
      </c>
      <c r="CL855" s="174">
        <v>5</v>
      </c>
    </row>
    <row r="856" spans="1:90">
      <c r="A856" s="191" t="s">
        <v>7797</v>
      </c>
      <c r="B856" s="192" t="s">
        <v>269</v>
      </c>
      <c r="C856" s="192" t="s">
        <v>8997</v>
      </c>
      <c r="D856" s="192" t="s">
        <v>8882</v>
      </c>
      <c r="E856" s="193">
        <v>285</v>
      </c>
      <c r="F856" s="193">
        <v>3</v>
      </c>
      <c r="K856" s="176">
        <v>6</v>
      </c>
      <c r="M856" s="197">
        <v>2.85</v>
      </c>
      <c r="N856" s="198">
        <v>41822</v>
      </c>
      <c r="S856" s="176">
        <f>(AE856*BS856)/100</f>
        <v>9.4376912901912924</v>
      </c>
      <c r="T856" s="198"/>
      <c r="U856" s="176">
        <v>16.2</v>
      </c>
      <c r="Y856" s="200">
        <f>(AE856*BU856)/100</f>
        <v>2.8258730158730163</v>
      </c>
      <c r="Z856" s="198"/>
      <c r="AA856" s="200"/>
      <c r="AB856" s="198"/>
      <c r="AC856" s="378">
        <f t="shared" si="13"/>
        <v>16.484259259259261</v>
      </c>
      <c r="AE856" s="176">
        <f>(M856/U856)*((100-CC856)/(100-9))*100</f>
        <v>18.114570614570617</v>
      </c>
      <c r="AF856" s="198">
        <v>41822</v>
      </c>
      <c r="AG856" s="176">
        <v>4.5</v>
      </c>
      <c r="AH856" s="196">
        <v>41927</v>
      </c>
      <c r="AI856" s="176">
        <v>145</v>
      </c>
      <c r="AM856" s="176">
        <v>80</v>
      </c>
      <c r="BG856" s="201">
        <v>0</v>
      </c>
      <c r="BI856" s="201">
        <v>5</v>
      </c>
      <c r="BK856" s="201">
        <v>1.7</v>
      </c>
      <c r="BM856" s="201">
        <v>67.099999999999994</v>
      </c>
      <c r="BO856" s="201">
        <v>20.3</v>
      </c>
      <c r="BQ856" s="201">
        <v>7.7</v>
      </c>
      <c r="BS856" s="201">
        <v>52.1</v>
      </c>
      <c r="BU856" s="201">
        <v>15.6</v>
      </c>
      <c r="BW856" s="201">
        <v>19.600000000000001</v>
      </c>
      <c r="BY856" s="178">
        <v>6.4000000000000057</v>
      </c>
      <c r="CC856" s="201">
        <v>6.3</v>
      </c>
      <c r="CD856" s="198">
        <v>41822</v>
      </c>
      <c r="CI856" s="174" t="s">
        <v>9359</v>
      </c>
      <c r="CL856" s="174">
        <v>1</v>
      </c>
    </row>
    <row r="857" spans="1:90">
      <c r="A857" s="191" t="s">
        <v>7898</v>
      </c>
      <c r="B857" s="192" t="s">
        <v>269</v>
      </c>
      <c r="C857" s="192" t="s">
        <v>8997</v>
      </c>
      <c r="D857" s="192" t="s">
        <v>8990</v>
      </c>
      <c r="E857" s="193">
        <v>285</v>
      </c>
      <c r="F857" s="193">
        <v>4</v>
      </c>
      <c r="K857" s="176">
        <v>6</v>
      </c>
      <c r="M857" s="197">
        <v>4.0999999999999996</v>
      </c>
      <c r="N857" s="198">
        <v>41822</v>
      </c>
      <c r="S857" s="176">
        <f>(AE857*BS857)/100</f>
        <v>13.859067969067972</v>
      </c>
      <c r="T857" s="198"/>
      <c r="U857" s="176">
        <v>16.2</v>
      </c>
      <c r="Y857" s="200">
        <f>(AE857*BU857)/100</f>
        <v>4.1131827431827439</v>
      </c>
      <c r="Z857" s="198"/>
      <c r="AA857" s="200"/>
      <c r="AB857" s="198"/>
      <c r="AC857" s="378">
        <f t="shared" si="13"/>
        <v>23.840740740740742</v>
      </c>
      <c r="AE857" s="176">
        <f>(M857/U857)*((100-CC857)/(100-9))*100</f>
        <v>26.198616198616204</v>
      </c>
      <c r="AF857" s="198">
        <v>41822</v>
      </c>
      <c r="AG857" s="176">
        <v>4.4000000000000004</v>
      </c>
      <c r="AH857" s="196">
        <v>41927</v>
      </c>
      <c r="AI857" s="176">
        <v>160</v>
      </c>
      <c r="AM857" s="176">
        <v>78</v>
      </c>
      <c r="BG857" s="201">
        <v>0</v>
      </c>
      <c r="BI857" s="201">
        <v>4.8</v>
      </c>
      <c r="BK857" s="201">
        <v>1.5</v>
      </c>
      <c r="BM857" s="201">
        <v>64.599999999999994</v>
      </c>
      <c r="BO857" s="201">
        <v>19.7</v>
      </c>
      <c r="BQ857" s="201">
        <v>9.3000000000000007</v>
      </c>
      <c r="BS857" s="201">
        <v>52.9</v>
      </c>
      <c r="BU857" s="201">
        <v>15.7</v>
      </c>
      <c r="BW857" s="201">
        <v>15.9</v>
      </c>
      <c r="BY857" s="178">
        <v>6.2999999999999972</v>
      </c>
      <c r="CC857" s="201">
        <v>5.8</v>
      </c>
      <c r="CD857" s="198">
        <v>41822</v>
      </c>
      <c r="CI857" s="174" t="s">
        <v>9346</v>
      </c>
      <c r="CL857" s="174" t="s">
        <v>9001</v>
      </c>
    </row>
    <row r="858" spans="1:90">
      <c r="A858" s="191" t="s">
        <v>7642</v>
      </c>
      <c r="B858" s="192" t="s">
        <v>269</v>
      </c>
      <c r="C858" s="192" t="s">
        <v>8997</v>
      </c>
      <c r="D858" s="192" t="s">
        <v>8262</v>
      </c>
      <c r="E858" s="193">
        <v>285</v>
      </c>
      <c r="F858" s="193">
        <v>5</v>
      </c>
      <c r="K858" s="176">
        <v>9</v>
      </c>
      <c r="M858" s="197">
        <v>1.4</v>
      </c>
      <c r="N858" s="198">
        <v>41822</v>
      </c>
      <c r="S858" s="176">
        <f>(AE858*BS858)/100</f>
        <v>4.2268376068376075</v>
      </c>
      <c r="T858" s="198"/>
      <c r="U858" s="176">
        <v>16.2</v>
      </c>
      <c r="Y858" s="200">
        <f>(AE858*BU858)/100</f>
        <v>1.7923931623931628</v>
      </c>
      <c r="Z858" s="198"/>
      <c r="AA858" s="200"/>
      <c r="AB858" s="198"/>
      <c r="AC858" s="378">
        <f t="shared" si="13"/>
        <v>8.1148148148148156</v>
      </c>
      <c r="AE858" s="176">
        <f>(M858/U858)*((100-CC858)/(100-9))*100</f>
        <v>8.9173789173789189</v>
      </c>
      <c r="AF858" s="198">
        <v>41822</v>
      </c>
      <c r="AG858" s="176">
        <v>5</v>
      </c>
      <c r="AH858" s="196">
        <v>41927</v>
      </c>
      <c r="AI858" s="176">
        <v>110</v>
      </c>
      <c r="AM858" s="176">
        <v>83</v>
      </c>
      <c r="BG858" s="201">
        <v>0</v>
      </c>
      <c r="BI858" s="201">
        <v>4.7</v>
      </c>
      <c r="BK858" s="201">
        <v>1.4</v>
      </c>
      <c r="BM858" s="201">
        <v>65.099999999999994</v>
      </c>
      <c r="BO858" s="201">
        <v>18.899999999999999</v>
      </c>
      <c r="BQ858" s="201">
        <v>9.9</v>
      </c>
      <c r="BS858" s="201">
        <v>47.4</v>
      </c>
      <c r="BU858" s="201">
        <v>20.100000000000001</v>
      </c>
      <c r="BW858" s="201">
        <v>74.099999999999994</v>
      </c>
      <c r="BY858" s="178">
        <v>6.2999999999999972</v>
      </c>
      <c r="CC858" s="201">
        <v>6.1</v>
      </c>
      <c r="CD858" s="198">
        <v>41822</v>
      </c>
      <c r="CI858" s="174" t="s">
        <v>9373</v>
      </c>
      <c r="CL858" s="174">
        <v>7</v>
      </c>
    </row>
    <row r="859" spans="1:90">
      <c r="A859" s="191" t="s">
        <v>7794</v>
      </c>
      <c r="B859" s="192" t="s">
        <v>269</v>
      </c>
      <c r="C859" s="192" t="s">
        <v>8997</v>
      </c>
      <c r="D859" s="192" t="s">
        <v>8870</v>
      </c>
      <c r="E859" s="193">
        <v>285</v>
      </c>
      <c r="F859" s="193">
        <v>6</v>
      </c>
      <c r="K859" s="176">
        <v>6</v>
      </c>
      <c r="M859" s="197">
        <v>2.2000000000000002</v>
      </c>
      <c r="N859" s="198">
        <v>41822</v>
      </c>
      <c r="S859" s="176">
        <f>(AE859*BS859)/100</f>
        <v>7.1606552706552726</v>
      </c>
      <c r="T859" s="198"/>
      <c r="U859" s="176">
        <v>16.2</v>
      </c>
      <c r="Y859" s="200">
        <f>(AE859*BU859)/100</f>
        <v>2.2420838420838427</v>
      </c>
      <c r="Z859" s="198"/>
      <c r="AA859" s="200"/>
      <c r="AB859" s="198"/>
      <c r="AC859" s="378">
        <f t="shared" si="13"/>
        <v>12.751851851851855</v>
      </c>
      <c r="AE859" s="176">
        <f>(M859/U859)*((100-CC859)/(100-9))*100</f>
        <v>14.013024013024017</v>
      </c>
      <c r="AF859" s="198">
        <v>41822</v>
      </c>
      <c r="AG859" s="176">
        <v>4.7</v>
      </c>
      <c r="AH859" s="196">
        <v>41927</v>
      </c>
      <c r="AI859" s="176">
        <v>120</v>
      </c>
      <c r="AM859" s="176">
        <v>85</v>
      </c>
      <c r="BG859" s="201">
        <v>0</v>
      </c>
      <c r="BI859" s="201">
        <v>4.7</v>
      </c>
      <c r="BK859" s="201">
        <v>1.6</v>
      </c>
      <c r="BM859" s="201">
        <v>62.3</v>
      </c>
      <c r="BO859" s="201">
        <v>22.2</v>
      </c>
      <c r="BQ859" s="201">
        <v>8</v>
      </c>
      <c r="BS859" s="201">
        <v>51.1</v>
      </c>
      <c r="BU859" s="201">
        <v>16</v>
      </c>
      <c r="BW859" s="201">
        <v>16.100000000000001</v>
      </c>
      <c r="BY859" s="178">
        <v>6.4000000000000057</v>
      </c>
      <c r="CC859" s="201">
        <v>6.1</v>
      </c>
      <c r="CD859" s="198">
        <v>41822</v>
      </c>
      <c r="CI859" s="174" t="s">
        <v>9395</v>
      </c>
      <c r="CL859" s="174">
        <v>1</v>
      </c>
    </row>
    <row r="860" spans="1:90">
      <c r="A860" s="191" t="s">
        <v>7654</v>
      </c>
      <c r="B860" s="192" t="s">
        <v>271</v>
      </c>
      <c r="C860" s="192" t="s">
        <v>8999</v>
      </c>
      <c r="D860" s="192" t="s">
        <v>8312</v>
      </c>
      <c r="E860" s="193">
        <v>285</v>
      </c>
      <c r="F860" s="193">
        <v>7</v>
      </c>
      <c r="K860" s="176">
        <v>8</v>
      </c>
      <c r="M860" s="197">
        <v>1.8</v>
      </c>
      <c r="N860" s="198">
        <v>41822</v>
      </c>
      <c r="S860" s="176">
        <f>(AE860*BS860)/100</f>
        <v>5.3251282051282063</v>
      </c>
      <c r="T860" s="198"/>
      <c r="U860" s="176">
        <v>16.2</v>
      </c>
      <c r="Y860" s="200">
        <f>(AE860*BU860)/100</f>
        <v>2.2360927960927963</v>
      </c>
      <c r="Z860" s="198"/>
      <c r="AA860" s="200"/>
      <c r="AB860" s="198"/>
      <c r="AC860" s="378">
        <f t="shared" si="13"/>
        <v>10.488888888888891</v>
      </c>
      <c r="AE860" s="176">
        <f>(M860/U860)*((100-CC860)/(100-9))*100</f>
        <v>11.526251526251528</v>
      </c>
      <c r="AF860" s="198">
        <v>41822</v>
      </c>
      <c r="AG860" s="176">
        <v>4.3</v>
      </c>
      <c r="AH860" s="196">
        <v>41927</v>
      </c>
      <c r="AI860" s="176">
        <v>90</v>
      </c>
      <c r="AM860" s="176">
        <v>85</v>
      </c>
      <c r="BG860" s="201">
        <v>2.4</v>
      </c>
      <c r="BI860" s="201">
        <v>4.5999999999999996</v>
      </c>
      <c r="BK860" s="201">
        <v>1.6</v>
      </c>
      <c r="BM860" s="201">
        <v>62.2</v>
      </c>
      <c r="BO860" s="201">
        <v>20.6</v>
      </c>
      <c r="BQ860" s="201">
        <v>9.1</v>
      </c>
      <c r="BS860" s="201">
        <v>46.2</v>
      </c>
      <c r="BU860" s="201">
        <v>19.399999999999999</v>
      </c>
      <c r="BW860" s="201">
        <v>57.7</v>
      </c>
      <c r="BY860" s="178">
        <v>6.2999999999999972</v>
      </c>
      <c r="CC860" s="201">
        <v>5.6</v>
      </c>
      <c r="CD860" s="198">
        <v>41822</v>
      </c>
      <c r="CI860" s="174" t="s">
        <v>9367</v>
      </c>
      <c r="CL860" s="174">
        <v>9</v>
      </c>
    </row>
    <row r="861" spans="1:90">
      <c r="A861" s="191" t="s">
        <v>7693</v>
      </c>
      <c r="B861" s="192" t="s">
        <v>271</v>
      </c>
      <c r="C861" s="192" t="s">
        <v>8999</v>
      </c>
      <c r="D861" s="192" t="s">
        <v>8468</v>
      </c>
      <c r="E861" s="193">
        <v>285</v>
      </c>
      <c r="F861" s="193">
        <v>8</v>
      </c>
      <c r="K861" s="176">
        <v>8</v>
      </c>
      <c r="M861" s="197">
        <v>4.5999999999999996</v>
      </c>
      <c r="N861" s="198">
        <v>41822</v>
      </c>
      <c r="S861" s="176">
        <f>(AE861*BS861)/100</f>
        <v>14.904723918057252</v>
      </c>
      <c r="T861" s="198"/>
      <c r="U861" s="176">
        <v>16.2</v>
      </c>
      <c r="Y861" s="200">
        <f>(AE861*BU861)/100</f>
        <v>4.9191480124813465</v>
      </c>
      <c r="Z861" s="198"/>
      <c r="AA861" s="200"/>
      <c r="AB861" s="198"/>
      <c r="AC861" s="378">
        <f t="shared" si="13"/>
        <v>26.804938271604939</v>
      </c>
      <c r="AE861" s="176">
        <f>(M861/U861)*((100-CC861)/(100-9))*100</f>
        <v>29.455976122642792</v>
      </c>
      <c r="AF861" s="198">
        <v>41822</v>
      </c>
      <c r="AG861" s="176">
        <v>4.8</v>
      </c>
      <c r="AH861" s="196">
        <v>41927</v>
      </c>
      <c r="AI861" s="176">
        <v>120</v>
      </c>
      <c r="AM861" s="176">
        <v>78</v>
      </c>
      <c r="BG861" s="201">
        <v>0</v>
      </c>
      <c r="BI861" s="201">
        <v>4.8</v>
      </c>
      <c r="BK861" s="201">
        <v>1.6</v>
      </c>
      <c r="BM861" s="201">
        <v>63.5</v>
      </c>
      <c r="BO861" s="201">
        <v>21.1</v>
      </c>
      <c r="BQ861" s="201">
        <v>7.9</v>
      </c>
      <c r="BS861" s="201">
        <v>50.6</v>
      </c>
      <c r="BU861" s="201">
        <v>16.7</v>
      </c>
      <c r="BW861" s="201">
        <v>14.4</v>
      </c>
      <c r="BY861" s="178">
        <v>5.9000000000000057</v>
      </c>
      <c r="CC861" s="201">
        <v>5.6</v>
      </c>
      <c r="CD861" s="198">
        <v>41822</v>
      </c>
      <c r="CI861" s="174" t="s">
        <v>9347</v>
      </c>
      <c r="CL861" s="174">
        <v>1</v>
      </c>
    </row>
    <row r="862" spans="1:90">
      <c r="A862" s="191" t="s">
        <v>7727</v>
      </c>
      <c r="B862" s="192" t="s">
        <v>271</v>
      </c>
      <c r="C862" s="192" t="s">
        <v>8999</v>
      </c>
      <c r="D862" s="192" t="s">
        <v>8604</v>
      </c>
      <c r="E862" s="193">
        <v>285</v>
      </c>
      <c r="F862" s="193">
        <v>9</v>
      </c>
      <c r="K862" s="176">
        <v>7</v>
      </c>
      <c r="M862" s="197">
        <v>4.8499999999999996</v>
      </c>
      <c r="N862" s="198">
        <v>41822</v>
      </c>
      <c r="S862" s="176">
        <f>(AE862*BS862)/100</f>
        <v>15.030657305657307</v>
      </c>
      <c r="T862" s="198"/>
      <c r="U862" s="176">
        <v>16.2</v>
      </c>
      <c r="Y862" s="200">
        <f>(AE862*BU862)/100</f>
        <v>5.4854151404151414</v>
      </c>
      <c r="Z862" s="198"/>
      <c r="AA862" s="200"/>
      <c r="AB862" s="198"/>
      <c r="AC862" s="378">
        <f t="shared" si="13"/>
        <v>28.201851851851853</v>
      </c>
      <c r="AE862" s="176">
        <f>(M862/U862)*((100-CC862)/(100-9))*100</f>
        <v>30.991045991045997</v>
      </c>
      <c r="AF862" s="198">
        <v>41822</v>
      </c>
      <c r="AG862" s="176">
        <v>4.9000000000000004</v>
      </c>
      <c r="AH862" s="196">
        <v>41927</v>
      </c>
      <c r="AI862" s="176">
        <v>165</v>
      </c>
      <c r="AM862" s="176">
        <v>80</v>
      </c>
      <c r="BG862" s="201">
        <v>3.4</v>
      </c>
      <c r="BI862" s="201">
        <v>4.4000000000000004</v>
      </c>
      <c r="BK862" s="201">
        <v>1.6</v>
      </c>
      <c r="BM862" s="201">
        <v>66.2</v>
      </c>
      <c r="BO862" s="201">
        <v>20</v>
      </c>
      <c r="BQ862" s="201">
        <v>7</v>
      </c>
      <c r="BS862" s="201">
        <v>48.5</v>
      </c>
      <c r="BU862" s="201">
        <v>17.7</v>
      </c>
      <c r="BW862" s="201">
        <v>14.8</v>
      </c>
      <c r="BY862" s="178">
        <v>5.7999999999999972</v>
      </c>
      <c r="CC862" s="201">
        <v>5.8</v>
      </c>
      <c r="CD862" s="198">
        <v>41822</v>
      </c>
      <c r="CI862" s="174" t="s">
        <v>9355</v>
      </c>
      <c r="CL862" s="174">
        <v>2</v>
      </c>
    </row>
    <row r="863" spans="1:90">
      <c r="A863" s="191" t="s">
        <v>7611</v>
      </c>
      <c r="B863" s="192" t="s">
        <v>271</v>
      </c>
      <c r="C863" s="192" t="s">
        <v>8999</v>
      </c>
      <c r="D863" s="192" t="s">
        <v>8140</v>
      </c>
      <c r="E863" s="193">
        <v>285</v>
      </c>
      <c r="F863" s="193">
        <v>10</v>
      </c>
      <c r="I863" s="184"/>
      <c r="K863" s="176">
        <v>8</v>
      </c>
      <c r="M863" s="197">
        <v>2.85</v>
      </c>
      <c r="N863" s="198">
        <v>41822</v>
      </c>
      <c r="O863" s="179"/>
      <c r="S863" s="176">
        <f>(AE863*BS863)/100</f>
        <v>8.7787423687423694</v>
      </c>
      <c r="T863" s="198"/>
      <c r="U863" s="176">
        <v>16.2</v>
      </c>
      <c r="Y863" s="200">
        <f>(AE863*BU863)/100</f>
        <v>3.2439194139194143</v>
      </c>
      <c r="Z863" s="198"/>
      <c r="AA863" s="200"/>
      <c r="AB863" s="198"/>
      <c r="AC863" s="378">
        <f t="shared" si="13"/>
        <v>16.677777777777777</v>
      </c>
      <c r="AE863" s="176">
        <f>(M863/U863)*((100-CC863)/(100-9))*100</f>
        <v>18.32722832722833</v>
      </c>
      <c r="AF863" s="198">
        <v>41822</v>
      </c>
      <c r="AG863" s="176">
        <v>4.8</v>
      </c>
      <c r="AH863" s="196">
        <v>41927</v>
      </c>
      <c r="AI863" s="176">
        <v>150</v>
      </c>
      <c r="AM863" s="176">
        <v>86</v>
      </c>
      <c r="BG863" s="201">
        <v>49.7</v>
      </c>
      <c r="BI863" s="201">
        <v>4.5</v>
      </c>
      <c r="BK863" s="201">
        <v>0.9</v>
      </c>
      <c r="BM863" s="201">
        <v>28.6</v>
      </c>
      <c r="BO863" s="201">
        <v>17.600000000000001</v>
      </c>
      <c r="BQ863" s="201">
        <v>9</v>
      </c>
      <c r="BS863" s="201">
        <v>47.9</v>
      </c>
      <c r="BU863" s="201">
        <v>17.7</v>
      </c>
      <c r="BW863" s="201">
        <v>55.4</v>
      </c>
      <c r="BY863" s="178">
        <v>5.7999999999999972</v>
      </c>
      <c r="CC863" s="201">
        <v>5.2</v>
      </c>
      <c r="CD863" s="198">
        <v>41822</v>
      </c>
      <c r="CI863" s="174" t="s">
        <v>9353</v>
      </c>
      <c r="CL863" s="174">
        <v>7</v>
      </c>
    </row>
    <row r="864" spans="1:90">
      <c r="A864" s="191" t="s">
        <v>7756</v>
      </c>
      <c r="B864" s="192" t="s">
        <v>271</v>
      </c>
      <c r="C864" s="192" t="s">
        <v>8999</v>
      </c>
      <c r="D864" s="192" t="s">
        <v>8720</v>
      </c>
      <c r="E864" s="193">
        <v>285</v>
      </c>
      <c r="F864" s="193">
        <v>11</v>
      </c>
      <c r="K864" s="176">
        <v>8</v>
      </c>
      <c r="M864" s="197">
        <v>1.7</v>
      </c>
      <c r="N864" s="198">
        <v>41822</v>
      </c>
      <c r="S864" s="176">
        <f>(AE864*BS864)/100</f>
        <v>5.105489078822413</v>
      </c>
      <c r="T864" s="198"/>
      <c r="U864" s="176">
        <v>16.2</v>
      </c>
      <c r="Y864" s="200">
        <f>(AE864*BU864)/100</f>
        <v>2.1662949396282731</v>
      </c>
      <c r="Z864" s="198"/>
      <c r="AA864" s="200"/>
      <c r="AB864" s="198"/>
      <c r="AC864" s="378">
        <f t="shared" si="13"/>
        <v>9.9061728395061746</v>
      </c>
      <c r="AE864" s="176">
        <f>(M864/U864)*((100-CC864)/(100-9))*100</f>
        <v>10.885904219237554</v>
      </c>
      <c r="AF864" s="198">
        <v>41822</v>
      </c>
      <c r="AG864" s="176">
        <v>4.5</v>
      </c>
      <c r="AH864" s="196">
        <v>41927</v>
      </c>
      <c r="AI864" s="176">
        <v>125</v>
      </c>
      <c r="AM864" s="176">
        <v>80</v>
      </c>
      <c r="BG864" s="201">
        <v>4.5999999999999996</v>
      </c>
      <c r="BI864" s="201">
        <v>4.5</v>
      </c>
      <c r="BK864" s="201">
        <v>1.4</v>
      </c>
      <c r="BM864" s="201">
        <v>64.7</v>
      </c>
      <c r="BO864" s="201">
        <v>19.7</v>
      </c>
      <c r="BQ864" s="201">
        <v>9.3000000000000007</v>
      </c>
      <c r="BS864" s="201">
        <v>46.9</v>
      </c>
      <c r="BU864" s="201">
        <v>19.899999999999999</v>
      </c>
      <c r="BW864" s="201">
        <v>62.2</v>
      </c>
      <c r="BY864" s="178">
        <v>6</v>
      </c>
      <c r="CC864" s="201">
        <v>5.6</v>
      </c>
      <c r="CD864" s="198">
        <v>41822</v>
      </c>
      <c r="CI864" s="174" t="s">
        <v>9351</v>
      </c>
      <c r="CL864" s="174">
        <v>9</v>
      </c>
    </row>
    <row r="865" spans="1:90">
      <c r="A865" s="191" t="s">
        <v>7798</v>
      </c>
      <c r="B865" s="192" t="s">
        <v>271</v>
      </c>
      <c r="C865" s="192" t="s">
        <v>8999</v>
      </c>
      <c r="D865" s="192" t="s">
        <v>8888</v>
      </c>
      <c r="E865" s="193">
        <v>285</v>
      </c>
      <c r="F865" s="193">
        <v>12</v>
      </c>
      <c r="K865" s="176">
        <v>6</v>
      </c>
      <c r="M865" s="197">
        <v>5.05</v>
      </c>
      <c r="N865" s="198">
        <v>41822</v>
      </c>
      <c r="S865" s="176">
        <f>(AE865*BS865)/100</f>
        <v>16.100257766924436</v>
      </c>
      <c r="T865" s="198"/>
      <c r="U865" s="176">
        <v>16.2</v>
      </c>
      <c r="Y865" s="200">
        <f>(AE865*BU865)/100</f>
        <v>5.635090218423553</v>
      </c>
      <c r="Z865" s="198"/>
      <c r="AA865" s="200"/>
      <c r="AB865" s="198"/>
      <c r="AC865" s="378">
        <f t="shared" si="13"/>
        <v>29.302469135802468</v>
      </c>
      <c r="AE865" s="176">
        <f>(M865/U865)*((100-CC865)/(100-9))*100</f>
        <v>32.200515533848872</v>
      </c>
      <c r="AF865" s="198">
        <v>41822</v>
      </c>
      <c r="AG865" s="176">
        <v>4</v>
      </c>
      <c r="AH865" s="196">
        <v>41927</v>
      </c>
      <c r="AI865" s="176">
        <v>165</v>
      </c>
      <c r="AM865" s="176">
        <v>87</v>
      </c>
      <c r="BG865" s="201">
        <v>0</v>
      </c>
      <c r="BI865" s="201">
        <v>4.4000000000000004</v>
      </c>
      <c r="BK865" s="201">
        <v>1.6</v>
      </c>
      <c r="BM865" s="201">
        <v>63.4</v>
      </c>
      <c r="BO865" s="201">
        <v>20.6</v>
      </c>
      <c r="BQ865" s="201">
        <v>9</v>
      </c>
      <c r="BS865" s="201">
        <v>50</v>
      </c>
      <c r="BU865" s="201">
        <v>17.5</v>
      </c>
      <c r="BW865" s="201">
        <v>19.399999999999999</v>
      </c>
      <c r="BY865" s="178">
        <v>6.0999999999999943</v>
      </c>
      <c r="CC865" s="201">
        <v>6</v>
      </c>
      <c r="CD865" s="198">
        <v>41822</v>
      </c>
      <c r="CI865" s="174" t="s">
        <v>9358</v>
      </c>
      <c r="CL865" s="174">
        <v>4</v>
      </c>
    </row>
  </sheetData>
  <sheetProtection selectLockedCells="1" selectUnlockedCells="1"/>
  <sortState ref="A2:CM865">
    <sortCondition ref="E2:E865"/>
    <sortCondition ref="F2:F865"/>
  </sortState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3"/>
  <sheetViews>
    <sheetView zoomScale="95" zoomScaleNormal="95" workbookViewId="0">
      <selection activeCellId="1" sqref="A2:B2 A1"/>
    </sheetView>
  </sheetViews>
  <sheetFormatPr baseColWidth="10" defaultColWidth="12.85546875" defaultRowHeight="12.75"/>
  <cols>
    <col min="1" max="1" width="13.28515625" style="123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  <row r="2" spans="1:4">
      <c r="A2" s="125" t="s">
        <v>273</v>
      </c>
      <c r="B2" s="112" t="s">
        <v>273</v>
      </c>
    </row>
    <row r="3" spans="1:4">
      <c r="A3" s="136" t="s">
        <v>274</v>
      </c>
      <c r="B3" s="137" t="s">
        <v>275</v>
      </c>
      <c r="D3" s="112" t="s">
        <v>273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F6"/>
  <sheetViews>
    <sheetView zoomScale="95" zoomScaleNormal="95" workbookViewId="0">
      <selection activeCell="N44" sqref="N44"/>
    </sheetView>
  </sheetViews>
  <sheetFormatPr baseColWidth="10" defaultColWidth="11.5703125" defaultRowHeight="12.75"/>
  <cols>
    <col min="1" max="1" width="15.140625" style="139" bestFit="1" customWidth="1"/>
    <col min="2" max="2" width="7.85546875" style="140" bestFit="1" customWidth="1"/>
    <col min="3" max="3" width="9.42578125" style="139" customWidth="1"/>
    <col min="4" max="4" width="9" style="141" customWidth="1"/>
    <col min="5" max="5" width="14.140625" style="141" customWidth="1"/>
    <col min="6" max="6" width="12.42578125" style="141" customWidth="1"/>
    <col min="7" max="16384" width="11.5703125" style="142"/>
  </cols>
  <sheetData>
    <row r="1" spans="1:6">
      <c r="A1" s="143" t="s">
        <v>215</v>
      </c>
      <c r="B1" s="144" t="s">
        <v>216</v>
      </c>
      <c r="C1" s="143" t="s">
        <v>217</v>
      </c>
      <c r="D1" s="145" t="s">
        <v>218</v>
      </c>
      <c r="E1" s="145" t="s">
        <v>219</v>
      </c>
      <c r="F1" s="145" t="s">
        <v>29</v>
      </c>
    </row>
    <row r="2" spans="1:6">
      <c r="A2" s="139" t="s">
        <v>9002</v>
      </c>
      <c r="B2" s="140" t="s">
        <v>9003</v>
      </c>
      <c r="C2" s="139" t="s">
        <v>9004</v>
      </c>
    </row>
    <row r="3" spans="1:6">
      <c r="A3" s="139" t="s">
        <v>9005</v>
      </c>
      <c r="B3" s="140" t="s">
        <v>9003</v>
      </c>
      <c r="C3" s="139" t="s">
        <v>9004</v>
      </c>
    </row>
    <row r="4" spans="1:6">
      <c r="A4" s="139" t="s">
        <v>9006</v>
      </c>
      <c r="B4" s="140" t="s">
        <v>9003</v>
      </c>
      <c r="C4" s="139" t="s">
        <v>9004</v>
      </c>
    </row>
    <row r="5" spans="1:6">
      <c r="A5" s="139" t="s">
        <v>9007</v>
      </c>
      <c r="B5" s="140" t="s">
        <v>9003</v>
      </c>
      <c r="C5" s="139" t="s">
        <v>9004</v>
      </c>
    </row>
    <row r="6" spans="1:6">
      <c r="A6" s="139" t="s">
        <v>9008</v>
      </c>
      <c r="B6" s="140" t="s">
        <v>9003</v>
      </c>
      <c r="C6" s="139" t="s">
        <v>9004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1"/>
  <sheetViews>
    <sheetView zoomScale="89" zoomScaleNormal="89" workbookViewId="0">
      <selection activeCellId="1" sqref="A2:B2 A1"/>
    </sheetView>
  </sheetViews>
  <sheetFormatPr baseColWidth="10" defaultColWidth="10.7109375" defaultRowHeight="12"/>
  <cols>
    <col min="1" max="1" width="9.28515625" style="146" customWidth="1"/>
    <col min="2" max="2" width="10.42578125" style="146" customWidth="1"/>
    <col min="3" max="3" width="11" style="146" customWidth="1"/>
  </cols>
  <sheetData>
    <row r="1" spans="1:3" s="148" customFormat="1">
      <c r="A1" s="147" t="s">
        <v>233</v>
      </c>
      <c r="B1" s="147" t="s">
        <v>234</v>
      </c>
      <c r="C1" s="147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topLeftCell="A154" zoomScale="89" zoomScaleNormal="89" workbookViewId="0">
      <selection activeCell="A173" sqref="A173"/>
    </sheetView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49" t="s">
        <v>146</v>
      </c>
      <c r="B1" s="149" t="s">
        <v>288</v>
      </c>
      <c r="C1" s="149" t="s">
        <v>149</v>
      </c>
      <c r="D1" s="149" t="s">
        <v>26</v>
      </c>
      <c r="E1" s="149" t="s">
        <v>65</v>
      </c>
    </row>
    <row r="2" spans="1:5">
      <c r="A2" s="149" t="s">
        <v>289</v>
      </c>
      <c r="B2" s="149" t="s">
        <v>290</v>
      </c>
      <c r="C2" s="149" t="s">
        <v>291</v>
      </c>
      <c r="D2" s="149" t="s">
        <v>292</v>
      </c>
      <c r="E2" s="149" t="s">
        <v>293</v>
      </c>
    </row>
    <row r="3" spans="1:5">
      <c r="A3" s="149" t="s">
        <v>294</v>
      </c>
      <c r="B3" s="149" t="s">
        <v>295</v>
      </c>
      <c r="C3" s="149" t="s">
        <v>296</v>
      </c>
      <c r="D3" s="149" t="s">
        <v>297</v>
      </c>
      <c r="E3" s="149" t="s">
        <v>298</v>
      </c>
    </row>
    <row r="4" spans="1:5">
      <c r="A4" s="149" t="s">
        <v>299</v>
      </c>
      <c r="B4" s="149" t="s">
        <v>300</v>
      </c>
      <c r="C4" s="149" t="s">
        <v>301</v>
      </c>
      <c r="D4" s="149" t="s">
        <v>302</v>
      </c>
      <c r="E4" s="149" t="s">
        <v>303</v>
      </c>
    </row>
    <row r="5" spans="1:5">
      <c r="A5" s="149" t="s">
        <v>304</v>
      </c>
      <c r="B5" s="149" t="s">
        <v>305</v>
      </c>
      <c r="C5" s="149" t="s">
        <v>306</v>
      </c>
      <c r="D5" s="149" t="s">
        <v>307</v>
      </c>
      <c r="E5" s="149" t="s">
        <v>308</v>
      </c>
    </row>
    <row r="6" spans="1:5">
      <c r="A6" s="149" t="s">
        <v>309</v>
      </c>
      <c r="B6" s="149" t="s">
        <v>310</v>
      </c>
      <c r="C6" s="149" t="s">
        <v>311</v>
      </c>
      <c r="D6" s="149" t="s">
        <v>312</v>
      </c>
      <c r="E6" s="149" t="s">
        <v>90</v>
      </c>
    </row>
    <row r="7" spans="1:5">
      <c r="A7" s="149" t="s">
        <v>313</v>
      </c>
      <c r="B7" s="149" t="s">
        <v>314</v>
      </c>
      <c r="C7" s="149" t="s">
        <v>315</v>
      </c>
      <c r="D7" s="149" t="s">
        <v>316</v>
      </c>
      <c r="E7" s="149" t="s">
        <v>317</v>
      </c>
    </row>
    <row r="8" spans="1:5">
      <c r="A8" s="149" t="s">
        <v>318</v>
      </c>
      <c r="B8" s="149" t="s">
        <v>319</v>
      </c>
      <c r="C8" s="149" t="s">
        <v>320</v>
      </c>
      <c r="D8" s="149" t="s">
        <v>321</v>
      </c>
      <c r="E8" s="149" t="s">
        <v>322</v>
      </c>
    </row>
    <row r="9" spans="1:5">
      <c r="A9" s="149" t="s">
        <v>323</v>
      </c>
      <c r="B9" s="149" t="s">
        <v>324</v>
      </c>
      <c r="C9" s="149" t="s">
        <v>325</v>
      </c>
      <c r="D9" s="149" t="s">
        <v>326</v>
      </c>
      <c r="E9" s="149" t="s">
        <v>327</v>
      </c>
    </row>
    <row r="10" spans="1:5">
      <c r="A10" s="149" t="s">
        <v>328</v>
      </c>
      <c r="B10" s="149" t="s">
        <v>329</v>
      </c>
      <c r="C10" s="149" t="s">
        <v>330</v>
      </c>
      <c r="D10" s="149" t="s">
        <v>331</v>
      </c>
      <c r="E10" s="149" t="s">
        <v>332</v>
      </c>
    </row>
    <row r="11" spans="1:5">
      <c r="A11" s="149" t="s">
        <v>333</v>
      </c>
      <c r="B11" s="149" t="s">
        <v>334</v>
      </c>
      <c r="C11" s="149" t="s">
        <v>335</v>
      </c>
      <c r="D11" s="149" t="s">
        <v>336</v>
      </c>
      <c r="E11" s="149" t="s">
        <v>337</v>
      </c>
    </row>
    <row r="12" spans="1:5">
      <c r="A12" s="149" t="s">
        <v>338</v>
      </c>
      <c r="B12" s="149" t="s">
        <v>339</v>
      </c>
      <c r="C12" s="149" t="s">
        <v>340</v>
      </c>
      <c r="D12" s="149" t="s">
        <v>341</v>
      </c>
      <c r="E12" s="149" t="s">
        <v>342</v>
      </c>
    </row>
    <row r="13" spans="1:5">
      <c r="A13" s="149" t="s">
        <v>343</v>
      </c>
      <c r="B13" s="149" t="s">
        <v>344</v>
      </c>
      <c r="C13" s="149" t="s">
        <v>345</v>
      </c>
      <c r="D13" s="149" t="s">
        <v>346</v>
      </c>
      <c r="E13" s="149" t="s">
        <v>347</v>
      </c>
    </row>
    <row r="14" spans="1:5">
      <c r="A14" s="149" t="s">
        <v>348</v>
      </c>
      <c r="B14" s="149" t="s">
        <v>349</v>
      </c>
      <c r="C14" s="149" t="s">
        <v>350</v>
      </c>
      <c r="D14" s="149" t="s">
        <v>351</v>
      </c>
      <c r="E14" s="149" t="s">
        <v>352</v>
      </c>
    </row>
    <row r="15" spans="1:5">
      <c r="A15" s="149" t="s">
        <v>353</v>
      </c>
      <c r="B15" s="149" t="s">
        <v>354</v>
      </c>
      <c r="C15" s="149" t="s">
        <v>355</v>
      </c>
      <c r="D15" s="149" t="s">
        <v>356</v>
      </c>
      <c r="E15" s="149" t="s">
        <v>357</v>
      </c>
    </row>
    <row r="16" spans="1:5">
      <c r="A16" s="149" t="s">
        <v>358</v>
      </c>
      <c r="B16" s="149" t="s">
        <v>359</v>
      </c>
      <c r="C16" s="149" t="s">
        <v>360</v>
      </c>
      <c r="D16" s="149" t="s">
        <v>361</v>
      </c>
      <c r="E16" s="149" t="s">
        <v>362</v>
      </c>
    </row>
    <row r="17" spans="1:5">
      <c r="A17" s="149" t="s">
        <v>363</v>
      </c>
      <c r="B17" s="149" t="s">
        <v>364</v>
      </c>
      <c r="C17" s="149" t="s">
        <v>365</v>
      </c>
      <c r="D17" s="149" t="s">
        <v>366</v>
      </c>
      <c r="E17" s="149" t="s">
        <v>367</v>
      </c>
    </row>
    <row r="18" spans="1:5">
      <c r="A18" s="149" t="s">
        <v>368</v>
      </c>
      <c r="B18" s="149" t="s">
        <v>369</v>
      </c>
      <c r="C18" s="149" t="s">
        <v>370</v>
      </c>
      <c r="D18" s="149" t="s">
        <v>371</v>
      </c>
      <c r="E18" s="149" t="s">
        <v>372</v>
      </c>
    </row>
    <row r="19" spans="1:5">
      <c r="A19" s="149" t="s">
        <v>373</v>
      </c>
      <c r="B19" s="149" t="s">
        <v>374</v>
      </c>
      <c r="C19" s="149" t="s">
        <v>375</v>
      </c>
      <c r="D19" s="149" t="s">
        <v>376</v>
      </c>
      <c r="E19" s="149" t="s">
        <v>377</v>
      </c>
    </row>
    <row r="20" spans="1:5">
      <c r="A20" s="149" t="s">
        <v>378</v>
      </c>
      <c r="B20" s="149" t="s">
        <v>379</v>
      </c>
      <c r="C20" s="149" t="s">
        <v>380</v>
      </c>
      <c r="D20" s="149" t="s">
        <v>381</v>
      </c>
      <c r="E20" s="149" t="s">
        <v>382</v>
      </c>
    </row>
    <row r="21" spans="1:5">
      <c r="A21" s="149" t="s">
        <v>383</v>
      </c>
      <c r="B21" s="149" t="s">
        <v>384</v>
      </c>
      <c r="C21" s="149" t="s">
        <v>385</v>
      </c>
      <c r="D21" s="149" t="s">
        <v>386</v>
      </c>
      <c r="E21" s="149" t="s">
        <v>387</v>
      </c>
    </row>
    <row r="22" spans="1:5">
      <c r="A22" s="149" t="s">
        <v>388</v>
      </c>
      <c r="B22" s="149" t="s">
        <v>389</v>
      </c>
      <c r="D22" s="149" t="s">
        <v>390</v>
      </c>
      <c r="E22" s="149" t="s">
        <v>391</v>
      </c>
    </row>
    <row r="23" spans="1:5">
      <c r="A23" s="149" t="s">
        <v>392</v>
      </c>
      <c r="B23" s="149" t="s">
        <v>393</v>
      </c>
      <c r="D23" s="149" t="s">
        <v>394</v>
      </c>
      <c r="E23" s="149" t="s">
        <v>395</v>
      </c>
    </row>
    <row r="24" spans="1:5">
      <c r="A24" s="149" t="s">
        <v>396</v>
      </c>
      <c r="B24" s="149" t="s">
        <v>397</v>
      </c>
      <c r="D24" s="149" t="s">
        <v>398</v>
      </c>
      <c r="E24" s="149" t="s">
        <v>399</v>
      </c>
    </row>
    <row r="25" spans="1:5">
      <c r="A25" s="149" t="s">
        <v>400</v>
      </c>
      <c r="B25" s="149" t="s">
        <v>401</v>
      </c>
      <c r="D25" s="149" t="s">
        <v>402</v>
      </c>
    </row>
    <row r="26" spans="1:5">
      <c r="A26" s="149" t="s">
        <v>403</v>
      </c>
      <c r="B26" s="149" t="s">
        <v>404</v>
      </c>
      <c r="D26" s="149" t="s">
        <v>405</v>
      </c>
    </row>
    <row r="27" spans="1:5">
      <c r="A27" s="149" t="s">
        <v>406</v>
      </c>
      <c r="B27" s="149" t="s">
        <v>407</v>
      </c>
      <c r="D27" s="149" t="s">
        <v>408</v>
      </c>
    </row>
    <row r="28" spans="1:5">
      <c r="A28" s="149" t="s">
        <v>409</v>
      </c>
      <c r="B28" s="149" t="s">
        <v>410</v>
      </c>
      <c r="D28" s="149" t="s">
        <v>411</v>
      </c>
    </row>
    <row r="29" spans="1:5">
      <c r="A29" s="149" t="s">
        <v>412</v>
      </c>
      <c r="B29" s="149" t="s">
        <v>413</v>
      </c>
      <c r="D29" s="149" t="s">
        <v>414</v>
      </c>
    </row>
    <row r="30" spans="1:5">
      <c r="A30" s="149" t="s">
        <v>415</v>
      </c>
      <c r="B30" s="149" t="s">
        <v>416</v>
      </c>
      <c r="D30" s="149" t="s">
        <v>417</v>
      </c>
    </row>
    <row r="31" spans="1:5">
      <c r="A31" s="149" t="s">
        <v>418</v>
      </c>
      <c r="B31" s="149" t="s">
        <v>419</v>
      </c>
      <c r="D31" s="149" t="s">
        <v>420</v>
      </c>
    </row>
    <row r="32" spans="1:5">
      <c r="A32" s="149" t="s">
        <v>421</v>
      </c>
      <c r="B32" s="149" t="s">
        <v>422</v>
      </c>
      <c r="D32" s="149" t="s">
        <v>423</v>
      </c>
    </row>
    <row r="33" spans="1:4">
      <c r="A33" s="149" t="s">
        <v>424</v>
      </c>
      <c r="B33" s="149" t="s">
        <v>425</v>
      </c>
      <c r="D33" s="149" t="s">
        <v>426</v>
      </c>
    </row>
    <row r="34" spans="1:4">
      <c r="A34" s="149" t="s">
        <v>427</v>
      </c>
      <c r="B34" s="149" t="s">
        <v>428</v>
      </c>
      <c r="D34" s="149" t="s">
        <v>429</v>
      </c>
    </row>
    <row r="35" spans="1:4">
      <c r="A35" s="149" t="s">
        <v>430</v>
      </c>
      <c r="B35" s="149" t="s">
        <v>431</v>
      </c>
      <c r="D35" s="149" t="s">
        <v>432</v>
      </c>
    </row>
    <row r="36" spans="1:4">
      <c r="A36" s="149" t="s">
        <v>433</v>
      </c>
      <c r="B36" s="149" t="s">
        <v>434</v>
      </c>
      <c r="D36" s="149" t="s">
        <v>435</v>
      </c>
    </row>
    <row r="37" spans="1:4">
      <c r="A37" s="149" t="s">
        <v>436</v>
      </c>
      <c r="B37" s="149" t="s">
        <v>437</v>
      </c>
      <c r="D37" s="149" t="s">
        <v>438</v>
      </c>
    </row>
    <row r="38" spans="1:4">
      <c r="A38" s="149" t="s">
        <v>439</v>
      </c>
      <c r="B38" s="149" t="s">
        <v>440</v>
      </c>
      <c r="D38" s="149" t="s">
        <v>441</v>
      </c>
    </row>
    <row r="39" spans="1:4">
      <c r="A39" s="149" t="s">
        <v>442</v>
      </c>
      <c r="B39" s="149" t="s">
        <v>443</v>
      </c>
      <c r="D39" s="149" t="s">
        <v>444</v>
      </c>
    </row>
    <row r="40" spans="1:4">
      <c r="A40" s="149" t="s">
        <v>445</v>
      </c>
      <c r="B40" s="149" t="s">
        <v>446</v>
      </c>
      <c r="D40" s="149" t="s">
        <v>447</v>
      </c>
    </row>
    <row r="41" spans="1:4">
      <c r="A41" s="149" t="s">
        <v>448</v>
      </c>
      <c r="B41" s="149" t="s">
        <v>449</v>
      </c>
      <c r="D41" s="149" t="s">
        <v>450</v>
      </c>
    </row>
    <row r="42" spans="1:4">
      <c r="A42" s="149" t="s">
        <v>451</v>
      </c>
      <c r="B42" s="149" t="s">
        <v>452</v>
      </c>
      <c r="D42" s="149" t="s">
        <v>453</v>
      </c>
    </row>
    <row r="43" spans="1:4">
      <c r="A43" s="149" t="s">
        <v>454</v>
      </c>
      <c r="B43" s="149" t="s">
        <v>455</v>
      </c>
      <c r="D43" s="149" t="s">
        <v>456</v>
      </c>
    </row>
    <row r="44" spans="1:4">
      <c r="A44" s="149" t="s">
        <v>457</v>
      </c>
      <c r="B44" s="149" t="s">
        <v>458</v>
      </c>
      <c r="D44" s="149" t="s">
        <v>459</v>
      </c>
    </row>
    <row r="45" spans="1:4">
      <c r="A45" s="149" t="s">
        <v>460</v>
      </c>
      <c r="B45" s="149" t="s">
        <v>461</v>
      </c>
      <c r="D45" s="149" t="s">
        <v>462</v>
      </c>
    </row>
    <row r="46" spans="1:4">
      <c r="A46" s="149" t="s">
        <v>463</v>
      </c>
      <c r="B46" s="149" t="s">
        <v>464</v>
      </c>
      <c r="D46" s="149" t="s">
        <v>465</v>
      </c>
    </row>
    <row r="47" spans="1:4">
      <c r="A47" s="149" t="s">
        <v>466</v>
      </c>
      <c r="B47" s="149" t="s">
        <v>467</v>
      </c>
      <c r="D47" s="149" t="s">
        <v>468</v>
      </c>
    </row>
    <row r="48" spans="1:4">
      <c r="A48" s="149" t="s">
        <v>469</v>
      </c>
      <c r="B48" s="149" t="s">
        <v>470</v>
      </c>
      <c r="D48" s="149" t="s">
        <v>471</v>
      </c>
    </row>
    <row r="49" spans="1:4">
      <c r="A49" s="149" t="s">
        <v>472</v>
      </c>
      <c r="B49" s="149" t="s">
        <v>473</v>
      </c>
      <c r="D49" s="149" t="s">
        <v>474</v>
      </c>
    </row>
    <row r="50" spans="1:4">
      <c r="A50" s="149" t="s">
        <v>475</v>
      </c>
      <c r="B50" s="149" t="s">
        <v>476</v>
      </c>
      <c r="D50" s="149" t="s">
        <v>477</v>
      </c>
    </row>
    <row r="51" spans="1:4">
      <c r="A51" s="149" t="s">
        <v>478</v>
      </c>
      <c r="B51" s="149" t="s">
        <v>479</v>
      </c>
      <c r="D51" s="149" t="s">
        <v>480</v>
      </c>
    </row>
    <row r="52" spans="1:4">
      <c r="A52" s="149" t="s">
        <v>481</v>
      </c>
      <c r="B52" s="149" t="s">
        <v>482</v>
      </c>
      <c r="D52" s="149" t="s">
        <v>483</v>
      </c>
    </row>
    <row r="53" spans="1:4">
      <c r="A53" s="149" t="s">
        <v>484</v>
      </c>
      <c r="B53" s="149" t="s">
        <v>485</v>
      </c>
      <c r="D53" s="149" t="s">
        <v>486</v>
      </c>
    </row>
    <row r="54" spans="1:4">
      <c r="A54" s="149" t="s">
        <v>487</v>
      </c>
      <c r="B54" s="149" t="s">
        <v>488</v>
      </c>
      <c r="D54" s="149" t="s">
        <v>489</v>
      </c>
    </row>
    <row r="55" spans="1:4">
      <c r="A55" s="149" t="s">
        <v>490</v>
      </c>
      <c r="B55" s="149" t="s">
        <v>491</v>
      </c>
      <c r="D55" s="149" t="s">
        <v>492</v>
      </c>
    </row>
    <row r="56" spans="1:4">
      <c r="A56" s="149" t="s">
        <v>493</v>
      </c>
      <c r="B56" s="149" t="s">
        <v>494</v>
      </c>
      <c r="D56" s="149" t="s">
        <v>495</v>
      </c>
    </row>
    <row r="57" spans="1:4">
      <c r="A57" s="149" t="s">
        <v>496</v>
      </c>
      <c r="B57" s="149" t="s">
        <v>497</v>
      </c>
      <c r="D57" s="149" t="s">
        <v>498</v>
      </c>
    </row>
    <row r="58" spans="1:4">
      <c r="A58" s="149" t="s">
        <v>499</v>
      </c>
      <c r="B58" s="149" t="s">
        <v>500</v>
      </c>
      <c r="D58" s="149" t="s">
        <v>501</v>
      </c>
    </row>
    <row r="59" spans="1:4">
      <c r="A59" s="149" t="s">
        <v>502</v>
      </c>
      <c r="B59" s="149" t="s">
        <v>503</v>
      </c>
      <c r="D59" s="149" t="s">
        <v>504</v>
      </c>
    </row>
    <row r="60" spans="1:4">
      <c r="A60" s="149" t="s">
        <v>505</v>
      </c>
      <c r="B60" s="149" t="s">
        <v>506</v>
      </c>
      <c r="D60" s="149" t="s">
        <v>507</v>
      </c>
    </row>
    <row r="61" spans="1:4">
      <c r="A61" s="149" t="s">
        <v>508</v>
      </c>
      <c r="B61" s="149" t="s">
        <v>509</v>
      </c>
      <c r="D61" s="149" t="s">
        <v>510</v>
      </c>
    </row>
    <row r="62" spans="1:4">
      <c r="A62" s="149" t="s">
        <v>511</v>
      </c>
      <c r="B62" s="149" t="s">
        <v>512</v>
      </c>
      <c r="D62" s="149" t="s">
        <v>513</v>
      </c>
    </row>
    <row r="63" spans="1:4">
      <c r="A63" s="149" t="s">
        <v>514</v>
      </c>
      <c r="B63" s="149" t="s">
        <v>515</v>
      </c>
      <c r="D63" s="149" t="s">
        <v>516</v>
      </c>
    </row>
    <row r="64" spans="1:4">
      <c r="A64" s="149" t="s">
        <v>517</v>
      </c>
      <c r="B64" s="149" t="s">
        <v>518</v>
      </c>
      <c r="D64" s="149" t="s">
        <v>519</v>
      </c>
    </row>
    <row r="65" spans="1:4">
      <c r="A65" s="149" t="s">
        <v>520</v>
      </c>
      <c r="B65" s="149" t="s">
        <v>521</v>
      </c>
      <c r="D65" s="149" t="s">
        <v>522</v>
      </c>
    </row>
    <row r="66" spans="1:4">
      <c r="A66" s="149" t="s">
        <v>523</v>
      </c>
      <c r="B66" s="149" t="s">
        <v>524</v>
      </c>
      <c r="D66" s="149" t="s">
        <v>525</v>
      </c>
    </row>
    <row r="67" spans="1:4">
      <c r="A67" s="149" t="s">
        <v>526</v>
      </c>
      <c r="B67" s="149" t="s">
        <v>527</v>
      </c>
      <c r="D67" s="149" t="s">
        <v>528</v>
      </c>
    </row>
    <row r="68" spans="1:4">
      <c r="A68" s="149" t="s">
        <v>529</v>
      </c>
      <c r="B68" s="149" t="s">
        <v>530</v>
      </c>
      <c r="D68" s="149" t="s">
        <v>531</v>
      </c>
    </row>
    <row r="69" spans="1:4">
      <c r="A69" s="149" t="s">
        <v>532</v>
      </c>
      <c r="B69" s="149" t="s">
        <v>533</v>
      </c>
      <c r="D69" s="149" t="s">
        <v>534</v>
      </c>
    </row>
    <row r="70" spans="1:4">
      <c r="A70" s="149" t="s">
        <v>535</v>
      </c>
      <c r="B70" s="149" t="s">
        <v>536</v>
      </c>
      <c r="D70" s="149" t="s">
        <v>537</v>
      </c>
    </row>
    <row r="71" spans="1:4">
      <c r="A71" s="149" t="s">
        <v>538</v>
      </c>
      <c r="B71" s="149" t="s">
        <v>539</v>
      </c>
      <c r="D71" s="149" t="s">
        <v>540</v>
      </c>
    </row>
    <row r="72" spans="1:4">
      <c r="A72" s="149" t="s">
        <v>541</v>
      </c>
      <c r="B72" s="149" t="s">
        <v>542</v>
      </c>
      <c r="D72" s="149" t="s">
        <v>543</v>
      </c>
    </row>
    <row r="73" spans="1:4">
      <c r="A73" s="149" t="s">
        <v>544</v>
      </c>
      <c r="B73" s="149" t="s">
        <v>545</v>
      </c>
      <c r="D73" s="149" t="s">
        <v>546</v>
      </c>
    </row>
    <row r="74" spans="1:4">
      <c r="A74" s="149" t="s">
        <v>547</v>
      </c>
      <c r="B74" s="149" t="s">
        <v>548</v>
      </c>
      <c r="D74" s="149" t="s">
        <v>549</v>
      </c>
    </row>
    <row r="75" spans="1:4">
      <c r="A75" s="149" t="s">
        <v>550</v>
      </c>
      <c r="B75" s="149" t="s">
        <v>551</v>
      </c>
      <c r="D75" s="149" t="s">
        <v>552</v>
      </c>
    </row>
    <row r="76" spans="1:4">
      <c r="A76" s="149" t="s">
        <v>259</v>
      </c>
      <c r="B76" s="149" t="s">
        <v>553</v>
      </c>
      <c r="D76" s="149" t="s">
        <v>554</v>
      </c>
    </row>
    <row r="77" spans="1:4">
      <c r="A77" s="149" t="s">
        <v>555</v>
      </c>
      <c r="B77" s="149" t="s">
        <v>556</v>
      </c>
      <c r="D77" s="149" t="s">
        <v>557</v>
      </c>
    </row>
    <row r="78" spans="1:4">
      <c r="A78" s="149" t="s">
        <v>558</v>
      </c>
      <c r="B78" s="149" t="s">
        <v>559</v>
      </c>
      <c r="D78" s="149" t="s">
        <v>560</v>
      </c>
    </row>
    <row r="79" spans="1:4">
      <c r="A79" s="149" t="s">
        <v>561</v>
      </c>
      <c r="B79" s="149" t="s">
        <v>562</v>
      </c>
      <c r="D79" s="149" t="s">
        <v>563</v>
      </c>
    </row>
    <row r="80" spans="1:4">
      <c r="A80" s="149" t="s">
        <v>564</v>
      </c>
      <c r="B80" s="149" t="s">
        <v>565</v>
      </c>
      <c r="D80" s="149" t="s">
        <v>566</v>
      </c>
    </row>
    <row r="81" spans="1:4">
      <c r="A81" s="149" t="s">
        <v>567</v>
      </c>
      <c r="B81" s="149" t="s">
        <v>568</v>
      </c>
      <c r="D81" s="149" t="s">
        <v>569</v>
      </c>
    </row>
    <row r="82" spans="1:4">
      <c r="A82" s="149" t="s">
        <v>570</v>
      </c>
      <c r="B82" s="149" t="s">
        <v>571</v>
      </c>
      <c r="D82" s="149" t="s">
        <v>572</v>
      </c>
    </row>
    <row r="83" spans="1:4">
      <c r="A83" s="149" t="s">
        <v>573</v>
      </c>
      <c r="B83" s="149" t="s">
        <v>574</v>
      </c>
      <c r="D83" s="149" t="s">
        <v>575</v>
      </c>
    </row>
    <row r="84" spans="1:4">
      <c r="A84" s="149" t="s">
        <v>576</v>
      </c>
      <c r="B84" s="149" t="s">
        <v>577</v>
      </c>
      <c r="D84" s="149" t="s">
        <v>578</v>
      </c>
    </row>
    <row r="85" spans="1:4">
      <c r="A85" s="149" t="s">
        <v>579</v>
      </c>
      <c r="B85" s="149" t="s">
        <v>580</v>
      </c>
      <c r="D85" s="149" t="s">
        <v>581</v>
      </c>
    </row>
    <row r="86" spans="1:4">
      <c r="A86" s="149" t="s">
        <v>582</v>
      </c>
      <c r="B86" s="149" t="s">
        <v>583</v>
      </c>
      <c r="D86" s="149" t="s">
        <v>584</v>
      </c>
    </row>
    <row r="87" spans="1:4">
      <c r="A87" s="149" t="s">
        <v>585</v>
      </c>
      <c r="B87" s="149" t="s">
        <v>586</v>
      </c>
      <c r="D87" s="149" t="s">
        <v>587</v>
      </c>
    </row>
    <row r="88" spans="1:4">
      <c r="A88" s="149" t="s">
        <v>588</v>
      </c>
      <c r="B88" s="149" t="s">
        <v>589</v>
      </c>
      <c r="D88" s="149" t="s">
        <v>590</v>
      </c>
    </row>
    <row r="89" spans="1:4">
      <c r="A89" s="149" t="s">
        <v>591</v>
      </c>
      <c r="B89" s="149" t="s">
        <v>592</v>
      </c>
      <c r="D89" s="149" t="s">
        <v>593</v>
      </c>
    </row>
    <row r="90" spans="1:4">
      <c r="A90" s="149" t="s">
        <v>594</v>
      </c>
      <c r="B90" s="149" t="s">
        <v>595</v>
      </c>
      <c r="D90" s="149" t="s">
        <v>596</v>
      </c>
    </row>
    <row r="91" spans="1:4">
      <c r="A91" s="149" t="s">
        <v>597</v>
      </c>
      <c r="B91" s="149" t="s">
        <v>598</v>
      </c>
      <c r="D91" s="149" t="s">
        <v>599</v>
      </c>
    </row>
    <row r="92" spans="1:4">
      <c r="A92" s="149" t="s">
        <v>600</v>
      </c>
      <c r="B92" s="149" t="s">
        <v>601</v>
      </c>
      <c r="D92" s="149" t="s">
        <v>602</v>
      </c>
    </row>
    <row r="93" spans="1:4">
      <c r="A93" s="149" t="s">
        <v>603</v>
      </c>
      <c r="B93" s="149" t="s">
        <v>604</v>
      </c>
      <c r="D93" s="149" t="s">
        <v>605</v>
      </c>
    </row>
    <row r="94" spans="1:4">
      <c r="A94" s="149" t="s">
        <v>606</v>
      </c>
      <c r="B94" s="149" t="s">
        <v>607</v>
      </c>
      <c r="D94" s="149" t="s">
        <v>608</v>
      </c>
    </row>
    <row r="95" spans="1:4">
      <c r="A95" s="149" t="s">
        <v>609</v>
      </c>
      <c r="B95" s="149" t="s">
        <v>610</v>
      </c>
      <c r="D95" s="149" t="s">
        <v>119</v>
      </c>
    </row>
    <row r="96" spans="1:4">
      <c r="A96" s="149" t="s">
        <v>611</v>
      </c>
      <c r="B96" s="149" t="s">
        <v>612</v>
      </c>
      <c r="D96" s="149" t="s">
        <v>613</v>
      </c>
    </row>
    <row r="97" spans="1:4">
      <c r="A97" s="149" t="s">
        <v>614</v>
      </c>
      <c r="B97" s="149" t="s">
        <v>615</v>
      </c>
      <c r="D97" s="149" t="s">
        <v>616</v>
      </c>
    </row>
    <row r="98" spans="1:4">
      <c r="A98" s="149" t="s">
        <v>617</v>
      </c>
      <c r="B98" s="149" t="s">
        <v>618</v>
      </c>
      <c r="D98" s="149" t="s">
        <v>619</v>
      </c>
    </row>
    <row r="99" spans="1:4">
      <c r="A99" s="149" t="s">
        <v>620</v>
      </c>
      <c r="B99" s="149" t="s">
        <v>621</v>
      </c>
      <c r="D99" s="149" t="s">
        <v>622</v>
      </c>
    </row>
    <row r="100" spans="1:4">
      <c r="A100" s="149" t="s">
        <v>623</v>
      </c>
      <c r="B100" s="149" t="s">
        <v>624</v>
      </c>
      <c r="D100" s="149" t="s">
        <v>625</v>
      </c>
    </row>
    <row r="101" spans="1:4">
      <c r="A101" s="149" t="s">
        <v>626</v>
      </c>
      <c r="B101" s="149" t="s">
        <v>627</v>
      </c>
      <c r="D101" s="149" t="s">
        <v>628</v>
      </c>
    </row>
    <row r="102" spans="1:4">
      <c r="A102" s="149" t="s">
        <v>629</v>
      </c>
      <c r="B102" s="149" t="s">
        <v>630</v>
      </c>
      <c r="D102" s="149" t="s">
        <v>631</v>
      </c>
    </row>
    <row r="103" spans="1:4">
      <c r="A103" s="149" t="s">
        <v>632</v>
      </c>
      <c r="B103" s="149" t="s">
        <v>633</v>
      </c>
      <c r="D103" s="149" t="s">
        <v>634</v>
      </c>
    </row>
    <row r="104" spans="1:4">
      <c r="A104" s="149" t="s">
        <v>635</v>
      </c>
      <c r="B104" s="149" t="s">
        <v>636</v>
      </c>
      <c r="D104" s="149" t="s">
        <v>637</v>
      </c>
    </row>
    <row r="105" spans="1:4">
      <c r="A105" s="149" t="s">
        <v>638</v>
      </c>
      <c r="B105" s="149" t="s">
        <v>639</v>
      </c>
      <c r="D105" s="149" t="s">
        <v>640</v>
      </c>
    </row>
    <row r="106" spans="1:4">
      <c r="A106" s="149" t="s">
        <v>641</v>
      </c>
      <c r="B106" s="149" t="s">
        <v>642</v>
      </c>
      <c r="D106" s="149" t="s">
        <v>643</v>
      </c>
    </row>
    <row r="107" spans="1:4">
      <c r="A107" s="149" t="s">
        <v>644</v>
      </c>
      <c r="B107" s="149" t="s">
        <v>645</v>
      </c>
      <c r="D107" s="149" t="s">
        <v>646</v>
      </c>
    </row>
    <row r="108" spans="1:4">
      <c r="A108" s="149" t="s">
        <v>647</v>
      </c>
      <c r="B108" s="149" t="s">
        <v>648</v>
      </c>
      <c r="D108" s="149" t="s">
        <v>649</v>
      </c>
    </row>
    <row r="109" spans="1:4">
      <c r="A109" s="149" t="s">
        <v>650</v>
      </c>
      <c r="B109" s="149" t="s">
        <v>651</v>
      </c>
      <c r="D109" s="149" t="s">
        <v>652</v>
      </c>
    </row>
    <row r="110" spans="1:4">
      <c r="A110" s="149" t="s">
        <v>653</v>
      </c>
      <c r="B110" s="149" t="s">
        <v>654</v>
      </c>
      <c r="D110" s="149" t="s">
        <v>655</v>
      </c>
    </row>
    <row r="111" spans="1:4">
      <c r="A111" s="149" t="s">
        <v>656</v>
      </c>
      <c r="B111" s="149" t="s">
        <v>657</v>
      </c>
      <c r="D111" s="149" t="s">
        <v>658</v>
      </c>
    </row>
    <row r="112" spans="1:4">
      <c r="A112" s="149" t="s">
        <v>659</v>
      </c>
      <c r="B112" s="149" t="s">
        <v>660</v>
      </c>
      <c r="D112" s="149" t="s">
        <v>661</v>
      </c>
    </row>
    <row r="113" spans="1:4">
      <c r="A113" s="149" t="s">
        <v>662</v>
      </c>
      <c r="B113" s="149" t="s">
        <v>663</v>
      </c>
      <c r="D113" s="149" t="s">
        <v>664</v>
      </c>
    </row>
    <row r="114" spans="1:4">
      <c r="A114" s="149" t="s">
        <v>665</v>
      </c>
      <c r="B114" s="149" t="s">
        <v>666</v>
      </c>
      <c r="D114" s="149" t="s">
        <v>667</v>
      </c>
    </row>
    <row r="115" spans="1:4">
      <c r="A115" s="149" t="s">
        <v>668</v>
      </c>
      <c r="B115" s="149" t="s">
        <v>669</v>
      </c>
      <c r="D115" s="149" t="s">
        <v>670</v>
      </c>
    </row>
    <row r="116" spans="1:4">
      <c r="A116" s="149" t="s">
        <v>671</v>
      </c>
      <c r="B116" s="149" t="s">
        <v>672</v>
      </c>
      <c r="D116" s="149" t="s">
        <v>673</v>
      </c>
    </row>
    <row r="117" spans="1:4">
      <c r="A117" s="149" t="s">
        <v>674</v>
      </c>
      <c r="B117" s="149" t="s">
        <v>675</v>
      </c>
      <c r="D117" s="149" t="s">
        <v>676</v>
      </c>
    </row>
    <row r="118" spans="1:4">
      <c r="A118" s="149" t="s">
        <v>677</v>
      </c>
      <c r="B118" s="149" t="s">
        <v>678</v>
      </c>
      <c r="D118" s="149" t="s">
        <v>679</v>
      </c>
    </row>
    <row r="119" spans="1:4">
      <c r="A119" s="149" t="s">
        <v>680</v>
      </c>
      <c r="B119" s="149" t="s">
        <v>681</v>
      </c>
      <c r="D119" s="149" t="s">
        <v>682</v>
      </c>
    </row>
    <row r="120" spans="1:4">
      <c r="A120" s="149" t="s">
        <v>683</v>
      </c>
      <c r="B120" s="149" t="s">
        <v>684</v>
      </c>
      <c r="D120" s="149" t="s">
        <v>685</v>
      </c>
    </row>
    <row r="121" spans="1:4">
      <c r="A121" s="149" t="s">
        <v>686</v>
      </c>
      <c r="B121" s="149" t="s">
        <v>687</v>
      </c>
      <c r="D121" s="149" t="s">
        <v>688</v>
      </c>
    </row>
    <row r="122" spans="1:4">
      <c r="A122" s="149" t="s">
        <v>689</v>
      </c>
      <c r="B122" s="149" t="s">
        <v>690</v>
      </c>
      <c r="D122" s="149" t="s">
        <v>691</v>
      </c>
    </row>
    <row r="123" spans="1:4">
      <c r="A123" s="149" t="s">
        <v>692</v>
      </c>
      <c r="B123" s="149" t="s">
        <v>693</v>
      </c>
      <c r="D123" s="149" t="s">
        <v>694</v>
      </c>
    </row>
    <row r="124" spans="1:4">
      <c r="A124" s="149" t="s">
        <v>695</v>
      </c>
      <c r="B124" s="149" t="s">
        <v>696</v>
      </c>
      <c r="D124" s="149" t="s">
        <v>697</v>
      </c>
    </row>
    <row r="125" spans="1:4">
      <c r="A125" s="149" t="s">
        <v>698</v>
      </c>
      <c r="B125" s="149" t="s">
        <v>699</v>
      </c>
      <c r="D125" s="149" t="s">
        <v>700</v>
      </c>
    </row>
    <row r="126" spans="1:4">
      <c r="A126" s="149" t="s">
        <v>701</v>
      </c>
      <c r="B126" s="149" t="s">
        <v>702</v>
      </c>
      <c r="D126" s="149" t="s">
        <v>703</v>
      </c>
    </row>
    <row r="127" spans="1:4">
      <c r="A127" s="149" t="s">
        <v>704</v>
      </c>
      <c r="B127" s="149" t="s">
        <v>705</v>
      </c>
      <c r="D127" s="149" t="s">
        <v>706</v>
      </c>
    </row>
    <row r="128" spans="1:4">
      <c r="A128" s="149" t="s">
        <v>707</v>
      </c>
      <c r="B128" s="149" t="s">
        <v>708</v>
      </c>
      <c r="D128" s="149" t="s">
        <v>709</v>
      </c>
    </row>
    <row r="129" spans="1:4">
      <c r="A129" s="149" t="s">
        <v>710</v>
      </c>
      <c r="B129" s="149" t="s">
        <v>711</v>
      </c>
      <c r="D129" s="149" t="s">
        <v>712</v>
      </c>
    </row>
    <row r="130" spans="1:4">
      <c r="A130" s="149" t="s">
        <v>713</v>
      </c>
      <c r="B130" s="149" t="s">
        <v>714</v>
      </c>
      <c r="D130" s="149" t="s">
        <v>715</v>
      </c>
    </row>
    <row r="131" spans="1:4">
      <c r="A131" s="149" t="s">
        <v>716</v>
      </c>
      <c r="B131" s="149" t="s">
        <v>717</v>
      </c>
      <c r="D131" s="149" t="s">
        <v>718</v>
      </c>
    </row>
    <row r="132" spans="1:4">
      <c r="A132" s="149" t="s">
        <v>719</v>
      </c>
      <c r="B132" s="149" t="s">
        <v>720</v>
      </c>
      <c r="D132" s="149" t="s">
        <v>721</v>
      </c>
    </row>
    <row r="133" spans="1:4">
      <c r="A133" s="149" t="s">
        <v>722</v>
      </c>
      <c r="B133" s="149" t="s">
        <v>723</v>
      </c>
      <c r="D133" s="149" t="s">
        <v>724</v>
      </c>
    </row>
    <row r="134" spans="1:4">
      <c r="A134" s="149" t="s">
        <v>725</v>
      </c>
      <c r="B134" s="149" t="s">
        <v>726</v>
      </c>
      <c r="D134" s="149" t="s">
        <v>727</v>
      </c>
    </row>
    <row r="135" spans="1:4">
      <c r="A135" s="149" t="s">
        <v>728</v>
      </c>
      <c r="B135" s="149" t="s">
        <v>729</v>
      </c>
      <c r="D135" s="149" t="s">
        <v>730</v>
      </c>
    </row>
    <row r="136" spans="1:4">
      <c r="A136" s="149" t="s">
        <v>731</v>
      </c>
      <c r="B136" s="149" t="s">
        <v>732</v>
      </c>
      <c r="D136" s="149" t="s">
        <v>733</v>
      </c>
    </row>
    <row r="137" spans="1:4">
      <c r="A137" s="149" t="s">
        <v>734</v>
      </c>
      <c r="B137" s="149" t="s">
        <v>735</v>
      </c>
      <c r="D137" s="149" t="s">
        <v>736</v>
      </c>
    </row>
    <row r="138" spans="1:4">
      <c r="A138" s="149" t="s">
        <v>737</v>
      </c>
      <c r="B138" s="149" t="s">
        <v>738</v>
      </c>
      <c r="D138" s="149" t="s">
        <v>739</v>
      </c>
    </row>
    <row r="139" spans="1:4">
      <c r="A139" s="149" t="s">
        <v>740</v>
      </c>
      <c r="B139" s="149" t="s">
        <v>741</v>
      </c>
      <c r="D139" s="149" t="s">
        <v>742</v>
      </c>
    </row>
    <row r="140" spans="1:4">
      <c r="A140" s="149" t="s">
        <v>743</v>
      </c>
      <c r="B140" s="149" t="s">
        <v>744</v>
      </c>
      <c r="D140" s="149" t="s">
        <v>745</v>
      </c>
    </row>
    <row r="141" spans="1:4">
      <c r="A141" s="149" t="s">
        <v>746</v>
      </c>
      <c r="B141" s="149" t="s">
        <v>747</v>
      </c>
      <c r="D141" s="149" t="s">
        <v>748</v>
      </c>
    </row>
    <row r="142" spans="1:4">
      <c r="A142" s="149" t="s">
        <v>749</v>
      </c>
      <c r="B142" s="149" t="s">
        <v>750</v>
      </c>
      <c r="D142" s="149" t="s">
        <v>751</v>
      </c>
    </row>
    <row r="143" spans="1:4">
      <c r="A143" s="149" t="s">
        <v>752</v>
      </c>
      <c r="B143" s="149" t="s">
        <v>753</v>
      </c>
      <c r="D143" s="149" t="s">
        <v>754</v>
      </c>
    </row>
    <row r="144" spans="1:4">
      <c r="A144" s="149" t="s">
        <v>755</v>
      </c>
      <c r="B144" s="149" t="s">
        <v>756</v>
      </c>
      <c r="D144" s="149" t="s">
        <v>757</v>
      </c>
    </row>
    <row r="145" spans="1:4">
      <c r="A145" s="149" t="s">
        <v>758</v>
      </c>
      <c r="B145" s="149" t="s">
        <v>759</v>
      </c>
      <c r="D145" s="149" t="s">
        <v>760</v>
      </c>
    </row>
    <row r="146" spans="1:4">
      <c r="A146" s="149" t="s">
        <v>761</v>
      </c>
      <c r="B146" s="149" t="s">
        <v>762</v>
      </c>
      <c r="D146" s="149" t="s">
        <v>763</v>
      </c>
    </row>
    <row r="147" spans="1:4">
      <c r="A147" s="149" t="s">
        <v>764</v>
      </c>
      <c r="B147" s="149" t="s">
        <v>765</v>
      </c>
      <c r="D147" s="149" t="s">
        <v>766</v>
      </c>
    </row>
    <row r="148" spans="1:4">
      <c r="A148" s="149" t="s">
        <v>767</v>
      </c>
      <c r="B148" s="149" t="s">
        <v>768</v>
      </c>
      <c r="D148" s="149" t="s">
        <v>769</v>
      </c>
    </row>
    <row r="149" spans="1:4">
      <c r="A149" s="149" t="s">
        <v>770</v>
      </c>
      <c r="B149" s="149" t="s">
        <v>771</v>
      </c>
      <c r="D149" s="149" t="s">
        <v>772</v>
      </c>
    </row>
    <row r="150" spans="1:4">
      <c r="A150" s="149" t="s">
        <v>773</v>
      </c>
      <c r="B150" s="149" t="s">
        <v>774</v>
      </c>
      <c r="D150" s="149" t="s">
        <v>775</v>
      </c>
    </row>
    <row r="151" spans="1:4">
      <c r="A151" s="149" t="s">
        <v>776</v>
      </c>
      <c r="B151" s="149" t="s">
        <v>777</v>
      </c>
      <c r="D151" s="149" t="s">
        <v>778</v>
      </c>
    </row>
    <row r="152" spans="1:4">
      <c r="A152" s="149" t="s">
        <v>779</v>
      </c>
      <c r="B152" s="149" t="s">
        <v>780</v>
      </c>
      <c r="D152" s="149" t="s">
        <v>781</v>
      </c>
    </row>
    <row r="153" spans="1:4">
      <c r="A153" s="149" t="s">
        <v>782</v>
      </c>
      <c r="B153" s="149" t="s">
        <v>783</v>
      </c>
      <c r="D153" s="149" t="s">
        <v>784</v>
      </c>
    </row>
    <row r="154" spans="1:4">
      <c r="A154" s="149" t="s">
        <v>785</v>
      </c>
      <c r="B154" s="149" t="s">
        <v>786</v>
      </c>
      <c r="D154" s="149" t="s">
        <v>787</v>
      </c>
    </row>
    <row r="155" spans="1:4">
      <c r="A155" s="149" t="s">
        <v>788</v>
      </c>
      <c r="B155" s="149" t="s">
        <v>789</v>
      </c>
      <c r="D155" s="149" t="s">
        <v>790</v>
      </c>
    </row>
    <row r="156" spans="1:4">
      <c r="A156" s="149" t="s">
        <v>791</v>
      </c>
      <c r="B156" s="149" t="s">
        <v>792</v>
      </c>
      <c r="D156" s="149" t="s">
        <v>793</v>
      </c>
    </row>
    <row r="157" spans="1:4">
      <c r="A157" s="149" t="s">
        <v>794</v>
      </c>
      <c r="B157" s="149" t="s">
        <v>795</v>
      </c>
      <c r="D157" s="149" t="s">
        <v>796</v>
      </c>
    </row>
    <row r="158" spans="1:4">
      <c r="A158" s="149" t="s">
        <v>797</v>
      </c>
      <c r="B158" s="149" t="s">
        <v>798</v>
      </c>
      <c r="D158" s="149" t="s">
        <v>799</v>
      </c>
    </row>
    <row r="159" spans="1:4">
      <c r="A159" s="149" t="s">
        <v>800</v>
      </c>
      <c r="B159" s="149" t="s">
        <v>801</v>
      </c>
      <c r="D159" s="149" t="s">
        <v>802</v>
      </c>
    </row>
    <row r="160" spans="1:4">
      <c r="A160" s="149" t="s">
        <v>803</v>
      </c>
      <c r="B160" s="149" t="s">
        <v>804</v>
      </c>
      <c r="D160" s="149" t="s">
        <v>805</v>
      </c>
    </row>
    <row r="161" spans="1:4">
      <c r="A161" s="149" t="s">
        <v>806</v>
      </c>
      <c r="B161" s="149" t="s">
        <v>807</v>
      </c>
      <c r="D161" s="149" t="s">
        <v>808</v>
      </c>
    </row>
    <row r="162" spans="1:4">
      <c r="A162" s="149" t="s">
        <v>809</v>
      </c>
      <c r="B162" s="149" t="s">
        <v>810</v>
      </c>
      <c r="D162" s="149" t="s">
        <v>811</v>
      </c>
    </row>
    <row r="163" spans="1:4">
      <c r="A163" s="149" t="s">
        <v>812</v>
      </c>
      <c r="B163" s="149" t="s">
        <v>813</v>
      </c>
      <c r="D163" s="149" t="s">
        <v>814</v>
      </c>
    </row>
    <row r="164" spans="1:4">
      <c r="A164" s="149" t="s">
        <v>815</v>
      </c>
      <c r="B164" s="149" t="s">
        <v>816</v>
      </c>
      <c r="D164" s="149" t="s">
        <v>817</v>
      </c>
    </row>
    <row r="165" spans="1:4">
      <c r="A165" s="149" t="s">
        <v>818</v>
      </c>
      <c r="B165" s="149" t="s">
        <v>819</v>
      </c>
      <c r="D165" s="149" t="s">
        <v>820</v>
      </c>
    </row>
    <row r="166" spans="1:4">
      <c r="A166" s="149" t="s">
        <v>821</v>
      </c>
      <c r="B166" s="149" t="s">
        <v>822</v>
      </c>
      <c r="D166" s="149" t="s">
        <v>823</v>
      </c>
    </row>
    <row r="167" spans="1:4">
      <c r="A167" s="149" t="s">
        <v>824</v>
      </c>
      <c r="B167" s="149" t="s">
        <v>825</v>
      </c>
      <c r="D167" s="149" t="s">
        <v>826</v>
      </c>
    </row>
    <row r="168" spans="1:4">
      <c r="A168" s="149" t="s">
        <v>827</v>
      </c>
      <c r="B168" s="149" t="s">
        <v>828</v>
      </c>
      <c r="D168" s="149" t="s">
        <v>829</v>
      </c>
    </row>
    <row r="169" spans="1:4">
      <c r="A169" s="149" t="s">
        <v>830</v>
      </c>
      <c r="B169" s="149" t="s">
        <v>831</v>
      </c>
      <c r="D169" s="149" t="s">
        <v>832</v>
      </c>
    </row>
    <row r="170" spans="1:4">
      <c r="A170" s="149" t="s">
        <v>833</v>
      </c>
      <c r="B170" s="149" t="s">
        <v>834</v>
      </c>
      <c r="D170" s="149" t="s">
        <v>835</v>
      </c>
    </row>
    <row r="171" spans="1:4">
      <c r="A171" s="149" t="s">
        <v>836</v>
      </c>
      <c r="B171" s="149" t="s">
        <v>837</v>
      </c>
      <c r="D171" s="149" t="s">
        <v>838</v>
      </c>
    </row>
    <row r="172" spans="1:4">
      <c r="A172" s="149" t="s">
        <v>839</v>
      </c>
      <c r="B172" s="149" t="s">
        <v>840</v>
      </c>
      <c r="D172" s="149" t="s">
        <v>841</v>
      </c>
    </row>
    <row r="173" spans="1:4">
      <c r="A173" s="149" t="s">
        <v>842</v>
      </c>
      <c r="B173" s="149" t="s">
        <v>843</v>
      </c>
      <c r="D173" s="149" t="s">
        <v>844</v>
      </c>
    </row>
    <row r="174" spans="1:4">
      <c r="A174" s="149" t="s">
        <v>845</v>
      </c>
      <c r="B174" s="149" t="s">
        <v>846</v>
      </c>
      <c r="D174" s="149" t="s">
        <v>847</v>
      </c>
    </row>
    <row r="175" spans="1:4">
      <c r="A175" s="149" t="s">
        <v>848</v>
      </c>
      <c r="B175" s="149" t="s">
        <v>849</v>
      </c>
      <c r="D175" s="149" t="s">
        <v>850</v>
      </c>
    </row>
    <row r="176" spans="1:4">
      <c r="A176" s="149" t="s">
        <v>851</v>
      </c>
      <c r="B176" s="149" t="s">
        <v>852</v>
      </c>
      <c r="D176" s="149" t="s">
        <v>853</v>
      </c>
    </row>
    <row r="177" spans="1:4">
      <c r="A177" s="149" t="s">
        <v>854</v>
      </c>
      <c r="B177" s="149" t="s">
        <v>855</v>
      </c>
      <c r="D177" s="149" t="s">
        <v>856</v>
      </c>
    </row>
    <row r="178" spans="1:4">
      <c r="A178" s="149" t="s">
        <v>857</v>
      </c>
      <c r="B178" s="149" t="s">
        <v>858</v>
      </c>
      <c r="D178" s="149" t="s">
        <v>859</v>
      </c>
    </row>
    <row r="179" spans="1:4">
      <c r="A179" s="149" t="s">
        <v>860</v>
      </c>
      <c r="B179" s="149" t="s">
        <v>861</v>
      </c>
      <c r="D179" s="149" t="s">
        <v>862</v>
      </c>
    </row>
    <row r="180" spans="1:4">
      <c r="A180" s="149" t="s">
        <v>863</v>
      </c>
      <c r="B180" s="149" t="s">
        <v>864</v>
      </c>
      <c r="D180" s="149" t="s">
        <v>865</v>
      </c>
    </row>
    <row r="181" spans="1:4">
      <c r="A181" s="149" t="s">
        <v>866</v>
      </c>
      <c r="B181" s="149" t="s">
        <v>867</v>
      </c>
      <c r="D181" s="149" t="s">
        <v>868</v>
      </c>
    </row>
    <row r="182" spans="1:4">
      <c r="A182" s="149" t="s">
        <v>869</v>
      </c>
      <c r="B182" s="149" t="s">
        <v>870</v>
      </c>
      <c r="D182" s="149" t="s">
        <v>871</v>
      </c>
    </row>
    <row r="183" spans="1:4">
      <c r="A183" s="149" t="s">
        <v>872</v>
      </c>
      <c r="B183" s="149" t="s">
        <v>873</v>
      </c>
      <c r="D183" s="149" t="s">
        <v>874</v>
      </c>
    </row>
    <row r="184" spans="1:4">
      <c r="A184" s="149" t="s">
        <v>875</v>
      </c>
      <c r="B184" s="149" t="s">
        <v>876</v>
      </c>
      <c r="D184" s="149" t="s">
        <v>877</v>
      </c>
    </row>
    <row r="185" spans="1:4">
      <c r="A185" s="149" t="s">
        <v>878</v>
      </c>
      <c r="B185" s="149" t="s">
        <v>879</v>
      </c>
      <c r="D185" s="149" t="s">
        <v>880</v>
      </c>
    </row>
    <row r="186" spans="1:4">
      <c r="A186" s="149" t="s">
        <v>881</v>
      </c>
      <c r="B186" s="149" t="s">
        <v>882</v>
      </c>
      <c r="D186" s="149" t="s">
        <v>883</v>
      </c>
    </row>
    <row r="187" spans="1:4">
      <c r="A187" s="149" t="s">
        <v>884</v>
      </c>
      <c r="B187" s="149" t="s">
        <v>885</v>
      </c>
      <c r="D187" s="149" t="s">
        <v>886</v>
      </c>
    </row>
    <row r="188" spans="1:4">
      <c r="A188" s="149" t="s">
        <v>887</v>
      </c>
      <c r="B188" s="149" t="s">
        <v>888</v>
      </c>
      <c r="D188" s="149" t="s">
        <v>889</v>
      </c>
    </row>
    <row r="189" spans="1:4">
      <c r="A189" s="149" t="s">
        <v>890</v>
      </c>
      <c r="B189" s="149" t="s">
        <v>891</v>
      </c>
      <c r="D189" s="149" t="s">
        <v>892</v>
      </c>
    </row>
    <row r="190" spans="1:4">
      <c r="A190" s="149" t="s">
        <v>893</v>
      </c>
      <c r="B190" s="149" t="s">
        <v>894</v>
      </c>
      <c r="D190" s="149" t="s">
        <v>895</v>
      </c>
    </row>
    <row r="191" spans="1:4">
      <c r="A191" s="149" t="s">
        <v>896</v>
      </c>
      <c r="B191" s="149" t="s">
        <v>897</v>
      </c>
      <c r="D191" s="149" t="s">
        <v>898</v>
      </c>
    </row>
    <row r="192" spans="1:4">
      <c r="A192" s="149" t="s">
        <v>899</v>
      </c>
      <c r="B192" s="149" t="s">
        <v>900</v>
      </c>
      <c r="D192" s="149" t="s">
        <v>901</v>
      </c>
    </row>
    <row r="193" spans="1:4">
      <c r="A193" s="149" t="s">
        <v>902</v>
      </c>
      <c r="B193" s="149" t="s">
        <v>903</v>
      </c>
      <c r="D193" s="149" t="s">
        <v>904</v>
      </c>
    </row>
    <row r="194" spans="1:4">
      <c r="A194" s="149" t="s">
        <v>905</v>
      </c>
      <c r="B194" s="149" t="s">
        <v>906</v>
      </c>
      <c r="D194" s="149" t="s">
        <v>907</v>
      </c>
    </row>
    <row r="195" spans="1:4">
      <c r="A195" s="149" t="s">
        <v>908</v>
      </c>
      <c r="B195" s="149" t="s">
        <v>909</v>
      </c>
      <c r="D195" s="149" t="s">
        <v>910</v>
      </c>
    </row>
    <row r="196" spans="1:4">
      <c r="A196" s="149" t="s">
        <v>911</v>
      </c>
      <c r="B196" s="149" t="s">
        <v>912</v>
      </c>
      <c r="D196" s="149" t="s">
        <v>913</v>
      </c>
    </row>
    <row r="197" spans="1:4">
      <c r="A197" s="149" t="s">
        <v>914</v>
      </c>
      <c r="B197" s="149" t="s">
        <v>915</v>
      </c>
      <c r="D197" s="149" t="s">
        <v>916</v>
      </c>
    </row>
    <row r="198" spans="1:4">
      <c r="A198" s="149" t="s">
        <v>917</v>
      </c>
      <c r="B198" s="149" t="s">
        <v>918</v>
      </c>
      <c r="D198" s="149" t="s">
        <v>919</v>
      </c>
    </row>
    <row r="199" spans="1:4">
      <c r="A199" s="149" t="s">
        <v>920</v>
      </c>
      <c r="B199" s="149" t="s">
        <v>921</v>
      </c>
      <c r="D199" s="149" t="s">
        <v>922</v>
      </c>
    </row>
    <row r="200" spans="1:4">
      <c r="A200" s="149" t="s">
        <v>923</v>
      </c>
      <c r="B200" s="149" t="s">
        <v>924</v>
      </c>
      <c r="D200" s="149" t="s">
        <v>925</v>
      </c>
    </row>
    <row r="201" spans="1:4">
      <c r="A201" s="149" t="s">
        <v>926</v>
      </c>
      <c r="B201" s="149" t="s">
        <v>927</v>
      </c>
      <c r="D201" s="149" t="s">
        <v>928</v>
      </c>
    </row>
    <row r="202" spans="1:4">
      <c r="A202" s="149" t="s">
        <v>929</v>
      </c>
      <c r="B202" s="149" t="s">
        <v>930</v>
      </c>
      <c r="D202" s="149" t="s">
        <v>931</v>
      </c>
    </row>
    <row r="203" spans="1:4">
      <c r="A203" s="149" t="s">
        <v>932</v>
      </c>
      <c r="B203" s="149" t="s">
        <v>933</v>
      </c>
      <c r="D203" s="149" t="s">
        <v>934</v>
      </c>
    </row>
    <row r="204" spans="1:4">
      <c r="A204" s="149" t="s">
        <v>935</v>
      </c>
      <c r="B204" s="149" t="s">
        <v>936</v>
      </c>
      <c r="D204" s="149" t="s">
        <v>937</v>
      </c>
    </row>
    <row r="205" spans="1:4">
      <c r="A205" s="149" t="s">
        <v>938</v>
      </c>
      <c r="B205" s="149" t="s">
        <v>939</v>
      </c>
      <c r="D205" s="149" t="s">
        <v>940</v>
      </c>
    </row>
    <row r="206" spans="1:4">
      <c r="A206" s="149" t="s">
        <v>941</v>
      </c>
      <c r="B206" s="149" t="s">
        <v>942</v>
      </c>
      <c r="D206" s="149" t="s">
        <v>943</v>
      </c>
    </row>
    <row r="207" spans="1:4">
      <c r="A207" s="149" t="s">
        <v>944</v>
      </c>
      <c r="B207" s="149" t="s">
        <v>945</v>
      </c>
      <c r="D207" s="149" t="s">
        <v>946</v>
      </c>
    </row>
    <row r="208" spans="1:4">
      <c r="A208" s="149" t="s">
        <v>947</v>
      </c>
      <c r="B208" s="149" t="s">
        <v>948</v>
      </c>
      <c r="D208" s="149" t="s">
        <v>949</v>
      </c>
    </row>
    <row r="209" spans="1:4">
      <c r="A209" s="149" t="s">
        <v>950</v>
      </c>
      <c r="B209" s="149" t="s">
        <v>951</v>
      </c>
      <c r="D209" s="149" t="s">
        <v>952</v>
      </c>
    </row>
    <row r="210" spans="1:4">
      <c r="A210" s="149" t="s">
        <v>953</v>
      </c>
      <c r="B210" s="149" t="s">
        <v>954</v>
      </c>
      <c r="D210" s="149" t="s">
        <v>955</v>
      </c>
    </row>
    <row r="211" spans="1:4">
      <c r="A211" s="149" t="s">
        <v>956</v>
      </c>
      <c r="B211" s="149" t="s">
        <v>957</v>
      </c>
      <c r="D211" s="149" t="s">
        <v>958</v>
      </c>
    </row>
    <row r="212" spans="1:4">
      <c r="A212" s="149" t="s">
        <v>959</v>
      </c>
      <c r="B212" s="149" t="s">
        <v>960</v>
      </c>
      <c r="D212" s="149" t="s">
        <v>961</v>
      </c>
    </row>
    <row r="213" spans="1:4">
      <c r="A213" s="149" t="s">
        <v>962</v>
      </c>
      <c r="B213" s="149" t="s">
        <v>963</v>
      </c>
      <c r="D213" s="149" t="s">
        <v>964</v>
      </c>
    </row>
    <row r="214" spans="1:4">
      <c r="A214" s="149" t="s">
        <v>965</v>
      </c>
      <c r="B214" s="149" t="s">
        <v>966</v>
      </c>
      <c r="D214" s="149" t="s">
        <v>967</v>
      </c>
    </row>
    <row r="215" spans="1:4">
      <c r="A215" s="149" t="s">
        <v>968</v>
      </c>
      <c r="B215" s="149" t="s">
        <v>969</v>
      </c>
      <c r="D215" s="149" t="s">
        <v>970</v>
      </c>
    </row>
    <row r="216" spans="1:4">
      <c r="A216" s="149" t="s">
        <v>971</v>
      </c>
      <c r="B216" s="149" t="s">
        <v>972</v>
      </c>
      <c r="D216" s="149" t="s">
        <v>973</v>
      </c>
    </row>
    <row r="217" spans="1:4">
      <c r="A217" s="149" t="s">
        <v>974</v>
      </c>
      <c r="B217" s="149" t="s">
        <v>975</v>
      </c>
      <c r="D217" s="149" t="s">
        <v>976</v>
      </c>
    </row>
    <row r="218" spans="1:4">
      <c r="A218" s="149" t="s">
        <v>977</v>
      </c>
      <c r="B218" s="149" t="s">
        <v>978</v>
      </c>
      <c r="D218" s="149" t="s">
        <v>979</v>
      </c>
    </row>
    <row r="219" spans="1:4">
      <c r="A219" s="149" t="s">
        <v>980</v>
      </c>
      <c r="B219" s="149" t="s">
        <v>981</v>
      </c>
      <c r="D219" s="149" t="s">
        <v>982</v>
      </c>
    </row>
    <row r="220" spans="1:4">
      <c r="A220" s="149" t="s">
        <v>983</v>
      </c>
      <c r="B220" s="149" t="s">
        <v>984</v>
      </c>
      <c r="D220" s="149" t="s">
        <v>985</v>
      </c>
    </row>
    <row r="221" spans="1:4">
      <c r="A221" s="149" t="s">
        <v>986</v>
      </c>
      <c r="B221" s="149" t="s">
        <v>987</v>
      </c>
      <c r="D221" s="149" t="s">
        <v>988</v>
      </c>
    </row>
    <row r="222" spans="1:4">
      <c r="A222" s="149" t="s">
        <v>989</v>
      </c>
      <c r="B222" s="149" t="s">
        <v>990</v>
      </c>
      <c r="D222" s="149" t="s">
        <v>991</v>
      </c>
    </row>
    <row r="223" spans="1:4">
      <c r="A223" s="149" t="s">
        <v>992</v>
      </c>
      <c r="B223" s="149" t="s">
        <v>993</v>
      </c>
      <c r="D223" s="149" t="s">
        <v>994</v>
      </c>
    </row>
    <row r="224" spans="1:4">
      <c r="A224" s="149" t="s">
        <v>995</v>
      </c>
      <c r="B224" s="149" t="s">
        <v>996</v>
      </c>
      <c r="D224" s="149" t="s">
        <v>997</v>
      </c>
    </row>
    <row r="225" spans="1:4">
      <c r="A225" s="149" t="s">
        <v>998</v>
      </c>
      <c r="B225" s="149" t="s">
        <v>999</v>
      </c>
      <c r="D225" s="150" t="s">
        <v>243</v>
      </c>
    </row>
    <row r="226" spans="1:4">
      <c r="A226" s="149" t="s">
        <v>1000</v>
      </c>
      <c r="B226" s="149" t="s">
        <v>1001</v>
      </c>
      <c r="D226" t="s">
        <v>243</v>
      </c>
    </row>
    <row r="227" spans="1:4">
      <c r="A227" s="149" t="s">
        <v>1002</v>
      </c>
      <c r="B227" s="149" t="s">
        <v>1003</v>
      </c>
    </row>
    <row r="228" spans="1:4">
      <c r="A228" s="149" t="s">
        <v>1004</v>
      </c>
      <c r="B228" s="149" t="s">
        <v>1005</v>
      </c>
    </row>
    <row r="229" spans="1:4">
      <c r="A229" s="149" t="s">
        <v>1006</v>
      </c>
      <c r="B229" s="149" t="s">
        <v>1007</v>
      </c>
    </row>
    <row r="230" spans="1:4">
      <c r="A230" s="149" t="s">
        <v>1008</v>
      </c>
      <c r="B230" s="149" t="s">
        <v>1009</v>
      </c>
    </row>
    <row r="231" spans="1:4">
      <c r="A231" s="149" t="s">
        <v>1010</v>
      </c>
      <c r="B231" s="149" t="s">
        <v>1011</v>
      </c>
    </row>
    <row r="232" spans="1:4">
      <c r="A232" s="149" t="s">
        <v>1012</v>
      </c>
      <c r="B232" s="149" t="s">
        <v>1013</v>
      </c>
    </row>
    <row r="233" spans="1:4">
      <c r="A233" s="149" t="s">
        <v>1014</v>
      </c>
      <c r="B233" s="149" t="s">
        <v>1015</v>
      </c>
    </row>
    <row r="234" spans="1:4">
      <c r="A234" s="149" t="s">
        <v>1016</v>
      </c>
      <c r="B234" s="149" t="s">
        <v>1017</v>
      </c>
    </row>
    <row r="235" spans="1:4">
      <c r="A235" s="149" t="s">
        <v>1018</v>
      </c>
      <c r="B235" s="149" t="s">
        <v>1019</v>
      </c>
    </row>
    <row r="236" spans="1:4">
      <c r="A236" s="149" t="s">
        <v>1020</v>
      </c>
      <c r="B236" s="149" t="s">
        <v>1021</v>
      </c>
    </row>
    <row r="237" spans="1:4">
      <c r="A237" s="149" t="s">
        <v>1022</v>
      </c>
      <c r="B237" s="149" t="s">
        <v>1023</v>
      </c>
    </row>
    <row r="238" spans="1:4">
      <c r="A238" s="149" t="s">
        <v>1024</v>
      </c>
      <c r="B238" s="149" t="s">
        <v>1025</v>
      </c>
    </row>
    <row r="239" spans="1:4">
      <c r="A239" s="149" t="s">
        <v>1026</v>
      </c>
      <c r="B239" s="149" t="s">
        <v>1027</v>
      </c>
    </row>
    <row r="240" spans="1:4">
      <c r="A240" s="149" t="s">
        <v>1028</v>
      </c>
      <c r="B240" s="149" t="s">
        <v>1029</v>
      </c>
    </row>
    <row r="241" spans="1:2">
      <c r="A241" s="149" t="s">
        <v>1030</v>
      </c>
      <c r="B241" s="149" t="s">
        <v>1031</v>
      </c>
    </row>
    <row r="242" spans="1:2">
      <c r="A242" s="149" t="s">
        <v>1032</v>
      </c>
      <c r="B242" s="149" t="s">
        <v>1033</v>
      </c>
    </row>
    <row r="243" spans="1:2">
      <c r="A243" s="149" t="s">
        <v>1034</v>
      </c>
      <c r="B243" s="149" t="s">
        <v>1035</v>
      </c>
    </row>
    <row r="244" spans="1:2">
      <c r="A244" s="149" t="s">
        <v>1036</v>
      </c>
      <c r="B244" s="149" t="s">
        <v>1037</v>
      </c>
    </row>
    <row r="245" spans="1:2">
      <c r="A245" s="149" t="s">
        <v>1038</v>
      </c>
      <c r="B245" s="149" t="s">
        <v>1039</v>
      </c>
    </row>
    <row r="246" spans="1:2">
      <c r="A246" s="149" t="s">
        <v>1040</v>
      </c>
      <c r="B246" s="149" t="s">
        <v>1041</v>
      </c>
    </row>
    <row r="247" spans="1:2">
      <c r="A247" s="149" t="s">
        <v>1042</v>
      </c>
      <c r="B247" s="149" t="s">
        <v>1043</v>
      </c>
    </row>
    <row r="248" spans="1:2">
      <c r="A248" s="149" t="s">
        <v>1044</v>
      </c>
      <c r="B248" s="149" t="s">
        <v>1045</v>
      </c>
    </row>
    <row r="249" spans="1:2">
      <c r="A249" s="149" t="s">
        <v>1046</v>
      </c>
      <c r="B249" s="149" t="s">
        <v>1047</v>
      </c>
    </row>
    <row r="250" spans="1:2">
      <c r="A250" s="149" t="s">
        <v>1048</v>
      </c>
      <c r="B250" s="149" t="s">
        <v>1049</v>
      </c>
    </row>
    <row r="251" spans="1:2">
      <c r="A251" s="149" t="s">
        <v>1050</v>
      </c>
      <c r="B251" s="149" t="s">
        <v>1051</v>
      </c>
    </row>
    <row r="252" spans="1:2">
      <c r="A252" s="149" t="s">
        <v>1052</v>
      </c>
      <c r="B252" s="149" t="s">
        <v>1053</v>
      </c>
    </row>
    <row r="253" spans="1:2">
      <c r="A253" s="149" t="s">
        <v>1054</v>
      </c>
      <c r="B253" s="149" t="s">
        <v>1055</v>
      </c>
    </row>
    <row r="254" spans="1:2">
      <c r="A254" s="149" t="s">
        <v>1056</v>
      </c>
      <c r="B254" s="149" t="s">
        <v>1057</v>
      </c>
    </row>
    <row r="255" spans="1:2">
      <c r="A255" s="149" t="s">
        <v>1058</v>
      </c>
      <c r="B255" s="149" t="s">
        <v>1059</v>
      </c>
    </row>
    <row r="256" spans="1:2">
      <c r="A256" s="149" t="s">
        <v>1060</v>
      </c>
      <c r="B256" s="149" t="s">
        <v>1061</v>
      </c>
    </row>
    <row r="257" spans="1:2">
      <c r="A257" s="149" t="s">
        <v>1062</v>
      </c>
      <c r="B257" s="149" t="s">
        <v>1063</v>
      </c>
    </row>
    <row r="258" spans="1:2">
      <c r="A258" s="149" t="s">
        <v>1064</v>
      </c>
      <c r="B258" s="149" t="s">
        <v>1065</v>
      </c>
    </row>
    <row r="259" spans="1:2">
      <c r="A259" s="149" t="s">
        <v>1066</v>
      </c>
      <c r="B259" s="149" t="s">
        <v>1067</v>
      </c>
    </row>
    <row r="260" spans="1:2">
      <c r="A260" s="149" t="s">
        <v>1068</v>
      </c>
      <c r="B260" s="149" t="s">
        <v>1069</v>
      </c>
    </row>
    <row r="261" spans="1:2">
      <c r="A261" s="149" t="s">
        <v>1070</v>
      </c>
      <c r="B261" s="149" t="s">
        <v>1071</v>
      </c>
    </row>
    <row r="262" spans="1:2">
      <c r="A262" s="149" t="s">
        <v>1072</v>
      </c>
      <c r="B262" s="149" t="s">
        <v>1073</v>
      </c>
    </row>
    <row r="263" spans="1:2">
      <c r="A263" s="149" t="s">
        <v>1074</v>
      </c>
      <c r="B263" s="149" t="s">
        <v>1075</v>
      </c>
    </row>
    <row r="264" spans="1:2">
      <c r="A264" s="149" t="s">
        <v>1076</v>
      </c>
      <c r="B264" s="149" t="s">
        <v>1077</v>
      </c>
    </row>
    <row r="265" spans="1:2">
      <c r="A265" s="149" t="s">
        <v>1078</v>
      </c>
      <c r="B265" s="149" t="s">
        <v>1079</v>
      </c>
    </row>
    <row r="266" spans="1:2">
      <c r="A266" s="149" t="s">
        <v>1080</v>
      </c>
      <c r="B266" s="149" t="s">
        <v>1081</v>
      </c>
    </row>
    <row r="267" spans="1:2">
      <c r="A267" s="149" t="s">
        <v>1082</v>
      </c>
      <c r="B267" s="149" t="s">
        <v>1083</v>
      </c>
    </row>
    <row r="268" spans="1:2">
      <c r="A268" s="149" t="s">
        <v>1084</v>
      </c>
      <c r="B268" s="149" t="s">
        <v>1085</v>
      </c>
    </row>
    <row r="269" spans="1:2">
      <c r="A269" s="149" t="s">
        <v>1086</v>
      </c>
      <c r="B269" s="149" t="s">
        <v>1087</v>
      </c>
    </row>
    <row r="270" spans="1:2">
      <c r="A270" s="149" t="s">
        <v>1088</v>
      </c>
      <c r="B270" s="149" t="s">
        <v>1089</v>
      </c>
    </row>
    <row r="271" spans="1:2">
      <c r="A271" s="149" t="s">
        <v>1090</v>
      </c>
      <c r="B271" s="149" t="s">
        <v>1091</v>
      </c>
    </row>
    <row r="272" spans="1:2">
      <c r="A272" s="149" t="s">
        <v>1092</v>
      </c>
      <c r="B272" s="149" t="s">
        <v>1093</v>
      </c>
    </row>
    <row r="273" spans="1:2">
      <c r="A273" s="149" t="s">
        <v>1094</v>
      </c>
      <c r="B273" s="149" t="s">
        <v>1095</v>
      </c>
    </row>
    <row r="274" spans="1:2">
      <c r="A274" s="149" t="s">
        <v>1096</v>
      </c>
      <c r="B274" s="149" t="s">
        <v>1097</v>
      </c>
    </row>
    <row r="275" spans="1:2">
      <c r="A275" s="149" t="s">
        <v>1098</v>
      </c>
      <c r="B275" s="149" t="s">
        <v>1099</v>
      </c>
    </row>
    <row r="276" spans="1:2">
      <c r="A276" s="149" t="s">
        <v>1100</v>
      </c>
      <c r="B276" s="149" t="s">
        <v>1101</v>
      </c>
    </row>
    <row r="277" spans="1:2">
      <c r="A277" s="149" t="s">
        <v>1102</v>
      </c>
      <c r="B277" s="149" t="s">
        <v>1103</v>
      </c>
    </row>
    <row r="278" spans="1:2">
      <c r="A278" s="149" t="s">
        <v>1104</v>
      </c>
      <c r="B278" s="149" t="s">
        <v>1105</v>
      </c>
    </row>
    <row r="279" spans="1:2">
      <c r="A279" s="149" t="s">
        <v>1106</v>
      </c>
      <c r="B279" s="149" t="s">
        <v>1107</v>
      </c>
    </row>
    <row r="280" spans="1:2">
      <c r="A280" s="149" t="s">
        <v>1108</v>
      </c>
      <c r="B280" s="149" t="s">
        <v>291</v>
      </c>
    </row>
    <row r="281" spans="1:2">
      <c r="A281" s="149" t="s">
        <v>1109</v>
      </c>
      <c r="B281" s="149" t="s">
        <v>1110</v>
      </c>
    </row>
    <row r="282" spans="1:2">
      <c r="A282" s="149" t="s">
        <v>1111</v>
      </c>
      <c r="B282" s="149" t="s">
        <v>1112</v>
      </c>
    </row>
    <row r="283" spans="1:2">
      <c r="A283" s="149" t="s">
        <v>1113</v>
      </c>
      <c r="B283" s="149" t="s">
        <v>1114</v>
      </c>
    </row>
    <row r="284" spans="1:2">
      <c r="A284" s="149" t="s">
        <v>1115</v>
      </c>
      <c r="B284" s="149" t="s">
        <v>1116</v>
      </c>
    </row>
    <row r="285" spans="1:2">
      <c r="A285" s="149" t="s">
        <v>1117</v>
      </c>
      <c r="B285" s="149" t="s">
        <v>1118</v>
      </c>
    </row>
    <row r="286" spans="1:2">
      <c r="A286" s="149" t="s">
        <v>1119</v>
      </c>
      <c r="B286" s="149" t="s">
        <v>1120</v>
      </c>
    </row>
    <row r="287" spans="1:2">
      <c r="A287" s="149" t="s">
        <v>1121</v>
      </c>
      <c r="B287" s="149" t="s">
        <v>1122</v>
      </c>
    </row>
    <row r="288" spans="1:2">
      <c r="A288" s="149" t="s">
        <v>1123</v>
      </c>
      <c r="B288" s="149" t="s">
        <v>1124</v>
      </c>
    </row>
    <row r="289" spans="1:2">
      <c r="A289" s="149" t="s">
        <v>1125</v>
      </c>
      <c r="B289" s="149" t="s">
        <v>1126</v>
      </c>
    </row>
    <row r="290" spans="1:2">
      <c r="A290" s="149" t="s">
        <v>1127</v>
      </c>
      <c r="B290" s="149" t="s">
        <v>1128</v>
      </c>
    </row>
    <row r="291" spans="1:2">
      <c r="A291" s="149" t="s">
        <v>1129</v>
      </c>
      <c r="B291" s="149" t="s">
        <v>1130</v>
      </c>
    </row>
    <row r="292" spans="1:2">
      <c r="A292" s="149" t="s">
        <v>1131</v>
      </c>
      <c r="B292" s="149" t="s">
        <v>1132</v>
      </c>
    </row>
    <row r="293" spans="1:2">
      <c r="A293" s="149" t="s">
        <v>1133</v>
      </c>
      <c r="B293" s="149" t="s">
        <v>1134</v>
      </c>
    </row>
    <row r="294" spans="1:2">
      <c r="A294" s="149" t="s">
        <v>1135</v>
      </c>
      <c r="B294" s="149" t="s">
        <v>1136</v>
      </c>
    </row>
    <row r="295" spans="1:2">
      <c r="A295" s="149" t="s">
        <v>1137</v>
      </c>
      <c r="B295" s="149" t="s">
        <v>1138</v>
      </c>
    </row>
    <row r="296" spans="1:2">
      <c r="A296" s="149" t="s">
        <v>1139</v>
      </c>
      <c r="B296" s="149" t="s">
        <v>1140</v>
      </c>
    </row>
    <row r="297" spans="1:2">
      <c r="A297" s="149" t="s">
        <v>1141</v>
      </c>
      <c r="B297" s="149" t="s">
        <v>1142</v>
      </c>
    </row>
    <row r="298" spans="1:2">
      <c r="A298" s="149" t="s">
        <v>1143</v>
      </c>
      <c r="B298" s="149" t="s">
        <v>1144</v>
      </c>
    </row>
    <row r="299" spans="1:2">
      <c r="A299" s="149" t="s">
        <v>1145</v>
      </c>
      <c r="B299" s="149" t="s">
        <v>1146</v>
      </c>
    </row>
    <row r="300" spans="1:2">
      <c r="A300" s="149" t="s">
        <v>1147</v>
      </c>
      <c r="B300" s="149" t="s">
        <v>1148</v>
      </c>
    </row>
    <row r="301" spans="1:2">
      <c r="A301" s="149" t="s">
        <v>1149</v>
      </c>
      <c r="B301" s="149" t="s">
        <v>1150</v>
      </c>
    </row>
    <row r="302" spans="1:2">
      <c r="A302" s="149" t="s">
        <v>1151</v>
      </c>
      <c r="B302" s="149" t="s">
        <v>1152</v>
      </c>
    </row>
    <row r="303" spans="1:2">
      <c r="A303" s="149" t="s">
        <v>1153</v>
      </c>
      <c r="B303" s="149" t="s">
        <v>1154</v>
      </c>
    </row>
    <row r="304" spans="1:2">
      <c r="A304" s="149" t="s">
        <v>1155</v>
      </c>
      <c r="B304" s="149" t="s">
        <v>1156</v>
      </c>
    </row>
    <row r="305" spans="1:2">
      <c r="A305" s="149" t="s">
        <v>1157</v>
      </c>
      <c r="B305" s="149" t="s">
        <v>1158</v>
      </c>
    </row>
    <row r="306" spans="1:2">
      <c r="A306" s="149" t="s">
        <v>1159</v>
      </c>
      <c r="B306" s="149" t="s">
        <v>1160</v>
      </c>
    </row>
    <row r="307" spans="1:2">
      <c r="A307" s="149" t="s">
        <v>1161</v>
      </c>
      <c r="B307" s="149" t="s">
        <v>480</v>
      </c>
    </row>
    <row r="308" spans="1:2">
      <c r="A308" s="149" t="s">
        <v>1162</v>
      </c>
      <c r="B308" s="149" t="s">
        <v>1163</v>
      </c>
    </row>
    <row r="309" spans="1:2">
      <c r="A309" s="149" t="s">
        <v>1164</v>
      </c>
      <c r="B309" s="149" t="s">
        <v>1165</v>
      </c>
    </row>
    <row r="310" spans="1:2">
      <c r="A310" s="149" t="s">
        <v>1166</v>
      </c>
      <c r="B310" s="149" t="s">
        <v>1167</v>
      </c>
    </row>
    <row r="311" spans="1:2">
      <c r="A311" s="149" t="s">
        <v>1168</v>
      </c>
      <c r="B311" s="149" t="s">
        <v>1169</v>
      </c>
    </row>
    <row r="312" spans="1:2">
      <c r="A312" s="149" t="s">
        <v>1170</v>
      </c>
      <c r="B312" s="149" t="s">
        <v>1171</v>
      </c>
    </row>
    <row r="313" spans="1:2">
      <c r="A313" s="149" t="s">
        <v>1172</v>
      </c>
      <c r="B313" s="149" t="s">
        <v>1173</v>
      </c>
    </row>
    <row r="314" spans="1:2">
      <c r="A314" s="149" t="s">
        <v>1174</v>
      </c>
      <c r="B314" s="149" t="s">
        <v>1175</v>
      </c>
    </row>
    <row r="315" spans="1:2">
      <c r="A315" s="149" t="s">
        <v>1176</v>
      </c>
      <c r="B315" s="149" t="s">
        <v>1177</v>
      </c>
    </row>
    <row r="316" spans="1:2">
      <c r="A316" s="149" t="s">
        <v>1178</v>
      </c>
      <c r="B316" s="149" t="s">
        <v>1179</v>
      </c>
    </row>
    <row r="317" spans="1:2">
      <c r="A317" s="149" t="s">
        <v>1180</v>
      </c>
      <c r="B317" s="149" t="s">
        <v>1181</v>
      </c>
    </row>
    <row r="318" spans="1:2">
      <c r="A318" s="149" t="s">
        <v>1182</v>
      </c>
      <c r="B318" s="149" t="s">
        <v>1183</v>
      </c>
    </row>
    <row r="319" spans="1:2">
      <c r="A319" s="149" t="s">
        <v>1184</v>
      </c>
      <c r="B319" s="149" t="s">
        <v>1185</v>
      </c>
    </row>
    <row r="320" spans="1:2">
      <c r="A320" s="149" t="s">
        <v>1186</v>
      </c>
      <c r="B320" s="149" t="s">
        <v>1187</v>
      </c>
    </row>
    <row r="321" spans="1:2">
      <c r="A321" s="149" t="s">
        <v>1188</v>
      </c>
      <c r="B321" s="149" t="s">
        <v>1189</v>
      </c>
    </row>
    <row r="322" spans="1:2">
      <c r="A322" s="149" t="s">
        <v>1190</v>
      </c>
      <c r="B322" s="149" t="s">
        <v>1191</v>
      </c>
    </row>
    <row r="323" spans="1:2">
      <c r="A323" s="149" t="s">
        <v>1192</v>
      </c>
      <c r="B323" s="149" t="s">
        <v>1193</v>
      </c>
    </row>
    <row r="324" spans="1:2">
      <c r="A324" s="149" t="s">
        <v>1194</v>
      </c>
      <c r="B324" s="149" t="s">
        <v>1195</v>
      </c>
    </row>
    <row r="325" spans="1:2">
      <c r="A325" s="149" t="s">
        <v>1196</v>
      </c>
      <c r="B325" s="149" t="s">
        <v>1197</v>
      </c>
    </row>
    <row r="326" spans="1:2">
      <c r="A326" s="149" t="s">
        <v>1198</v>
      </c>
      <c r="B326" s="149" t="s">
        <v>1199</v>
      </c>
    </row>
    <row r="327" spans="1:2">
      <c r="A327" s="149" t="s">
        <v>1200</v>
      </c>
      <c r="B327" s="149" t="s">
        <v>1201</v>
      </c>
    </row>
    <row r="328" spans="1:2">
      <c r="A328" s="149" t="s">
        <v>1202</v>
      </c>
      <c r="B328" s="149" t="s">
        <v>1203</v>
      </c>
    </row>
    <row r="329" spans="1:2">
      <c r="A329" s="149" t="s">
        <v>1204</v>
      </c>
      <c r="B329" s="149" t="s">
        <v>1205</v>
      </c>
    </row>
    <row r="330" spans="1:2">
      <c r="A330" s="149" t="s">
        <v>1206</v>
      </c>
      <c r="B330" s="149" t="s">
        <v>1207</v>
      </c>
    </row>
    <row r="331" spans="1:2">
      <c r="A331" s="149" t="s">
        <v>1208</v>
      </c>
      <c r="B331" s="149" t="s">
        <v>1209</v>
      </c>
    </row>
    <row r="332" spans="1:2">
      <c r="A332" s="149" t="s">
        <v>1210</v>
      </c>
      <c r="B332" s="149" t="s">
        <v>1211</v>
      </c>
    </row>
    <row r="333" spans="1:2">
      <c r="A333" s="149" t="s">
        <v>1212</v>
      </c>
      <c r="B333" s="149" t="s">
        <v>1213</v>
      </c>
    </row>
    <row r="334" spans="1:2">
      <c r="A334" s="149" t="s">
        <v>1214</v>
      </c>
      <c r="B334" s="149" t="s">
        <v>1215</v>
      </c>
    </row>
    <row r="335" spans="1:2">
      <c r="A335" s="149" t="s">
        <v>1216</v>
      </c>
      <c r="B335" s="149" t="s">
        <v>1217</v>
      </c>
    </row>
    <row r="336" spans="1:2">
      <c r="A336" s="149" t="s">
        <v>1218</v>
      </c>
      <c r="B336" s="149" t="s">
        <v>1219</v>
      </c>
    </row>
    <row r="337" spans="1:2">
      <c r="A337" s="149" t="s">
        <v>1220</v>
      </c>
      <c r="B337" s="149" t="s">
        <v>1221</v>
      </c>
    </row>
    <row r="338" spans="1:2">
      <c r="A338" s="149" t="s">
        <v>1222</v>
      </c>
      <c r="B338" s="149" t="s">
        <v>1223</v>
      </c>
    </row>
    <row r="339" spans="1:2">
      <c r="A339" s="149" t="s">
        <v>1224</v>
      </c>
      <c r="B339" s="149" t="s">
        <v>1225</v>
      </c>
    </row>
    <row r="340" spans="1:2">
      <c r="A340" s="149" t="s">
        <v>1226</v>
      </c>
      <c r="B340" s="149" t="s">
        <v>1227</v>
      </c>
    </row>
    <row r="341" spans="1:2">
      <c r="A341" s="149" t="s">
        <v>1228</v>
      </c>
      <c r="B341" s="149" t="s">
        <v>1229</v>
      </c>
    </row>
    <row r="342" spans="1:2">
      <c r="A342" s="149" t="s">
        <v>1230</v>
      </c>
      <c r="B342" s="149" t="s">
        <v>1231</v>
      </c>
    </row>
    <row r="343" spans="1:2">
      <c r="A343" s="149" t="s">
        <v>1232</v>
      </c>
      <c r="B343" s="149" t="s">
        <v>1233</v>
      </c>
    </row>
    <row r="344" spans="1:2">
      <c r="A344" s="149" t="s">
        <v>1234</v>
      </c>
      <c r="B344" s="149" t="s">
        <v>1235</v>
      </c>
    </row>
    <row r="345" spans="1:2">
      <c r="A345" s="149" t="s">
        <v>1236</v>
      </c>
      <c r="B345" s="149" t="s">
        <v>1237</v>
      </c>
    </row>
    <row r="346" spans="1:2">
      <c r="A346" s="149" t="s">
        <v>1238</v>
      </c>
      <c r="B346" s="149" t="s">
        <v>1239</v>
      </c>
    </row>
    <row r="347" spans="1:2">
      <c r="A347" s="149" t="s">
        <v>1240</v>
      </c>
      <c r="B347" s="149" t="s">
        <v>1241</v>
      </c>
    </row>
    <row r="348" spans="1:2">
      <c r="A348" s="149" t="s">
        <v>1242</v>
      </c>
      <c r="B348" s="149" t="s">
        <v>1243</v>
      </c>
    </row>
    <row r="349" spans="1:2">
      <c r="A349" s="149" t="s">
        <v>1244</v>
      </c>
      <c r="B349" s="149" t="s">
        <v>1245</v>
      </c>
    </row>
    <row r="350" spans="1:2">
      <c r="A350" s="149" t="s">
        <v>1246</v>
      </c>
      <c r="B350" s="149" t="s">
        <v>1247</v>
      </c>
    </row>
    <row r="351" spans="1:2">
      <c r="A351" s="149" t="s">
        <v>1248</v>
      </c>
      <c r="B351" s="149" t="s">
        <v>1249</v>
      </c>
    </row>
    <row r="352" spans="1:2">
      <c r="A352" s="149" t="s">
        <v>1250</v>
      </c>
      <c r="B352" s="149" t="s">
        <v>1251</v>
      </c>
    </row>
    <row r="353" spans="1:2">
      <c r="A353" s="149" t="s">
        <v>1252</v>
      </c>
      <c r="B353" s="149" t="s">
        <v>1253</v>
      </c>
    </row>
    <row r="354" spans="1:2">
      <c r="A354" s="149" t="s">
        <v>1254</v>
      </c>
      <c r="B354" s="149" t="s">
        <v>1255</v>
      </c>
    </row>
    <row r="355" spans="1:2">
      <c r="A355" s="149" t="s">
        <v>1256</v>
      </c>
      <c r="B355" s="149" t="s">
        <v>1257</v>
      </c>
    </row>
    <row r="356" spans="1:2">
      <c r="A356" s="149" t="s">
        <v>1258</v>
      </c>
      <c r="B356" s="149" t="s">
        <v>1259</v>
      </c>
    </row>
    <row r="357" spans="1:2">
      <c r="A357" s="149" t="s">
        <v>1260</v>
      </c>
      <c r="B357" s="149" t="s">
        <v>1261</v>
      </c>
    </row>
    <row r="358" spans="1:2">
      <c r="A358" s="149" t="s">
        <v>1262</v>
      </c>
      <c r="B358" s="149" t="s">
        <v>1263</v>
      </c>
    </row>
    <row r="359" spans="1:2">
      <c r="A359" s="149" t="s">
        <v>1264</v>
      </c>
      <c r="B359" s="149" t="s">
        <v>1265</v>
      </c>
    </row>
    <row r="360" spans="1:2">
      <c r="A360" s="149" t="s">
        <v>1266</v>
      </c>
      <c r="B360" s="149" t="s">
        <v>1267</v>
      </c>
    </row>
    <row r="361" spans="1:2">
      <c r="A361" s="149" t="s">
        <v>1268</v>
      </c>
      <c r="B361" s="149" t="s">
        <v>1269</v>
      </c>
    </row>
    <row r="362" spans="1:2">
      <c r="A362" s="149" t="s">
        <v>1270</v>
      </c>
      <c r="B362" s="149" t="s">
        <v>1271</v>
      </c>
    </row>
    <row r="363" spans="1:2">
      <c r="A363" s="149" t="s">
        <v>1272</v>
      </c>
      <c r="B363" s="149" t="s">
        <v>1273</v>
      </c>
    </row>
    <row r="364" spans="1:2">
      <c r="A364" s="149" t="s">
        <v>1274</v>
      </c>
      <c r="B364" s="149" t="s">
        <v>1275</v>
      </c>
    </row>
    <row r="365" spans="1:2">
      <c r="A365" s="149" t="s">
        <v>1276</v>
      </c>
      <c r="B365" s="149" t="s">
        <v>1277</v>
      </c>
    </row>
    <row r="366" spans="1:2">
      <c r="A366" s="149" t="s">
        <v>1278</v>
      </c>
      <c r="B366" s="149" t="s">
        <v>1279</v>
      </c>
    </row>
    <row r="367" spans="1:2">
      <c r="A367" s="149" t="s">
        <v>1280</v>
      </c>
      <c r="B367" s="149" t="s">
        <v>1281</v>
      </c>
    </row>
    <row r="368" spans="1:2">
      <c r="A368" s="149" t="s">
        <v>1282</v>
      </c>
      <c r="B368" s="149" t="s">
        <v>1283</v>
      </c>
    </row>
    <row r="369" spans="1:2">
      <c r="A369" s="149" t="s">
        <v>1284</v>
      </c>
      <c r="B369" s="149" t="s">
        <v>1285</v>
      </c>
    </row>
    <row r="370" spans="1:2">
      <c r="A370" s="149" t="s">
        <v>1286</v>
      </c>
      <c r="B370" s="149" t="s">
        <v>1287</v>
      </c>
    </row>
    <row r="371" spans="1:2">
      <c r="A371" s="149" t="s">
        <v>1288</v>
      </c>
      <c r="B371" s="149" t="s">
        <v>1289</v>
      </c>
    </row>
    <row r="372" spans="1:2">
      <c r="A372" s="149" t="s">
        <v>1290</v>
      </c>
      <c r="B372" s="149" t="s">
        <v>1291</v>
      </c>
    </row>
    <row r="373" spans="1:2">
      <c r="A373" s="149" t="s">
        <v>1292</v>
      </c>
      <c r="B373" s="149" t="s">
        <v>1293</v>
      </c>
    </row>
    <row r="374" spans="1:2">
      <c r="A374" s="149" t="s">
        <v>1294</v>
      </c>
      <c r="B374" s="149" t="s">
        <v>1295</v>
      </c>
    </row>
    <row r="375" spans="1:2">
      <c r="A375" s="149" t="s">
        <v>1296</v>
      </c>
      <c r="B375" s="149" t="s">
        <v>1297</v>
      </c>
    </row>
    <row r="376" spans="1:2">
      <c r="A376" s="149" t="s">
        <v>1298</v>
      </c>
      <c r="B376" s="149" t="s">
        <v>1299</v>
      </c>
    </row>
    <row r="377" spans="1:2">
      <c r="A377" s="149" t="s">
        <v>1300</v>
      </c>
      <c r="B377" s="149" t="s">
        <v>1301</v>
      </c>
    </row>
    <row r="378" spans="1:2">
      <c r="A378" s="149" t="s">
        <v>1302</v>
      </c>
      <c r="B378" s="149" t="s">
        <v>1303</v>
      </c>
    </row>
    <row r="379" spans="1:2">
      <c r="A379" s="149" t="s">
        <v>1304</v>
      </c>
      <c r="B379" s="149" t="s">
        <v>1305</v>
      </c>
    </row>
    <row r="380" spans="1:2">
      <c r="A380" s="149" t="s">
        <v>1306</v>
      </c>
      <c r="B380" s="149" t="s">
        <v>1307</v>
      </c>
    </row>
    <row r="381" spans="1:2">
      <c r="A381" s="149" t="s">
        <v>1308</v>
      </c>
      <c r="B381" s="149" t="s">
        <v>1309</v>
      </c>
    </row>
    <row r="382" spans="1:2">
      <c r="A382" s="149" t="s">
        <v>1310</v>
      </c>
      <c r="B382" s="149" t="s">
        <v>1311</v>
      </c>
    </row>
    <row r="383" spans="1:2">
      <c r="A383" s="149" t="s">
        <v>1312</v>
      </c>
      <c r="B383" s="149" t="s">
        <v>1313</v>
      </c>
    </row>
    <row r="384" spans="1:2">
      <c r="A384" s="149" t="s">
        <v>1314</v>
      </c>
      <c r="B384" s="149" t="s">
        <v>1315</v>
      </c>
    </row>
    <row r="385" spans="1:2">
      <c r="A385" s="149" t="s">
        <v>1316</v>
      </c>
      <c r="B385" s="149" t="s">
        <v>1317</v>
      </c>
    </row>
    <row r="386" spans="1:2">
      <c r="A386" s="149" t="s">
        <v>1318</v>
      </c>
      <c r="B386" s="149" t="s">
        <v>1319</v>
      </c>
    </row>
    <row r="387" spans="1:2">
      <c r="A387" s="149" t="s">
        <v>1320</v>
      </c>
      <c r="B387" s="149" t="s">
        <v>1321</v>
      </c>
    </row>
    <row r="388" spans="1:2">
      <c r="A388" s="149" t="s">
        <v>1322</v>
      </c>
      <c r="B388" s="149" t="s">
        <v>1323</v>
      </c>
    </row>
    <row r="389" spans="1:2">
      <c r="A389" s="149" t="s">
        <v>1324</v>
      </c>
      <c r="B389" s="149" t="s">
        <v>1325</v>
      </c>
    </row>
    <row r="390" spans="1:2">
      <c r="A390" s="149" t="s">
        <v>1326</v>
      </c>
      <c r="B390" s="149" t="s">
        <v>1327</v>
      </c>
    </row>
    <row r="391" spans="1:2">
      <c r="A391" s="149" t="s">
        <v>1328</v>
      </c>
      <c r="B391" s="149" t="s">
        <v>1329</v>
      </c>
    </row>
    <row r="392" spans="1:2">
      <c r="A392" s="149" t="s">
        <v>1330</v>
      </c>
      <c r="B392" s="149" t="s">
        <v>1331</v>
      </c>
    </row>
    <row r="393" spans="1:2">
      <c r="A393" s="149" t="s">
        <v>1332</v>
      </c>
      <c r="B393" s="149" t="s">
        <v>1333</v>
      </c>
    </row>
    <row r="394" spans="1:2">
      <c r="A394" s="149" t="s">
        <v>1334</v>
      </c>
      <c r="B394" s="149" t="s">
        <v>1335</v>
      </c>
    </row>
    <row r="395" spans="1:2">
      <c r="A395" s="149" t="s">
        <v>1336</v>
      </c>
      <c r="B395" s="149" t="s">
        <v>1337</v>
      </c>
    </row>
    <row r="396" spans="1:2">
      <c r="A396" s="149" t="s">
        <v>1338</v>
      </c>
      <c r="B396" s="149" t="s">
        <v>1339</v>
      </c>
    </row>
    <row r="397" spans="1:2">
      <c r="A397" s="149" t="s">
        <v>1340</v>
      </c>
      <c r="B397" s="149" t="s">
        <v>1341</v>
      </c>
    </row>
    <row r="398" spans="1:2">
      <c r="A398" s="149" t="s">
        <v>1342</v>
      </c>
      <c r="B398" s="149" t="s">
        <v>1343</v>
      </c>
    </row>
    <row r="399" spans="1:2">
      <c r="A399" s="149" t="s">
        <v>1344</v>
      </c>
      <c r="B399" s="149" t="s">
        <v>1345</v>
      </c>
    </row>
    <row r="400" spans="1:2">
      <c r="A400" s="149" t="s">
        <v>1346</v>
      </c>
      <c r="B400" s="149" t="s">
        <v>1347</v>
      </c>
    </row>
    <row r="401" spans="1:2">
      <c r="A401" s="149" t="s">
        <v>1348</v>
      </c>
      <c r="B401" s="149" t="s">
        <v>1349</v>
      </c>
    </row>
    <row r="402" spans="1:2">
      <c r="A402" s="149" t="s">
        <v>1350</v>
      </c>
      <c r="B402" s="149" t="s">
        <v>1351</v>
      </c>
    </row>
    <row r="403" spans="1:2">
      <c r="A403" s="149" t="s">
        <v>1352</v>
      </c>
      <c r="B403" s="149" t="s">
        <v>1353</v>
      </c>
    </row>
    <row r="404" spans="1:2">
      <c r="A404" s="149" t="s">
        <v>1354</v>
      </c>
      <c r="B404" s="149" t="s">
        <v>1355</v>
      </c>
    </row>
    <row r="405" spans="1:2">
      <c r="A405" s="149" t="s">
        <v>1356</v>
      </c>
      <c r="B405" s="149" t="s">
        <v>1357</v>
      </c>
    </row>
    <row r="406" spans="1:2">
      <c r="A406" s="149" t="s">
        <v>1358</v>
      </c>
      <c r="B406" s="149" t="s">
        <v>1359</v>
      </c>
    </row>
    <row r="407" spans="1:2">
      <c r="A407" s="149" t="s">
        <v>1360</v>
      </c>
      <c r="B407" s="149" t="s">
        <v>1361</v>
      </c>
    </row>
    <row r="408" spans="1:2">
      <c r="A408" s="149" t="s">
        <v>1362</v>
      </c>
      <c r="B408" s="149" t="s">
        <v>1363</v>
      </c>
    </row>
    <row r="409" spans="1:2">
      <c r="A409" s="149" t="s">
        <v>1364</v>
      </c>
      <c r="B409" s="149" t="s">
        <v>1365</v>
      </c>
    </row>
    <row r="410" spans="1:2">
      <c r="A410" s="149" t="s">
        <v>1366</v>
      </c>
      <c r="B410" s="149" t="s">
        <v>1367</v>
      </c>
    </row>
    <row r="411" spans="1:2">
      <c r="A411" s="149" t="s">
        <v>1368</v>
      </c>
      <c r="B411" s="149" t="s">
        <v>1369</v>
      </c>
    </row>
    <row r="412" spans="1:2">
      <c r="A412" s="149" t="s">
        <v>1370</v>
      </c>
      <c r="B412" s="149" t="s">
        <v>1371</v>
      </c>
    </row>
    <row r="413" spans="1:2">
      <c r="A413" s="149" t="s">
        <v>1372</v>
      </c>
      <c r="B413" s="149" t="s">
        <v>1373</v>
      </c>
    </row>
    <row r="414" spans="1:2">
      <c r="A414" s="149" t="s">
        <v>1374</v>
      </c>
      <c r="B414" s="149" t="s">
        <v>1375</v>
      </c>
    </row>
    <row r="415" spans="1:2">
      <c r="A415" s="149" t="s">
        <v>1376</v>
      </c>
      <c r="B415" s="149" t="s">
        <v>1377</v>
      </c>
    </row>
    <row r="416" spans="1:2">
      <c r="A416" s="149" t="s">
        <v>1378</v>
      </c>
      <c r="B416" s="149" t="s">
        <v>1379</v>
      </c>
    </row>
    <row r="417" spans="1:2">
      <c r="A417" s="149" t="s">
        <v>1380</v>
      </c>
      <c r="B417" s="149" t="s">
        <v>1381</v>
      </c>
    </row>
    <row r="418" spans="1:2">
      <c r="A418" s="149" t="s">
        <v>1382</v>
      </c>
      <c r="B418" s="149" t="s">
        <v>1383</v>
      </c>
    </row>
    <row r="419" spans="1:2">
      <c r="A419" s="149" t="s">
        <v>1384</v>
      </c>
      <c r="B419" s="149" t="s">
        <v>1385</v>
      </c>
    </row>
    <row r="420" spans="1:2">
      <c r="A420" s="149" t="s">
        <v>1386</v>
      </c>
      <c r="B420" s="149" t="s">
        <v>1387</v>
      </c>
    </row>
    <row r="421" spans="1:2">
      <c r="A421" s="149" t="s">
        <v>1388</v>
      </c>
      <c r="B421" s="149" t="s">
        <v>1389</v>
      </c>
    </row>
    <row r="422" spans="1:2">
      <c r="A422" s="149" t="s">
        <v>1390</v>
      </c>
      <c r="B422" s="149" t="s">
        <v>1391</v>
      </c>
    </row>
    <row r="423" spans="1:2">
      <c r="A423" s="149" t="s">
        <v>1392</v>
      </c>
      <c r="B423" s="149" t="s">
        <v>1393</v>
      </c>
    </row>
    <row r="424" spans="1:2">
      <c r="A424" s="149" t="s">
        <v>1394</v>
      </c>
      <c r="B424" s="149" t="s">
        <v>1395</v>
      </c>
    </row>
    <row r="425" spans="1:2">
      <c r="A425" s="149" t="s">
        <v>1396</v>
      </c>
      <c r="B425" s="149" t="s">
        <v>1397</v>
      </c>
    </row>
    <row r="426" spans="1:2">
      <c r="A426" s="149" t="s">
        <v>1398</v>
      </c>
      <c r="B426" s="149" t="s">
        <v>1399</v>
      </c>
    </row>
    <row r="427" spans="1:2">
      <c r="A427" s="149" t="s">
        <v>1400</v>
      </c>
      <c r="B427" s="149" t="s">
        <v>1401</v>
      </c>
    </row>
    <row r="428" spans="1:2">
      <c r="A428" s="149" t="s">
        <v>1402</v>
      </c>
      <c r="B428" s="149" t="s">
        <v>1403</v>
      </c>
    </row>
    <row r="429" spans="1:2">
      <c r="A429" s="149" t="s">
        <v>1404</v>
      </c>
      <c r="B429" s="149" t="s">
        <v>1405</v>
      </c>
    </row>
    <row r="430" spans="1:2">
      <c r="A430" s="149" t="s">
        <v>1406</v>
      </c>
      <c r="B430" s="149" t="s">
        <v>1407</v>
      </c>
    </row>
    <row r="431" spans="1:2">
      <c r="A431" s="149" t="s">
        <v>1408</v>
      </c>
      <c r="B431" s="149" t="s">
        <v>1409</v>
      </c>
    </row>
    <row r="432" spans="1:2">
      <c r="A432" s="149" t="s">
        <v>1410</v>
      </c>
      <c r="B432" s="149" t="s">
        <v>1411</v>
      </c>
    </row>
    <row r="433" spans="1:2">
      <c r="A433" s="149" t="s">
        <v>1412</v>
      </c>
      <c r="B433" s="149" t="s">
        <v>1413</v>
      </c>
    </row>
    <row r="434" spans="1:2">
      <c r="A434" s="149" t="s">
        <v>1414</v>
      </c>
      <c r="B434" s="149" t="s">
        <v>1415</v>
      </c>
    </row>
    <row r="435" spans="1:2">
      <c r="A435" s="149" t="s">
        <v>1416</v>
      </c>
      <c r="B435" s="149" t="s">
        <v>1417</v>
      </c>
    </row>
    <row r="436" spans="1:2">
      <c r="A436" s="149" t="s">
        <v>1418</v>
      </c>
      <c r="B436" s="149" t="s">
        <v>1419</v>
      </c>
    </row>
    <row r="437" spans="1:2">
      <c r="A437" s="149" t="s">
        <v>1420</v>
      </c>
      <c r="B437" s="149" t="s">
        <v>1421</v>
      </c>
    </row>
    <row r="438" spans="1:2">
      <c r="A438" s="149" t="s">
        <v>1422</v>
      </c>
      <c r="B438" s="149" t="s">
        <v>1423</v>
      </c>
    </row>
    <row r="439" spans="1:2">
      <c r="A439" s="149" t="s">
        <v>1424</v>
      </c>
      <c r="B439" s="149" t="s">
        <v>1425</v>
      </c>
    </row>
    <row r="440" spans="1:2">
      <c r="A440" s="149" t="s">
        <v>1426</v>
      </c>
      <c r="B440" s="149" t="s">
        <v>1427</v>
      </c>
    </row>
    <row r="441" spans="1:2">
      <c r="A441" s="149" t="s">
        <v>1428</v>
      </c>
      <c r="B441" s="149" t="s">
        <v>1429</v>
      </c>
    </row>
    <row r="442" spans="1:2">
      <c r="A442" s="149" t="s">
        <v>1430</v>
      </c>
      <c r="B442" s="149" t="s">
        <v>1431</v>
      </c>
    </row>
    <row r="443" spans="1:2">
      <c r="A443" s="149" t="s">
        <v>1432</v>
      </c>
      <c r="B443" s="149" t="s">
        <v>1433</v>
      </c>
    </row>
    <row r="444" spans="1:2">
      <c r="A444" s="149" t="s">
        <v>1434</v>
      </c>
      <c r="B444" s="149" t="s">
        <v>1435</v>
      </c>
    </row>
    <row r="445" spans="1:2">
      <c r="A445" s="149" t="s">
        <v>1436</v>
      </c>
      <c r="B445" s="149" t="s">
        <v>1437</v>
      </c>
    </row>
    <row r="446" spans="1:2">
      <c r="A446" s="149" t="s">
        <v>1438</v>
      </c>
      <c r="B446" s="149" t="s">
        <v>1439</v>
      </c>
    </row>
    <row r="447" spans="1:2">
      <c r="A447" s="149" t="s">
        <v>1440</v>
      </c>
      <c r="B447" s="149" t="s">
        <v>1441</v>
      </c>
    </row>
    <row r="448" spans="1:2">
      <c r="A448" s="149" t="s">
        <v>1442</v>
      </c>
      <c r="B448" s="149" t="s">
        <v>1443</v>
      </c>
    </row>
    <row r="449" spans="1:2">
      <c r="A449" s="149" t="s">
        <v>1444</v>
      </c>
      <c r="B449" s="149" t="s">
        <v>1445</v>
      </c>
    </row>
    <row r="450" spans="1:2">
      <c r="A450" s="149" t="s">
        <v>1446</v>
      </c>
      <c r="B450" s="149" t="s">
        <v>1447</v>
      </c>
    </row>
    <row r="451" spans="1:2">
      <c r="A451" s="149" t="s">
        <v>1448</v>
      </c>
      <c r="B451" s="149" t="s">
        <v>1449</v>
      </c>
    </row>
    <row r="452" spans="1:2">
      <c r="A452" s="149" t="s">
        <v>1450</v>
      </c>
      <c r="B452" s="149" t="s">
        <v>1451</v>
      </c>
    </row>
    <row r="453" spans="1:2">
      <c r="A453" s="149" t="s">
        <v>1452</v>
      </c>
      <c r="B453" s="149" t="s">
        <v>1453</v>
      </c>
    </row>
    <row r="454" spans="1:2">
      <c r="A454" s="149" t="s">
        <v>1454</v>
      </c>
      <c r="B454" s="149" t="s">
        <v>1455</v>
      </c>
    </row>
    <row r="455" spans="1:2">
      <c r="A455" s="149" t="s">
        <v>1456</v>
      </c>
      <c r="B455" s="149" t="s">
        <v>1457</v>
      </c>
    </row>
    <row r="456" spans="1:2">
      <c r="A456" s="149" t="s">
        <v>1458</v>
      </c>
      <c r="B456" s="149" t="s">
        <v>1459</v>
      </c>
    </row>
    <row r="457" spans="1:2">
      <c r="A457" s="149" t="s">
        <v>1460</v>
      </c>
      <c r="B457" s="149" t="s">
        <v>1461</v>
      </c>
    </row>
    <row r="458" spans="1:2">
      <c r="A458" s="149" t="s">
        <v>1462</v>
      </c>
      <c r="B458" s="149" t="s">
        <v>1463</v>
      </c>
    </row>
    <row r="459" spans="1:2">
      <c r="A459" s="149" t="s">
        <v>1464</v>
      </c>
      <c r="B459" s="149" t="s">
        <v>1465</v>
      </c>
    </row>
    <row r="460" spans="1:2">
      <c r="A460" s="149" t="s">
        <v>1466</v>
      </c>
      <c r="B460" s="149" t="s">
        <v>1467</v>
      </c>
    </row>
    <row r="461" spans="1:2">
      <c r="A461" s="149" t="s">
        <v>1468</v>
      </c>
      <c r="B461" s="149" t="s">
        <v>1469</v>
      </c>
    </row>
    <row r="462" spans="1:2">
      <c r="A462" s="149" t="s">
        <v>1470</v>
      </c>
      <c r="B462" s="149" t="s">
        <v>1471</v>
      </c>
    </row>
    <row r="463" spans="1:2">
      <c r="A463" s="149" t="s">
        <v>1472</v>
      </c>
      <c r="B463" s="149" t="s">
        <v>1473</v>
      </c>
    </row>
    <row r="464" spans="1:2">
      <c r="A464" s="149" t="s">
        <v>1474</v>
      </c>
      <c r="B464" s="149" t="s">
        <v>1475</v>
      </c>
    </row>
    <row r="465" spans="1:2">
      <c r="A465" s="149" t="s">
        <v>1476</v>
      </c>
      <c r="B465" s="149" t="s">
        <v>1477</v>
      </c>
    </row>
    <row r="466" spans="1:2">
      <c r="A466" s="149" t="s">
        <v>1478</v>
      </c>
      <c r="B466" s="149" t="s">
        <v>1479</v>
      </c>
    </row>
    <row r="467" spans="1:2">
      <c r="A467" s="149" t="s">
        <v>1480</v>
      </c>
      <c r="B467" s="149" t="s">
        <v>1481</v>
      </c>
    </row>
    <row r="468" spans="1:2">
      <c r="A468" s="149" t="s">
        <v>1482</v>
      </c>
      <c r="B468" s="149" t="s">
        <v>1483</v>
      </c>
    </row>
    <row r="469" spans="1:2">
      <c r="A469" s="149" t="s">
        <v>1484</v>
      </c>
      <c r="B469" s="149" t="s">
        <v>1485</v>
      </c>
    </row>
    <row r="470" spans="1:2">
      <c r="A470" s="149" t="s">
        <v>1486</v>
      </c>
      <c r="B470" s="149" t="s">
        <v>1487</v>
      </c>
    </row>
    <row r="471" spans="1:2">
      <c r="A471" s="149" t="s">
        <v>1488</v>
      </c>
      <c r="B471" s="149" t="s">
        <v>1489</v>
      </c>
    </row>
    <row r="472" spans="1:2">
      <c r="A472" s="149" t="s">
        <v>1490</v>
      </c>
      <c r="B472" s="149" t="s">
        <v>1491</v>
      </c>
    </row>
    <row r="473" spans="1:2">
      <c r="A473" s="149" t="s">
        <v>1492</v>
      </c>
      <c r="B473" s="149" t="s">
        <v>1493</v>
      </c>
    </row>
    <row r="474" spans="1:2">
      <c r="A474" s="149" t="s">
        <v>1494</v>
      </c>
      <c r="B474" s="149" t="s">
        <v>1495</v>
      </c>
    </row>
    <row r="475" spans="1:2">
      <c r="A475" s="149" t="s">
        <v>1496</v>
      </c>
      <c r="B475" s="149" t="s">
        <v>1497</v>
      </c>
    </row>
    <row r="476" spans="1:2">
      <c r="A476" s="149" t="s">
        <v>1498</v>
      </c>
      <c r="B476" s="149" t="s">
        <v>1499</v>
      </c>
    </row>
    <row r="477" spans="1:2">
      <c r="A477" s="149" t="s">
        <v>1500</v>
      </c>
      <c r="B477" s="149" t="s">
        <v>1501</v>
      </c>
    </row>
    <row r="478" spans="1:2">
      <c r="A478" s="149" t="s">
        <v>1502</v>
      </c>
      <c r="B478" s="149" t="s">
        <v>1503</v>
      </c>
    </row>
    <row r="479" spans="1:2">
      <c r="A479" s="149" t="s">
        <v>1504</v>
      </c>
      <c r="B479" s="149" t="s">
        <v>1505</v>
      </c>
    </row>
    <row r="480" spans="1:2">
      <c r="A480" s="149" t="s">
        <v>1506</v>
      </c>
      <c r="B480" s="149" t="s">
        <v>1507</v>
      </c>
    </row>
    <row r="481" spans="1:2">
      <c r="A481" s="149" t="s">
        <v>1508</v>
      </c>
      <c r="B481" s="149" t="s">
        <v>1509</v>
      </c>
    </row>
    <row r="482" spans="1:2">
      <c r="A482" s="149" t="s">
        <v>1510</v>
      </c>
      <c r="B482" s="149" t="s">
        <v>1511</v>
      </c>
    </row>
    <row r="483" spans="1:2">
      <c r="A483" s="149" t="s">
        <v>1512</v>
      </c>
      <c r="B483" s="149" t="s">
        <v>1513</v>
      </c>
    </row>
    <row r="484" spans="1:2">
      <c r="A484" s="149" t="s">
        <v>1514</v>
      </c>
      <c r="B484" s="149" t="s">
        <v>1515</v>
      </c>
    </row>
    <row r="485" spans="1:2">
      <c r="A485" s="149" t="s">
        <v>1516</v>
      </c>
      <c r="B485" s="149" t="s">
        <v>1517</v>
      </c>
    </row>
    <row r="486" spans="1:2">
      <c r="A486" s="149" t="s">
        <v>1518</v>
      </c>
      <c r="B486" s="149" t="s">
        <v>1519</v>
      </c>
    </row>
    <row r="487" spans="1:2">
      <c r="A487" s="149" t="s">
        <v>1520</v>
      </c>
      <c r="B487" s="149" t="s">
        <v>1521</v>
      </c>
    </row>
    <row r="488" spans="1:2">
      <c r="A488" s="149" t="s">
        <v>1522</v>
      </c>
      <c r="B488" s="149" t="s">
        <v>1523</v>
      </c>
    </row>
    <row r="489" spans="1:2">
      <c r="A489" s="149" t="s">
        <v>1524</v>
      </c>
      <c r="B489" s="149" t="s">
        <v>1525</v>
      </c>
    </row>
    <row r="490" spans="1:2">
      <c r="A490" s="149" t="s">
        <v>1526</v>
      </c>
      <c r="B490" s="149" t="s">
        <v>1527</v>
      </c>
    </row>
    <row r="491" spans="1:2">
      <c r="A491" s="149" t="s">
        <v>1528</v>
      </c>
      <c r="B491" s="149" t="s">
        <v>1529</v>
      </c>
    </row>
    <row r="492" spans="1:2">
      <c r="A492" s="149" t="s">
        <v>1530</v>
      </c>
      <c r="B492" s="149" t="s">
        <v>1531</v>
      </c>
    </row>
    <row r="493" spans="1:2">
      <c r="A493" s="149" t="s">
        <v>1532</v>
      </c>
      <c r="B493" s="149" t="s">
        <v>1533</v>
      </c>
    </row>
    <row r="494" spans="1:2">
      <c r="A494" s="149" t="s">
        <v>1534</v>
      </c>
      <c r="B494" s="149" t="s">
        <v>1535</v>
      </c>
    </row>
    <row r="495" spans="1:2">
      <c r="A495" s="149" t="s">
        <v>1536</v>
      </c>
      <c r="B495" s="149" t="s">
        <v>1537</v>
      </c>
    </row>
    <row r="496" spans="1:2">
      <c r="A496" s="149" t="s">
        <v>1538</v>
      </c>
      <c r="B496" s="149" t="s">
        <v>1539</v>
      </c>
    </row>
    <row r="497" spans="1:2">
      <c r="A497" s="149" t="s">
        <v>1540</v>
      </c>
      <c r="B497" s="149" t="s">
        <v>1541</v>
      </c>
    </row>
    <row r="498" spans="1:2">
      <c r="A498" s="149" t="s">
        <v>1542</v>
      </c>
      <c r="B498" s="149" t="s">
        <v>1543</v>
      </c>
    </row>
    <row r="499" spans="1:2">
      <c r="A499" s="149" t="s">
        <v>1544</v>
      </c>
      <c r="B499" s="149" t="s">
        <v>1545</v>
      </c>
    </row>
    <row r="500" spans="1:2">
      <c r="A500" s="149" t="s">
        <v>1546</v>
      </c>
      <c r="B500" s="149" t="s">
        <v>1547</v>
      </c>
    </row>
    <row r="501" spans="1:2">
      <c r="A501" s="149" t="s">
        <v>1548</v>
      </c>
      <c r="B501" s="149" t="s">
        <v>296</v>
      </c>
    </row>
    <row r="502" spans="1:2">
      <c r="A502" s="149" t="s">
        <v>1549</v>
      </c>
      <c r="B502" s="149" t="s">
        <v>1550</v>
      </c>
    </row>
    <row r="503" spans="1:2">
      <c r="A503" s="149" t="s">
        <v>1551</v>
      </c>
      <c r="B503" s="149" t="s">
        <v>1552</v>
      </c>
    </row>
    <row r="504" spans="1:2">
      <c r="A504" s="149" t="s">
        <v>1553</v>
      </c>
      <c r="B504" s="149" t="s">
        <v>1554</v>
      </c>
    </row>
    <row r="505" spans="1:2">
      <c r="A505" s="149" t="s">
        <v>1555</v>
      </c>
      <c r="B505" s="149" t="s">
        <v>1556</v>
      </c>
    </row>
    <row r="506" spans="1:2">
      <c r="A506" s="149" t="s">
        <v>1557</v>
      </c>
      <c r="B506" s="149" t="s">
        <v>1558</v>
      </c>
    </row>
    <row r="507" spans="1:2">
      <c r="A507" s="149" t="s">
        <v>1559</v>
      </c>
      <c r="B507" s="149" t="s">
        <v>1560</v>
      </c>
    </row>
    <row r="508" spans="1:2">
      <c r="A508" s="149" t="s">
        <v>1561</v>
      </c>
      <c r="B508" s="149" t="s">
        <v>1562</v>
      </c>
    </row>
    <row r="509" spans="1:2">
      <c r="A509" s="149" t="s">
        <v>1563</v>
      </c>
      <c r="B509" s="149" t="s">
        <v>1564</v>
      </c>
    </row>
    <row r="510" spans="1:2">
      <c r="A510" s="149" t="s">
        <v>1565</v>
      </c>
      <c r="B510" s="149" t="s">
        <v>1566</v>
      </c>
    </row>
    <row r="511" spans="1:2">
      <c r="A511" s="149" t="s">
        <v>1567</v>
      </c>
      <c r="B511" s="149" t="s">
        <v>1568</v>
      </c>
    </row>
    <row r="512" spans="1:2">
      <c r="A512" s="149" t="s">
        <v>1569</v>
      </c>
      <c r="B512" s="149" t="s">
        <v>1570</v>
      </c>
    </row>
    <row r="513" spans="1:2">
      <c r="A513" s="149" t="s">
        <v>1571</v>
      </c>
      <c r="B513" s="149" t="s">
        <v>1572</v>
      </c>
    </row>
    <row r="514" spans="1:2">
      <c r="A514" s="149" t="s">
        <v>1573</v>
      </c>
      <c r="B514" s="149" t="s">
        <v>1574</v>
      </c>
    </row>
    <row r="515" spans="1:2">
      <c r="A515" s="149" t="s">
        <v>1575</v>
      </c>
      <c r="B515" s="149" t="s">
        <v>1576</v>
      </c>
    </row>
    <row r="516" spans="1:2">
      <c r="A516" s="149" t="s">
        <v>1577</v>
      </c>
      <c r="B516" s="149" t="s">
        <v>1578</v>
      </c>
    </row>
    <row r="517" spans="1:2">
      <c r="A517" s="149" t="s">
        <v>1579</v>
      </c>
      <c r="B517" s="149" t="s">
        <v>1580</v>
      </c>
    </row>
    <row r="518" spans="1:2">
      <c r="A518" s="149" t="s">
        <v>1581</v>
      </c>
      <c r="B518" s="149" t="s">
        <v>1582</v>
      </c>
    </row>
    <row r="519" spans="1:2">
      <c r="A519" s="149" t="s">
        <v>1583</v>
      </c>
      <c r="B519" s="149" t="s">
        <v>1584</v>
      </c>
    </row>
    <row r="520" spans="1:2">
      <c r="A520" s="149" t="s">
        <v>1585</v>
      </c>
      <c r="B520" s="149" t="s">
        <v>1586</v>
      </c>
    </row>
    <row r="521" spans="1:2">
      <c r="A521" s="149" t="s">
        <v>1587</v>
      </c>
      <c r="B521" s="149" t="s">
        <v>1588</v>
      </c>
    </row>
    <row r="522" spans="1:2">
      <c r="A522" s="149" t="s">
        <v>1589</v>
      </c>
      <c r="B522" s="149" t="s">
        <v>1590</v>
      </c>
    </row>
    <row r="523" spans="1:2">
      <c r="A523" s="149" t="s">
        <v>1591</v>
      </c>
      <c r="B523" s="149" t="s">
        <v>1592</v>
      </c>
    </row>
    <row r="524" spans="1:2">
      <c r="A524" s="149" t="s">
        <v>1593</v>
      </c>
      <c r="B524" s="149" t="s">
        <v>1594</v>
      </c>
    </row>
    <row r="525" spans="1:2">
      <c r="A525" s="149" t="s">
        <v>1595</v>
      </c>
      <c r="B525" s="149" t="s">
        <v>1596</v>
      </c>
    </row>
    <row r="526" spans="1:2">
      <c r="A526" s="149" t="s">
        <v>1597</v>
      </c>
      <c r="B526" s="149" t="s">
        <v>1598</v>
      </c>
    </row>
    <row r="527" spans="1:2">
      <c r="A527" s="149" t="s">
        <v>1599</v>
      </c>
      <c r="B527" s="149" t="s">
        <v>1600</v>
      </c>
    </row>
    <row r="528" spans="1:2">
      <c r="A528" s="149" t="s">
        <v>1601</v>
      </c>
      <c r="B528" s="149" t="s">
        <v>1602</v>
      </c>
    </row>
    <row r="529" spans="1:2">
      <c r="A529" s="149" t="s">
        <v>1603</v>
      </c>
      <c r="B529" s="149" t="s">
        <v>1604</v>
      </c>
    </row>
    <row r="530" spans="1:2">
      <c r="A530" s="149" t="s">
        <v>1605</v>
      </c>
      <c r="B530" s="149" t="s">
        <v>1606</v>
      </c>
    </row>
    <row r="531" spans="1:2">
      <c r="A531" s="149" t="s">
        <v>1607</v>
      </c>
      <c r="B531" s="149" t="s">
        <v>1608</v>
      </c>
    </row>
    <row r="532" spans="1:2">
      <c r="A532" s="149" t="s">
        <v>1609</v>
      </c>
      <c r="B532" s="149" t="s">
        <v>1610</v>
      </c>
    </row>
    <row r="533" spans="1:2">
      <c r="A533" s="149" t="s">
        <v>1611</v>
      </c>
      <c r="B533" s="149" t="s">
        <v>1612</v>
      </c>
    </row>
    <row r="534" spans="1:2">
      <c r="A534" s="149" t="s">
        <v>1613</v>
      </c>
      <c r="B534" s="149" t="s">
        <v>1614</v>
      </c>
    </row>
    <row r="535" spans="1:2">
      <c r="A535" s="149" t="s">
        <v>1615</v>
      </c>
      <c r="B535" s="149" t="s">
        <v>1616</v>
      </c>
    </row>
    <row r="536" spans="1:2">
      <c r="A536" s="149" t="s">
        <v>1617</v>
      </c>
      <c r="B536" s="149" t="s">
        <v>1618</v>
      </c>
    </row>
    <row r="537" spans="1:2">
      <c r="A537" s="149" t="s">
        <v>1619</v>
      </c>
      <c r="B537" s="149" t="s">
        <v>1620</v>
      </c>
    </row>
    <row r="538" spans="1:2">
      <c r="A538" s="149" t="s">
        <v>1621</v>
      </c>
      <c r="B538" s="149" t="s">
        <v>1622</v>
      </c>
    </row>
    <row r="539" spans="1:2">
      <c r="A539" s="149" t="s">
        <v>1623</v>
      </c>
      <c r="B539" s="149" t="s">
        <v>1624</v>
      </c>
    </row>
    <row r="540" spans="1:2">
      <c r="A540" s="149" t="s">
        <v>1625</v>
      </c>
      <c r="B540" s="149" t="s">
        <v>1626</v>
      </c>
    </row>
    <row r="541" spans="1:2">
      <c r="A541" s="149" t="s">
        <v>1627</v>
      </c>
      <c r="B541" s="149" t="s">
        <v>1628</v>
      </c>
    </row>
    <row r="542" spans="1:2">
      <c r="A542" s="149" t="s">
        <v>1629</v>
      </c>
      <c r="B542" s="149" t="s">
        <v>1630</v>
      </c>
    </row>
    <row r="543" spans="1:2">
      <c r="A543" s="149" t="s">
        <v>1631</v>
      </c>
      <c r="B543" s="149" t="s">
        <v>1632</v>
      </c>
    </row>
    <row r="544" spans="1:2">
      <c r="A544" s="149" t="s">
        <v>1633</v>
      </c>
      <c r="B544" s="149" t="s">
        <v>1634</v>
      </c>
    </row>
    <row r="545" spans="1:2">
      <c r="A545" s="149" t="s">
        <v>1635</v>
      </c>
      <c r="B545" s="149" t="s">
        <v>1636</v>
      </c>
    </row>
    <row r="546" spans="1:2">
      <c r="A546" s="149" t="s">
        <v>1637</v>
      </c>
      <c r="B546" s="149" t="s">
        <v>1638</v>
      </c>
    </row>
    <row r="547" spans="1:2">
      <c r="A547" s="149" t="s">
        <v>1639</v>
      </c>
      <c r="B547" s="149" t="s">
        <v>1640</v>
      </c>
    </row>
    <row r="548" spans="1:2">
      <c r="A548" s="149" t="s">
        <v>1641</v>
      </c>
      <c r="B548" s="149" t="s">
        <v>1642</v>
      </c>
    </row>
    <row r="549" spans="1:2">
      <c r="A549" s="149" t="s">
        <v>1643</v>
      </c>
      <c r="B549" s="149" t="s">
        <v>1644</v>
      </c>
    </row>
    <row r="550" spans="1:2">
      <c r="A550" s="149" t="s">
        <v>1645</v>
      </c>
      <c r="B550" s="149" t="s">
        <v>1646</v>
      </c>
    </row>
    <row r="551" spans="1:2">
      <c r="A551" s="149" t="s">
        <v>1647</v>
      </c>
      <c r="B551" s="149" t="s">
        <v>1648</v>
      </c>
    </row>
    <row r="552" spans="1:2">
      <c r="A552" s="149" t="s">
        <v>1649</v>
      </c>
      <c r="B552" s="149" t="s">
        <v>1650</v>
      </c>
    </row>
    <row r="553" spans="1:2">
      <c r="A553" s="149" t="s">
        <v>1651</v>
      </c>
      <c r="B553" s="149" t="s">
        <v>1652</v>
      </c>
    </row>
    <row r="554" spans="1:2">
      <c r="A554" s="149" t="s">
        <v>1653</v>
      </c>
      <c r="B554" s="149" t="s">
        <v>1654</v>
      </c>
    </row>
    <row r="555" spans="1:2">
      <c r="A555" s="149" t="s">
        <v>1655</v>
      </c>
      <c r="B555" s="149" t="s">
        <v>1656</v>
      </c>
    </row>
    <row r="556" spans="1:2">
      <c r="A556" s="149" t="s">
        <v>1657</v>
      </c>
      <c r="B556" s="149" t="s">
        <v>1658</v>
      </c>
    </row>
    <row r="557" spans="1:2">
      <c r="A557" s="149" t="s">
        <v>1659</v>
      </c>
      <c r="B557" s="149" t="s">
        <v>1660</v>
      </c>
    </row>
    <row r="558" spans="1:2">
      <c r="A558" s="149" t="s">
        <v>1661</v>
      </c>
      <c r="B558" s="149" t="s">
        <v>1662</v>
      </c>
    </row>
    <row r="559" spans="1:2">
      <c r="A559" s="149" t="s">
        <v>1663</v>
      </c>
      <c r="B559" s="149" t="s">
        <v>1664</v>
      </c>
    </row>
    <row r="560" spans="1:2">
      <c r="A560" s="149" t="s">
        <v>1665</v>
      </c>
      <c r="B560" s="149" t="s">
        <v>1666</v>
      </c>
    </row>
    <row r="561" spans="1:2">
      <c r="A561" s="149" t="s">
        <v>1667</v>
      </c>
      <c r="B561" s="149" t="s">
        <v>1668</v>
      </c>
    </row>
    <row r="562" spans="1:2">
      <c r="A562" s="149" t="s">
        <v>1669</v>
      </c>
      <c r="B562" s="149" t="s">
        <v>1670</v>
      </c>
    </row>
    <row r="563" spans="1:2">
      <c r="A563" s="149" t="s">
        <v>1671</v>
      </c>
      <c r="B563" s="149" t="s">
        <v>1672</v>
      </c>
    </row>
    <row r="564" spans="1:2">
      <c r="A564" s="149" t="s">
        <v>1673</v>
      </c>
      <c r="B564" s="149" t="s">
        <v>1674</v>
      </c>
    </row>
    <row r="565" spans="1:2">
      <c r="A565" s="149" t="s">
        <v>1675</v>
      </c>
      <c r="B565" s="149" t="s">
        <v>1676</v>
      </c>
    </row>
    <row r="566" spans="1:2">
      <c r="A566" s="149" t="s">
        <v>1677</v>
      </c>
      <c r="B566" s="149" t="s">
        <v>1678</v>
      </c>
    </row>
    <row r="567" spans="1:2">
      <c r="A567" s="149" t="s">
        <v>1679</v>
      </c>
      <c r="B567" s="149" t="s">
        <v>1680</v>
      </c>
    </row>
    <row r="568" spans="1:2">
      <c r="A568" s="149" t="s">
        <v>1681</v>
      </c>
      <c r="B568" s="149" t="s">
        <v>1682</v>
      </c>
    </row>
    <row r="569" spans="1:2">
      <c r="A569" s="149" t="s">
        <v>1683</v>
      </c>
      <c r="B569" s="149" t="s">
        <v>1684</v>
      </c>
    </row>
    <row r="570" spans="1:2">
      <c r="A570" s="149" t="s">
        <v>1685</v>
      </c>
      <c r="B570" s="149" t="s">
        <v>1686</v>
      </c>
    </row>
    <row r="571" spans="1:2">
      <c r="A571" s="149" t="s">
        <v>1687</v>
      </c>
      <c r="B571" s="149" t="s">
        <v>1688</v>
      </c>
    </row>
    <row r="572" spans="1:2">
      <c r="A572" s="149" t="s">
        <v>1689</v>
      </c>
      <c r="B572" s="149" t="s">
        <v>1690</v>
      </c>
    </row>
    <row r="573" spans="1:2">
      <c r="A573" s="149" t="s">
        <v>1691</v>
      </c>
      <c r="B573" s="149" t="s">
        <v>1692</v>
      </c>
    </row>
    <row r="574" spans="1:2">
      <c r="A574" s="149" t="s">
        <v>1693</v>
      </c>
      <c r="B574" s="149" t="s">
        <v>1694</v>
      </c>
    </row>
    <row r="575" spans="1:2">
      <c r="A575" s="149" t="s">
        <v>1695</v>
      </c>
      <c r="B575" s="149" t="s">
        <v>1696</v>
      </c>
    </row>
    <row r="576" spans="1:2">
      <c r="A576" s="149" t="s">
        <v>1697</v>
      </c>
      <c r="B576" s="149" t="s">
        <v>1698</v>
      </c>
    </row>
    <row r="577" spans="1:2">
      <c r="A577" s="149" t="s">
        <v>1699</v>
      </c>
      <c r="B577" s="149" t="s">
        <v>1700</v>
      </c>
    </row>
    <row r="578" spans="1:2">
      <c r="A578" s="149" t="s">
        <v>1701</v>
      </c>
      <c r="B578" s="149" t="s">
        <v>1702</v>
      </c>
    </row>
    <row r="579" spans="1:2">
      <c r="A579" s="149" t="s">
        <v>1703</v>
      </c>
      <c r="B579" s="149" t="s">
        <v>1704</v>
      </c>
    </row>
    <row r="580" spans="1:2">
      <c r="A580" s="149" t="s">
        <v>1705</v>
      </c>
      <c r="B580" s="149" t="s">
        <v>1706</v>
      </c>
    </row>
    <row r="581" spans="1:2">
      <c r="A581" s="149" t="s">
        <v>1707</v>
      </c>
      <c r="B581" s="149" t="s">
        <v>1708</v>
      </c>
    </row>
    <row r="582" spans="1:2">
      <c r="A582" s="149" t="s">
        <v>1709</v>
      </c>
      <c r="B582" s="149" t="s">
        <v>1710</v>
      </c>
    </row>
    <row r="583" spans="1:2">
      <c r="A583" s="149" t="s">
        <v>1711</v>
      </c>
      <c r="B583" s="149" t="s">
        <v>1712</v>
      </c>
    </row>
    <row r="584" spans="1:2">
      <c r="A584" s="149" t="s">
        <v>1713</v>
      </c>
      <c r="B584" s="149" t="s">
        <v>1714</v>
      </c>
    </row>
    <row r="585" spans="1:2">
      <c r="A585" s="149" t="s">
        <v>1715</v>
      </c>
      <c r="B585" s="149" t="s">
        <v>1716</v>
      </c>
    </row>
    <row r="586" spans="1:2">
      <c r="A586" s="149" t="s">
        <v>1717</v>
      </c>
      <c r="B586" s="149" t="s">
        <v>1718</v>
      </c>
    </row>
    <row r="587" spans="1:2">
      <c r="A587" s="149" t="s">
        <v>1719</v>
      </c>
      <c r="B587" s="149" t="s">
        <v>1720</v>
      </c>
    </row>
    <row r="588" spans="1:2">
      <c r="A588" s="149" t="s">
        <v>1721</v>
      </c>
      <c r="B588" s="149" t="s">
        <v>119</v>
      </c>
    </row>
    <row r="589" spans="1:2">
      <c r="A589" s="149" t="s">
        <v>1722</v>
      </c>
      <c r="B589" s="149" t="s">
        <v>1723</v>
      </c>
    </row>
    <row r="590" spans="1:2">
      <c r="A590" s="149" t="s">
        <v>1724</v>
      </c>
      <c r="B590" s="149" t="s">
        <v>1725</v>
      </c>
    </row>
    <row r="591" spans="1:2">
      <c r="A591" s="149" t="s">
        <v>1726</v>
      </c>
      <c r="B591" s="149" t="s">
        <v>1727</v>
      </c>
    </row>
    <row r="592" spans="1:2">
      <c r="A592" s="149" t="s">
        <v>1728</v>
      </c>
      <c r="B592" s="149" t="s">
        <v>1729</v>
      </c>
    </row>
    <row r="593" spans="1:2">
      <c r="A593" s="149" t="s">
        <v>1730</v>
      </c>
      <c r="B593" s="149" t="s">
        <v>1731</v>
      </c>
    </row>
    <row r="594" spans="1:2">
      <c r="A594" s="149" t="s">
        <v>1732</v>
      </c>
      <c r="B594" s="149" t="s">
        <v>1733</v>
      </c>
    </row>
    <row r="595" spans="1:2">
      <c r="A595" s="149" t="s">
        <v>1734</v>
      </c>
      <c r="B595" s="149" t="s">
        <v>1735</v>
      </c>
    </row>
    <row r="596" spans="1:2">
      <c r="A596" s="149" t="s">
        <v>1736</v>
      </c>
      <c r="B596" s="149" t="s">
        <v>1737</v>
      </c>
    </row>
    <row r="597" spans="1:2">
      <c r="A597" s="149" t="s">
        <v>1738</v>
      </c>
      <c r="B597" s="149" t="s">
        <v>1739</v>
      </c>
    </row>
    <row r="598" spans="1:2">
      <c r="A598" s="149" t="s">
        <v>1740</v>
      </c>
      <c r="B598" s="149" t="s">
        <v>1741</v>
      </c>
    </row>
    <row r="599" spans="1:2">
      <c r="A599" s="149" t="s">
        <v>1742</v>
      </c>
      <c r="B599" s="149" t="s">
        <v>1743</v>
      </c>
    </row>
    <row r="600" spans="1:2">
      <c r="A600" s="149" t="s">
        <v>1744</v>
      </c>
      <c r="B600" s="149" t="s">
        <v>1745</v>
      </c>
    </row>
    <row r="601" spans="1:2">
      <c r="A601" s="149" t="s">
        <v>1746</v>
      </c>
      <c r="B601" s="149" t="s">
        <v>1747</v>
      </c>
    </row>
    <row r="602" spans="1:2">
      <c r="A602" s="149" t="s">
        <v>1748</v>
      </c>
      <c r="B602" s="149" t="s">
        <v>1749</v>
      </c>
    </row>
    <row r="603" spans="1:2">
      <c r="A603" s="149" t="s">
        <v>1750</v>
      </c>
      <c r="B603" s="149" t="s">
        <v>1751</v>
      </c>
    </row>
    <row r="604" spans="1:2">
      <c r="A604" s="149" t="s">
        <v>1752</v>
      </c>
      <c r="B604" s="149" t="s">
        <v>1753</v>
      </c>
    </row>
    <row r="605" spans="1:2">
      <c r="A605" s="149" t="s">
        <v>1754</v>
      </c>
      <c r="B605" s="149" t="s">
        <v>1755</v>
      </c>
    </row>
    <row r="606" spans="1:2">
      <c r="A606" s="149" t="s">
        <v>1756</v>
      </c>
      <c r="B606" s="149" t="s">
        <v>1757</v>
      </c>
    </row>
    <row r="607" spans="1:2">
      <c r="A607" s="149" t="s">
        <v>1758</v>
      </c>
      <c r="B607" s="149" t="s">
        <v>1759</v>
      </c>
    </row>
    <row r="608" spans="1:2">
      <c r="A608" s="149" t="s">
        <v>1760</v>
      </c>
      <c r="B608" s="149" t="s">
        <v>1761</v>
      </c>
    </row>
    <row r="609" spans="1:2">
      <c r="A609" s="149" t="s">
        <v>1762</v>
      </c>
      <c r="B609" s="149" t="s">
        <v>1763</v>
      </c>
    </row>
    <row r="610" spans="1:2">
      <c r="A610" s="149" t="s">
        <v>1764</v>
      </c>
      <c r="B610" s="149" t="s">
        <v>1765</v>
      </c>
    </row>
    <row r="611" spans="1:2">
      <c r="A611" s="149" t="s">
        <v>1766</v>
      </c>
      <c r="B611" s="149" t="s">
        <v>1767</v>
      </c>
    </row>
    <row r="612" spans="1:2">
      <c r="A612" s="149" t="s">
        <v>1768</v>
      </c>
      <c r="B612" s="149" t="s">
        <v>1769</v>
      </c>
    </row>
    <row r="613" spans="1:2">
      <c r="A613" s="149" t="s">
        <v>1770</v>
      </c>
      <c r="B613" s="149" t="s">
        <v>1771</v>
      </c>
    </row>
    <row r="614" spans="1:2">
      <c r="A614" s="149" t="s">
        <v>1772</v>
      </c>
      <c r="B614" s="149" t="s">
        <v>1773</v>
      </c>
    </row>
    <row r="615" spans="1:2">
      <c r="A615" s="149" t="s">
        <v>1774</v>
      </c>
      <c r="B615" s="149" t="s">
        <v>1775</v>
      </c>
    </row>
    <row r="616" spans="1:2">
      <c r="A616" s="149" t="s">
        <v>1776</v>
      </c>
      <c r="B616" s="149" t="s">
        <v>1777</v>
      </c>
    </row>
    <row r="617" spans="1:2">
      <c r="A617" s="149" t="s">
        <v>1778</v>
      </c>
      <c r="B617" s="149" t="s">
        <v>1779</v>
      </c>
    </row>
    <row r="618" spans="1:2">
      <c r="A618" s="149" t="s">
        <v>1780</v>
      </c>
      <c r="B618" s="149" t="s">
        <v>1781</v>
      </c>
    </row>
    <row r="619" spans="1:2">
      <c r="A619" s="149" t="s">
        <v>1782</v>
      </c>
      <c r="B619" s="149" t="s">
        <v>1783</v>
      </c>
    </row>
    <row r="620" spans="1:2">
      <c r="A620" s="149" t="s">
        <v>1784</v>
      </c>
      <c r="B620" s="149" t="s">
        <v>1785</v>
      </c>
    </row>
    <row r="621" spans="1:2">
      <c r="A621" s="149" t="s">
        <v>1786</v>
      </c>
      <c r="B621" s="149" t="s">
        <v>1787</v>
      </c>
    </row>
    <row r="622" spans="1:2">
      <c r="A622" s="149" t="s">
        <v>1788</v>
      </c>
      <c r="B622" s="149" t="s">
        <v>1789</v>
      </c>
    </row>
    <row r="623" spans="1:2">
      <c r="A623" s="149" t="s">
        <v>1790</v>
      </c>
      <c r="B623" s="149" t="s">
        <v>1791</v>
      </c>
    </row>
    <row r="624" spans="1:2">
      <c r="A624" s="149" t="s">
        <v>1792</v>
      </c>
      <c r="B624" s="149" t="s">
        <v>1793</v>
      </c>
    </row>
    <row r="625" spans="1:2">
      <c r="A625" s="149" t="s">
        <v>1794</v>
      </c>
      <c r="B625" s="149" t="s">
        <v>1795</v>
      </c>
    </row>
    <row r="626" spans="1:2">
      <c r="A626" s="149" t="s">
        <v>1796</v>
      </c>
      <c r="B626" s="149" t="s">
        <v>1797</v>
      </c>
    </row>
    <row r="627" spans="1:2">
      <c r="A627" s="149" t="s">
        <v>1798</v>
      </c>
      <c r="B627" s="149" t="s">
        <v>301</v>
      </c>
    </row>
    <row r="628" spans="1:2">
      <c r="A628" s="149" t="s">
        <v>1799</v>
      </c>
      <c r="B628" s="149" t="s">
        <v>1800</v>
      </c>
    </row>
    <row r="629" spans="1:2">
      <c r="A629" s="149" t="s">
        <v>1801</v>
      </c>
      <c r="B629" s="149" t="s">
        <v>1802</v>
      </c>
    </row>
    <row r="630" spans="1:2">
      <c r="A630" s="149" t="s">
        <v>1803</v>
      </c>
      <c r="B630" s="149" t="s">
        <v>1804</v>
      </c>
    </row>
    <row r="631" spans="1:2">
      <c r="A631" s="149" t="s">
        <v>1805</v>
      </c>
      <c r="B631" s="149" t="s">
        <v>1806</v>
      </c>
    </row>
    <row r="632" spans="1:2">
      <c r="A632" s="149" t="s">
        <v>1807</v>
      </c>
      <c r="B632" s="149" t="s">
        <v>1808</v>
      </c>
    </row>
    <row r="633" spans="1:2">
      <c r="A633" s="149" t="s">
        <v>1809</v>
      </c>
      <c r="B633" s="149" t="s">
        <v>1810</v>
      </c>
    </row>
    <row r="634" spans="1:2">
      <c r="A634" s="149" t="s">
        <v>1811</v>
      </c>
      <c r="B634" s="149" t="s">
        <v>1812</v>
      </c>
    </row>
    <row r="635" spans="1:2">
      <c r="A635" s="149" t="s">
        <v>1813</v>
      </c>
      <c r="B635" s="149" t="s">
        <v>1814</v>
      </c>
    </row>
    <row r="636" spans="1:2">
      <c r="A636" s="149" t="s">
        <v>1815</v>
      </c>
      <c r="B636" s="149" t="s">
        <v>1816</v>
      </c>
    </row>
    <row r="637" spans="1:2">
      <c r="A637" s="149" t="s">
        <v>1817</v>
      </c>
      <c r="B637" s="149" t="s">
        <v>1818</v>
      </c>
    </row>
    <row r="638" spans="1:2">
      <c r="A638" s="149" t="s">
        <v>1819</v>
      </c>
      <c r="B638" s="149" t="s">
        <v>1820</v>
      </c>
    </row>
    <row r="639" spans="1:2">
      <c r="A639" s="149" t="s">
        <v>1821</v>
      </c>
      <c r="B639" s="149" t="s">
        <v>1822</v>
      </c>
    </row>
    <row r="640" spans="1:2">
      <c r="A640" s="149" t="s">
        <v>1823</v>
      </c>
      <c r="B640" s="149" t="s">
        <v>1824</v>
      </c>
    </row>
    <row r="641" spans="1:2">
      <c r="A641" s="149" t="s">
        <v>1825</v>
      </c>
      <c r="B641" s="149" t="s">
        <v>1826</v>
      </c>
    </row>
    <row r="642" spans="1:2">
      <c r="A642" s="149" t="s">
        <v>1827</v>
      </c>
      <c r="B642" s="149" t="s">
        <v>1828</v>
      </c>
    </row>
    <row r="643" spans="1:2">
      <c r="A643" s="149" t="s">
        <v>1829</v>
      </c>
      <c r="B643" s="149" t="s">
        <v>1830</v>
      </c>
    </row>
    <row r="644" spans="1:2">
      <c r="A644" s="149" t="s">
        <v>1831</v>
      </c>
      <c r="B644" s="149" t="s">
        <v>1832</v>
      </c>
    </row>
    <row r="645" spans="1:2">
      <c r="A645" s="149" t="s">
        <v>1833</v>
      </c>
      <c r="B645" s="149" t="s">
        <v>1834</v>
      </c>
    </row>
    <row r="646" spans="1:2">
      <c r="A646" s="149" t="s">
        <v>1835</v>
      </c>
      <c r="B646" s="149" t="s">
        <v>1836</v>
      </c>
    </row>
    <row r="647" spans="1:2">
      <c r="A647" s="149" t="s">
        <v>1837</v>
      </c>
      <c r="B647" s="149" t="s">
        <v>1838</v>
      </c>
    </row>
    <row r="648" spans="1:2">
      <c r="A648" s="149" t="s">
        <v>1839</v>
      </c>
      <c r="B648" s="149" t="s">
        <v>1840</v>
      </c>
    </row>
    <row r="649" spans="1:2">
      <c r="A649" s="149" t="s">
        <v>1841</v>
      </c>
      <c r="B649" s="149" t="s">
        <v>1842</v>
      </c>
    </row>
    <row r="650" spans="1:2">
      <c r="A650" s="149" t="s">
        <v>1843</v>
      </c>
      <c r="B650" s="149" t="s">
        <v>1844</v>
      </c>
    </row>
    <row r="651" spans="1:2">
      <c r="A651" s="149" t="s">
        <v>1845</v>
      </c>
      <c r="B651" s="149" t="s">
        <v>1846</v>
      </c>
    </row>
    <row r="652" spans="1:2">
      <c r="A652" s="149" t="s">
        <v>1847</v>
      </c>
      <c r="B652" s="149" t="s">
        <v>1848</v>
      </c>
    </row>
    <row r="653" spans="1:2">
      <c r="A653" s="149" t="s">
        <v>1849</v>
      </c>
      <c r="B653" s="149" t="s">
        <v>1850</v>
      </c>
    </row>
    <row r="654" spans="1:2">
      <c r="A654" s="149" t="s">
        <v>1851</v>
      </c>
      <c r="B654" s="149" t="s">
        <v>1852</v>
      </c>
    </row>
    <row r="655" spans="1:2">
      <c r="A655" s="149" t="s">
        <v>1853</v>
      </c>
      <c r="B655" s="149" t="s">
        <v>1854</v>
      </c>
    </row>
    <row r="656" spans="1:2">
      <c r="A656" s="149" t="s">
        <v>1855</v>
      </c>
      <c r="B656" s="149" t="s">
        <v>1856</v>
      </c>
    </row>
    <row r="657" spans="1:2">
      <c r="A657" s="149" t="s">
        <v>1857</v>
      </c>
      <c r="B657" s="149" t="s">
        <v>1858</v>
      </c>
    </row>
    <row r="658" spans="1:2">
      <c r="A658" s="149" t="s">
        <v>1859</v>
      </c>
      <c r="B658" s="149" t="s">
        <v>1860</v>
      </c>
    </row>
    <row r="659" spans="1:2">
      <c r="A659" s="149" t="s">
        <v>1861</v>
      </c>
      <c r="B659" s="149" t="s">
        <v>1862</v>
      </c>
    </row>
    <row r="660" spans="1:2">
      <c r="A660" s="149" t="s">
        <v>1863</v>
      </c>
      <c r="B660" s="149" t="s">
        <v>1864</v>
      </c>
    </row>
    <row r="661" spans="1:2">
      <c r="A661" s="149" t="s">
        <v>1865</v>
      </c>
      <c r="B661" s="149" t="s">
        <v>1866</v>
      </c>
    </row>
    <row r="662" spans="1:2">
      <c r="A662" s="149" t="s">
        <v>1867</v>
      </c>
      <c r="B662" s="149" t="s">
        <v>1868</v>
      </c>
    </row>
    <row r="663" spans="1:2">
      <c r="A663" s="149" t="s">
        <v>1869</v>
      </c>
      <c r="B663" s="149" t="s">
        <v>1870</v>
      </c>
    </row>
    <row r="664" spans="1:2">
      <c r="A664" s="149" t="s">
        <v>1871</v>
      </c>
      <c r="B664" s="149" t="s">
        <v>1872</v>
      </c>
    </row>
    <row r="665" spans="1:2">
      <c r="A665" s="149" t="s">
        <v>1873</v>
      </c>
      <c r="B665" s="149" t="s">
        <v>1874</v>
      </c>
    </row>
    <row r="666" spans="1:2">
      <c r="A666" s="149" t="s">
        <v>1875</v>
      </c>
      <c r="B666" s="149" t="s">
        <v>1876</v>
      </c>
    </row>
    <row r="667" spans="1:2">
      <c r="A667" s="149" t="s">
        <v>1877</v>
      </c>
      <c r="B667" s="149" t="s">
        <v>1878</v>
      </c>
    </row>
    <row r="668" spans="1:2">
      <c r="A668" s="149" t="s">
        <v>1879</v>
      </c>
      <c r="B668" s="149" t="s">
        <v>1880</v>
      </c>
    </row>
    <row r="669" spans="1:2">
      <c r="A669" s="149" t="s">
        <v>1881</v>
      </c>
      <c r="B669" s="149" t="s">
        <v>1882</v>
      </c>
    </row>
    <row r="670" spans="1:2">
      <c r="A670" s="149" t="s">
        <v>1883</v>
      </c>
      <c r="B670" s="149" t="s">
        <v>1884</v>
      </c>
    </row>
    <row r="671" spans="1:2">
      <c r="A671" s="149" t="s">
        <v>1885</v>
      </c>
      <c r="B671" s="149" t="s">
        <v>1886</v>
      </c>
    </row>
    <row r="672" spans="1:2">
      <c r="A672" s="149" t="s">
        <v>1887</v>
      </c>
      <c r="B672" s="149" t="s">
        <v>1888</v>
      </c>
    </row>
    <row r="673" spans="1:2">
      <c r="A673" s="149" t="s">
        <v>1889</v>
      </c>
      <c r="B673" s="149" t="s">
        <v>1890</v>
      </c>
    </row>
    <row r="674" spans="1:2">
      <c r="A674" s="149" t="s">
        <v>1891</v>
      </c>
      <c r="B674" s="149" t="s">
        <v>1892</v>
      </c>
    </row>
    <row r="675" spans="1:2">
      <c r="A675" s="149" t="s">
        <v>1893</v>
      </c>
      <c r="B675" s="149" t="s">
        <v>1894</v>
      </c>
    </row>
    <row r="676" spans="1:2">
      <c r="A676" s="149" t="s">
        <v>1895</v>
      </c>
      <c r="B676" s="149" t="s">
        <v>1896</v>
      </c>
    </row>
    <row r="677" spans="1:2">
      <c r="A677" s="149" t="s">
        <v>1897</v>
      </c>
      <c r="B677" s="149" t="s">
        <v>1898</v>
      </c>
    </row>
    <row r="678" spans="1:2">
      <c r="A678" s="149" t="s">
        <v>1899</v>
      </c>
      <c r="B678" s="149" t="s">
        <v>1900</v>
      </c>
    </row>
    <row r="679" spans="1:2">
      <c r="A679" s="149" t="s">
        <v>1901</v>
      </c>
      <c r="B679" s="149" t="s">
        <v>1902</v>
      </c>
    </row>
    <row r="680" spans="1:2">
      <c r="A680" s="149" t="s">
        <v>1903</v>
      </c>
      <c r="B680" s="149" t="s">
        <v>1904</v>
      </c>
    </row>
    <row r="681" spans="1:2">
      <c r="A681" s="149" t="s">
        <v>1905</v>
      </c>
      <c r="B681" s="149" t="s">
        <v>1906</v>
      </c>
    </row>
    <row r="682" spans="1:2">
      <c r="A682" s="149" t="s">
        <v>1907</v>
      </c>
      <c r="B682" s="149" t="s">
        <v>1908</v>
      </c>
    </row>
    <row r="683" spans="1:2">
      <c r="A683" s="149" t="s">
        <v>1909</v>
      </c>
      <c r="B683" s="149" t="s">
        <v>1910</v>
      </c>
    </row>
    <row r="684" spans="1:2">
      <c r="A684" s="149" t="s">
        <v>1911</v>
      </c>
      <c r="B684" s="149" t="s">
        <v>1912</v>
      </c>
    </row>
    <row r="685" spans="1:2">
      <c r="A685" s="149" t="s">
        <v>1913</v>
      </c>
      <c r="B685" s="149" t="s">
        <v>1914</v>
      </c>
    </row>
    <row r="686" spans="1:2">
      <c r="A686" s="149" t="s">
        <v>1915</v>
      </c>
      <c r="B686" s="149" t="s">
        <v>1916</v>
      </c>
    </row>
    <row r="687" spans="1:2">
      <c r="A687" s="149" t="s">
        <v>1917</v>
      </c>
      <c r="B687" s="149" t="s">
        <v>1918</v>
      </c>
    </row>
    <row r="688" spans="1:2">
      <c r="A688" s="149" t="s">
        <v>1919</v>
      </c>
      <c r="B688" s="149" t="s">
        <v>1920</v>
      </c>
    </row>
    <row r="689" spans="1:2">
      <c r="A689" s="149" t="s">
        <v>1921</v>
      </c>
      <c r="B689" s="149" t="s">
        <v>1922</v>
      </c>
    </row>
    <row r="690" spans="1:2">
      <c r="A690" s="149" t="s">
        <v>1923</v>
      </c>
      <c r="B690" s="149" t="s">
        <v>1924</v>
      </c>
    </row>
    <row r="691" spans="1:2">
      <c r="A691" s="149" t="s">
        <v>1925</v>
      </c>
      <c r="B691" s="149" t="s">
        <v>1926</v>
      </c>
    </row>
    <row r="692" spans="1:2">
      <c r="A692" s="149" t="s">
        <v>1927</v>
      </c>
      <c r="B692" s="149" t="s">
        <v>1928</v>
      </c>
    </row>
    <row r="693" spans="1:2">
      <c r="A693" s="149" t="s">
        <v>1929</v>
      </c>
      <c r="B693" s="149" t="s">
        <v>1930</v>
      </c>
    </row>
    <row r="694" spans="1:2">
      <c r="A694" s="149" t="s">
        <v>1931</v>
      </c>
      <c r="B694" s="149" t="s">
        <v>1932</v>
      </c>
    </row>
    <row r="695" spans="1:2">
      <c r="A695" s="149" t="s">
        <v>1933</v>
      </c>
      <c r="B695" s="149" t="s">
        <v>1934</v>
      </c>
    </row>
    <row r="696" spans="1:2">
      <c r="A696" s="149" t="s">
        <v>1935</v>
      </c>
      <c r="B696" s="149" t="s">
        <v>1936</v>
      </c>
    </row>
    <row r="697" spans="1:2">
      <c r="A697" s="149" t="s">
        <v>1937</v>
      </c>
      <c r="B697" s="149" t="s">
        <v>1938</v>
      </c>
    </row>
    <row r="698" spans="1:2">
      <c r="A698" s="149" t="s">
        <v>1939</v>
      </c>
      <c r="B698" s="149" t="s">
        <v>1940</v>
      </c>
    </row>
    <row r="699" spans="1:2">
      <c r="A699" s="149" t="s">
        <v>1941</v>
      </c>
      <c r="B699" s="149" t="s">
        <v>1942</v>
      </c>
    </row>
    <row r="700" spans="1:2">
      <c r="A700" s="149" t="s">
        <v>1943</v>
      </c>
      <c r="B700" s="149" t="s">
        <v>1944</v>
      </c>
    </row>
    <row r="701" spans="1:2">
      <c r="A701" s="149" t="s">
        <v>1945</v>
      </c>
      <c r="B701" s="149" t="s">
        <v>1946</v>
      </c>
    </row>
    <row r="702" spans="1:2">
      <c r="A702" s="149" t="s">
        <v>1947</v>
      </c>
      <c r="B702" s="149" t="s">
        <v>1948</v>
      </c>
    </row>
    <row r="703" spans="1:2">
      <c r="A703" s="149" t="s">
        <v>1949</v>
      </c>
      <c r="B703" s="149" t="s">
        <v>1950</v>
      </c>
    </row>
    <row r="704" spans="1:2">
      <c r="A704" s="149" t="s">
        <v>1951</v>
      </c>
      <c r="B704" s="149" t="s">
        <v>1952</v>
      </c>
    </row>
    <row r="705" spans="1:2">
      <c r="A705" s="149" t="s">
        <v>1953</v>
      </c>
      <c r="B705" s="149" t="s">
        <v>1954</v>
      </c>
    </row>
    <row r="706" spans="1:2">
      <c r="A706" s="149" t="s">
        <v>1955</v>
      </c>
      <c r="B706" s="149" t="s">
        <v>1956</v>
      </c>
    </row>
    <row r="707" spans="1:2">
      <c r="A707" s="149" t="s">
        <v>1957</v>
      </c>
      <c r="B707" s="149" t="s">
        <v>1958</v>
      </c>
    </row>
    <row r="708" spans="1:2">
      <c r="A708" s="149" t="s">
        <v>1959</v>
      </c>
      <c r="B708" s="149" t="s">
        <v>1960</v>
      </c>
    </row>
    <row r="709" spans="1:2">
      <c r="A709" s="149" t="s">
        <v>1961</v>
      </c>
      <c r="B709" s="149" t="s">
        <v>1962</v>
      </c>
    </row>
    <row r="710" spans="1:2">
      <c r="A710" s="149" t="s">
        <v>1963</v>
      </c>
      <c r="B710" s="149" t="s">
        <v>1964</v>
      </c>
    </row>
    <row r="711" spans="1:2">
      <c r="A711" s="149" t="s">
        <v>1965</v>
      </c>
      <c r="B711" s="149" t="s">
        <v>1966</v>
      </c>
    </row>
    <row r="712" spans="1:2">
      <c r="A712" s="149" t="s">
        <v>1967</v>
      </c>
      <c r="B712" s="149" t="s">
        <v>1968</v>
      </c>
    </row>
    <row r="713" spans="1:2">
      <c r="A713" s="149" t="s">
        <v>1969</v>
      </c>
      <c r="B713" s="149" t="s">
        <v>1970</v>
      </c>
    </row>
    <row r="714" spans="1:2">
      <c r="A714" s="149" t="s">
        <v>1971</v>
      </c>
      <c r="B714" s="149" t="s">
        <v>1972</v>
      </c>
    </row>
    <row r="715" spans="1:2">
      <c r="A715" s="149" t="s">
        <v>1973</v>
      </c>
      <c r="B715" s="149" t="s">
        <v>1974</v>
      </c>
    </row>
    <row r="716" spans="1:2">
      <c r="A716" s="149" t="s">
        <v>1975</v>
      </c>
      <c r="B716" s="149" t="s">
        <v>1976</v>
      </c>
    </row>
    <row r="717" spans="1:2">
      <c r="A717" s="149" t="s">
        <v>1977</v>
      </c>
      <c r="B717" s="149" t="s">
        <v>1978</v>
      </c>
    </row>
    <row r="718" spans="1:2">
      <c r="A718" s="149" t="s">
        <v>1979</v>
      </c>
      <c r="B718" s="149" t="s">
        <v>1980</v>
      </c>
    </row>
    <row r="719" spans="1:2">
      <c r="A719" s="149" t="s">
        <v>1981</v>
      </c>
      <c r="B719" s="149" t="s">
        <v>1982</v>
      </c>
    </row>
    <row r="720" spans="1:2">
      <c r="A720" s="149" t="s">
        <v>1983</v>
      </c>
      <c r="B720" s="149" t="s">
        <v>1984</v>
      </c>
    </row>
    <row r="721" spans="1:2">
      <c r="A721" s="149" t="s">
        <v>1985</v>
      </c>
      <c r="B721" s="149" t="s">
        <v>1986</v>
      </c>
    </row>
    <row r="722" spans="1:2">
      <c r="A722" s="149" t="s">
        <v>1987</v>
      </c>
      <c r="B722" s="149" t="s">
        <v>1988</v>
      </c>
    </row>
    <row r="723" spans="1:2">
      <c r="A723" s="149" t="s">
        <v>1989</v>
      </c>
      <c r="B723" s="149" t="s">
        <v>1990</v>
      </c>
    </row>
    <row r="724" spans="1:2">
      <c r="A724" s="149" t="s">
        <v>1991</v>
      </c>
      <c r="B724" s="149" t="s">
        <v>1992</v>
      </c>
    </row>
    <row r="725" spans="1:2">
      <c r="A725" s="149" t="s">
        <v>1993</v>
      </c>
      <c r="B725" s="149" t="s">
        <v>1994</v>
      </c>
    </row>
    <row r="726" spans="1:2">
      <c r="A726" s="149" t="s">
        <v>1995</v>
      </c>
      <c r="B726" s="149" t="s">
        <v>1996</v>
      </c>
    </row>
    <row r="727" spans="1:2">
      <c r="A727" s="149" t="s">
        <v>1997</v>
      </c>
      <c r="B727" s="149" t="s">
        <v>1998</v>
      </c>
    </row>
    <row r="728" spans="1:2">
      <c r="A728" s="149" t="s">
        <v>1999</v>
      </c>
      <c r="B728" s="149" t="s">
        <v>2000</v>
      </c>
    </row>
    <row r="729" spans="1:2">
      <c r="A729" s="149" t="s">
        <v>2001</v>
      </c>
      <c r="B729" s="149" t="s">
        <v>2002</v>
      </c>
    </row>
    <row r="730" spans="1:2">
      <c r="A730" s="149" t="s">
        <v>2003</v>
      </c>
      <c r="B730" s="149" t="s">
        <v>2004</v>
      </c>
    </row>
    <row r="731" spans="1:2">
      <c r="A731" s="149" t="s">
        <v>2005</v>
      </c>
      <c r="B731" s="149" t="s">
        <v>2006</v>
      </c>
    </row>
    <row r="732" spans="1:2">
      <c r="A732" s="149" t="s">
        <v>2007</v>
      </c>
      <c r="B732" s="149" t="s">
        <v>2008</v>
      </c>
    </row>
    <row r="733" spans="1:2">
      <c r="A733" s="149" t="s">
        <v>2009</v>
      </c>
      <c r="B733" s="149" t="s">
        <v>2010</v>
      </c>
    </row>
    <row r="734" spans="1:2">
      <c r="A734" s="149" t="s">
        <v>2011</v>
      </c>
      <c r="B734" s="149" t="s">
        <v>2012</v>
      </c>
    </row>
    <row r="735" spans="1:2">
      <c r="A735" s="149" t="s">
        <v>2013</v>
      </c>
      <c r="B735" s="149" t="s">
        <v>2014</v>
      </c>
    </row>
    <row r="736" spans="1:2">
      <c r="A736" s="149" t="s">
        <v>2015</v>
      </c>
      <c r="B736" s="149" t="s">
        <v>2016</v>
      </c>
    </row>
    <row r="737" spans="1:2">
      <c r="A737" s="149" t="s">
        <v>2017</v>
      </c>
      <c r="B737" s="149" t="s">
        <v>2018</v>
      </c>
    </row>
    <row r="738" spans="1:2">
      <c r="A738" s="149" t="s">
        <v>2019</v>
      </c>
      <c r="B738" s="149" t="s">
        <v>2020</v>
      </c>
    </row>
    <row r="739" spans="1:2">
      <c r="A739" s="149" t="s">
        <v>2021</v>
      </c>
      <c r="B739" s="149" t="s">
        <v>2022</v>
      </c>
    </row>
    <row r="740" spans="1:2">
      <c r="A740" s="149" t="s">
        <v>2023</v>
      </c>
      <c r="B740" s="149" t="s">
        <v>2024</v>
      </c>
    </row>
    <row r="741" spans="1:2">
      <c r="A741" s="149" t="s">
        <v>2025</v>
      </c>
      <c r="B741" s="149" t="s">
        <v>2026</v>
      </c>
    </row>
    <row r="742" spans="1:2">
      <c r="A742" s="149" t="s">
        <v>2027</v>
      </c>
      <c r="B742" s="149" t="s">
        <v>2028</v>
      </c>
    </row>
    <row r="743" spans="1:2">
      <c r="A743" s="149" t="s">
        <v>2029</v>
      </c>
      <c r="B743" s="149" t="s">
        <v>2030</v>
      </c>
    </row>
    <row r="744" spans="1:2">
      <c r="A744" s="149" t="s">
        <v>2031</v>
      </c>
      <c r="B744" s="149" t="s">
        <v>2032</v>
      </c>
    </row>
    <row r="745" spans="1:2">
      <c r="A745" s="149" t="s">
        <v>2033</v>
      </c>
      <c r="B745" s="149" t="s">
        <v>2034</v>
      </c>
    </row>
    <row r="746" spans="1:2">
      <c r="A746" s="149" t="s">
        <v>2035</v>
      </c>
      <c r="B746" s="149" t="s">
        <v>2036</v>
      </c>
    </row>
    <row r="747" spans="1:2">
      <c r="A747" s="149" t="s">
        <v>2037</v>
      </c>
      <c r="B747" s="149" t="s">
        <v>2038</v>
      </c>
    </row>
    <row r="748" spans="1:2">
      <c r="A748" s="149" t="s">
        <v>2039</v>
      </c>
      <c r="B748" s="149" t="s">
        <v>2040</v>
      </c>
    </row>
    <row r="749" spans="1:2">
      <c r="A749" s="149" t="s">
        <v>2041</v>
      </c>
      <c r="B749" s="149" t="s">
        <v>2042</v>
      </c>
    </row>
    <row r="750" spans="1:2">
      <c r="A750" s="149" t="s">
        <v>2043</v>
      </c>
      <c r="B750" s="149" t="s">
        <v>2044</v>
      </c>
    </row>
    <row r="751" spans="1:2">
      <c r="A751" s="149" t="s">
        <v>2045</v>
      </c>
      <c r="B751" s="149" t="s">
        <v>2046</v>
      </c>
    </row>
    <row r="752" spans="1:2">
      <c r="A752" s="149" t="s">
        <v>2047</v>
      </c>
      <c r="B752" s="149" t="s">
        <v>2048</v>
      </c>
    </row>
    <row r="753" spans="1:2">
      <c r="A753" s="149" t="s">
        <v>2049</v>
      </c>
      <c r="B753" s="149" t="s">
        <v>2050</v>
      </c>
    </row>
    <row r="754" spans="1:2">
      <c r="A754" s="149" t="s">
        <v>2051</v>
      </c>
      <c r="B754" s="149" t="s">
        <v>2052</v>
      </c>
    </row>
    <row r="755" spans="1:2">
      <c r="A755" s="149" t="s">
        <v>2053</v>
      </c>
      <c r="B755" s="149" t="s">
        <v>2054</v>
      </c>
    </row>
    <row r="756" spans="1:2">
      <c r="A756" s="149" t="s">
        <v>2055</v>
      </c>
      <c r="B756" s="149" t="s">
        <v>2056</v>
      </c>
    </row>
    <row r="757" spans="1:2">
      <c r="A757" s="149" t="s">
        <v>2057</v>
      </c>
      <c r="B757" s="149" t="s">
        <v>2058</v>
      </c>
    </row>
    <row r="758" spans="1:2">
      <c r="A758" s="149" t="s">
        <v>2059</v>
      </c>
      <c r="B758" s="149" t="s">
        <v>2060</v>
      </c>
    </row>
    <row r="759" spans="1:2">
      <c r="A759" s="149" t="s">
        <v>2061</v>
      </c>
      <c r="B759" s="149" t="s">
        <v>2062</v>
      </c>
    </row>
    <row r="760" spans="1:2">
      <c r="A760" s="149" t="s">
        <v>2063</v>
      </c>
      <c r="B760" s="149" t="s">
        <v>2064</v>
      </c>
    </row>
    <row r="761" spans="1:2">
      <c r="A761" s="149" t="s">
        <v>2065</v>
      </c>
      <c r="B761" s="149" t="s">
        <v>2066</v>
      </c>
    </row>
    <row r="762" spans="1:2">
      <c r="A762" s="149" t="s">
        <v>2067</v>
      </c>
      <c r="B762" s="149" t="s">
        <v>2068</v>
      </c>
    </row>
    <row r="763" spans="1:2">
      <c r="A763" s="149" t="s">
        <v>2069</v>
      </c>
      <c r="B763" s="149" t="s">
        <v>2070</v>
      </c>
    </row>
    <row r="764" spans="1:2">
      <c r="A764" s="149" t="s">
        <v>2071</v>
      </c>
      <c r="B764" s="149" t="s">
        <v>2072</v>
      </c>
    </row>
    <row r="765" spans="1:2">
      <c r="A765" s="149" t="s">
        <v>2073</v>
      </c>
      <c r="B765" s="149" t="s">
        <v>2074</v>
      </c>
    </row>
    <row r="766" spans="1:2">
      <c r="A766" s="149" t="s">
        <v>2075</v>
      </c>
      <c r="B766" s="149" t="s">
        <v>2076</v>
      </c>
    </row>
    <row r="767" spans="1:2">
      <c r="A767" s="149" t="s">
        <v>2077</v>
      </c>
      <c r="B767" s="149" t="s">
        <v>2078</v>
      </c>
    </row>
    <row r="768" spans="1:2">
      <c r="A768" s="149" t="s">
        <v>2079</v>
      </c>
      <c r="B768" s="149" t="s">
        <v>2080</v>
      </c>
    </row>
    <row r="769" spans="1:2">
      <c r="A769" s="149" t="s">
        <v>2081</v>
      </c>
      <c r="B769" s="149" t="s">
        <v>2082</v>
      </c>
    </row>
    <row r="770" spans="1:2">
      <c r="A770" s="149" t="s">
        <v>2083</v>
      </c>
      <c r="B770" s="149" t="s">
        <v>2084</v>
      </c>
    </row>
    <row r="771" spans="1:2">
      <c r="A771" s="149" t="s">
        <v>2085</v>
      </c>
      <c r="B771" s="149" t="s">
        <v>2086</v>
      </c>
    </row>
    <row r="772" spans="1:2">
      <c r="A772" s="149" t="s">
        <v>2087</v>
      </c>
      <c r="B772" s="149" t="s">
        <v>2088</v>
      </c>
    </row>
    <row r="773" spans="1:2">
      <c r="A773" s="149" t="s">
        <v>2089</v>
      </c>
      <c r="B773" s="149" t="s">
        <v>2090</v>
      </c>
    </row>
    <row r="774" spans="1:2">
      <c r="A774" s="149" t="s">
        <v>2091</v>
      </c>
      <c r="B774" s="149" t="s">
        <v>2092</v>
      </c>
    </row>
    <row r="775" spans="1:2">
      <c r="A775" s="149" t="s">
        <v>2093</v>
      </c>
      <c r="B775" s="149" t="s">
        <v>2094</v>
      </c>
    </row>
    <row r="776" spans="1:2">
      <c r="A776" s="149" t="s">
        <v>2095</v>
      </c>
      <c r="B776" s="149" t="s">
        <v>2096</v>
      </c>
    </row>
    <row r="777" spans="1:2">
      <c r="A777" s="149" t="s">
        <v>2097</v>
      </c>
      <c r="B777" s="149" t="s">
        <v>2098</v>
      </c>
    </row>
    <row r="778" spans="1:2">
      <c r="A778" s="149" t="s">
        <v>2099</v>
      </c>
      <c r="B778" s="149" t="s">
        <v>2100</v>
      </c>
    </row>
    <row r="779" spans="1:2">
      <c r="A779" s="149" t="s">
        <v>2101</v>
      </c>
      <c r="B779" s="149" t="s">
        <v>2102</v>
      </c>
    </row>
    <row r="780" spans="1:2">
      <c r="A780" s="149" t="s">
        <v>2103</v>
      </c>
      <c r="B780" s="149" t="s">
        <v>2104</v>
      </c>
    </row>
    <row r="781" spans="1:2">
      <c r="A781" s="149" t="s">
        <v>2105</v>
      </c>
      <c r="B781" s="149" t="s">
        <v>2106</v>
      </c>
    </row>
    <row r="782" spans="1:2">
      <c r="A782" s="149" t="s">
        <v>2107</v>
      </c>
      <c r="B782" s="149" t="s">
        <v>2108</v>
      </c>
    </row>
    <row r="783" spans="1:2">
      <c r="A783" s="149" t="s">
        <v>2109</v>
      </c>
      <c r="B783" s="149" t="s">
        <v>2110</v>
      </c>
    </row>
    <row r="784" spans="1:2">
      <c r="A784" s="149" t="s">
        <v>2111</v>
      </c>
      <c r="B784" s="149" t="s">
        <v>2112</v>
      </c>
    </row>
    <row r="785" spans="1:2">
      <c r="A785" s="149" t="s">
        <v>2113</v>
      </c>
      <c r="B785" s="149" t="s">
        <v>2114</v>
      </c>
    </row>
    <row r="786" spans="1:2">
      <c r="A786" s="149" t="s">
        <v>2115</v>
      </c>
      <c r="B786" s="149" t="s">
        <v>2116</v>
      </c>
    </row>
    <row r="787" spans="1:2">
      <c r="A787" s="149" t="s">
        <v>2117</v>
      </c>
      <c r="B787" s="149" t="s">
        <v>2118</v>
      </c>
    </row>
    <row r="788" spans="1:2">
      <c r="A788" s="149" t="s">
        <v>2119</v>
      </c>
      <c r="B788" s="149" t="s">
        <v>2120</v>
      </c>
    </row>
    <row r="789" spans="1:2">
      <c r="A789" s="149" t="s">
        <v>2121</v>
      </c>
      <c r="B789" s="149" t="s">
        <v>2122</v>
      </c>
    </row>
    <row r="790" spans="1:2">
      <c r="A790" s="149" t="s">
        <v>2123</v>
      </c>
      <c r="B790" s="149" t="s">
        <v>2124</v>
      </c>
    </row>
    <row r="791" spans="1:2">
      <c r="A791" s="149" t="s">
        <v>2125</v>
      </c>
      <c r="B791" s="149" t="s">
        <v>2126</v>
      </c>
    </row>
    <row r="792" spans="1:2">
      <c r="A792" s="149" t="s">
        <v>2127</v>
      </c>
      <c r="B792" s="149" t="s">
        <v>2128</v>
      </c>
    </row>
    <row r="793" spans="1:2">
      <c r="A793" s="149" t="s">
        <v>2129</v>
      </c>
      <c r="B793" s="149" t="s">
        <v>2130</v>
      </c>
    </row>
    <row r="794" spans="1:2">
      <c r="A794" s="149" t="s">
        <v>2131</v>
      </c>
      <c r="B794" s="149" t="s">
        <v>2132</v>
      </c>
    </row>
    <row r="795" spans="1:2">
      <c r="A795" s="149" t="s">
        <v>2133</v>
      </c>
      <c r="B795" s="149" t="s">
        <v>2134</v>
      </c>
    </row>
    <row r="796" spans="1:2">
      <c r="A796" s="149" t="s">
        <v>2135</v>
      </c>
      <c r="B796" s="149" t="s">
        <v>2136</v>
      </c>
    </row>
    <row r="797" spans="1:2">
      <c r="A797" s="149" t="s">
        <v>2137</v>
      </c>
      <c r="B797" s="149" t="s">
        <v>2138</v>
      </c>
    </row>
    <row r="798" spans="1:2">
      <c r="A798" s="149" t="s">
        <v>2139</v>
      </c>
      <c r="B798" s="149" t="s">
        <v>2140</v>
      </c>
    </row>
    <row r="799" spans="1:2">
      <c r="A799" s="149" t="s">
        <v>2141</v>
      </c>
      <c r="B799" s="149" t="s">
        <v>2142</v>
      </c>
    </row>
    <row r="800" spans="1:2">
      <c r="A800" s="149" t="s">
        <v>2143</v>
      </c>
      <c r="B800" s="149" t="s">
        <v>2144</v>
      </c>
    </row>
    <row r="801" spans="1:2">
      <c r="A801" s="149" t="s">
        <v>2145</v>
      </c>
      <c r="B801" s="149" t="s">
        <v>2146</v>
      </c>
    </row>
    <row r="802" spans="1:2">
      <c r="A802" s="149" t="s">
        <v>2147</v>
      </c>
      <c r="B802" s="149" t="s">
        <v>2148</v>
      </c>
    </row>
    <row r="803" spans="1:2">
      <c r="A803" s="149" t="s">
        <v>2149</v>
      </c>
      <c r="B803" s="149" t="s">
        <v>2150</v>
      </c>
    </row>
    <row r="804" spans="1:2">
      <c r="A804" s="149" t="s">
        <v>2151</v>
      </c>
      <c r="B804" s="149" t="s">
        <v>2152</v>
      </c>
    </row>
    <row r="805" spans="1:2">
      <c r="A805" s="149" t="s">
        <v>2153</v>
      </c>
      <c r="B805" s="149" t="s">
        <v>2154</v>
      </c>
    </row>
    <row r="806" spans="1:2">
      <c r="A806" s="149" t="s">
        <v>2155</v>
      </c>
      <c r="B806" s="149" t="s">
        <v>2156</v>
      </c>
    </row>
    <row r="807" spans="1:2">
      <c r="A807" s="149" t="s">
        <v>2157</v>
      </c>
      <c r="B807" s="149" t="s">
        <v>2158</v>
      </c>
    </row>
    <row r="808" spans="1:2">
      <c r="A808" s="149" t="s">
        <v>2159</v>
      </c>
      <c r="B808" s="149" t="s">
        <v>2160</v>
      </c>
    </row>
    <row r="809" spans="1:2">
      <c r="A809" s="149" t="s">
        <v>2161</v>
      </c>
      <c r="B809" s="149" t="s">
        <v>2162</v>
      </c>
    </row>
    <row r="810" spans="1:2">
      <c r="A810" s="149" t="s">
        <v>2163</v>
      </c>
      <c r="B810" s="149" t="s">
        <v>2164</v>
      </c>
    </row>
    <row r="811" spans="1:2">
      <c r="A811" s="149" t="s">
        <v>2165</v>
      </c>
      <c r="B811" s="149" t="s">
        <v>2166</v>
      </c>
    </row>
    <row r="812" spans="1:2">
      <c r="A812" s="149" t="s">
        <v>2167</v>
      </c>
      <c r="B812" s="149" t="s">
        <v>2168</v>
      </c>
    </row>
    <row r="813" spans="1:2">
      <c r="A813" s="149" t="s">
        <v>2169</v>
      </c>
      <c r="B813" s="149" t="s">
        <v>2170</v>
      </c>
    </row>
    <row r="814" spans="1:2">
      <c r="A814" s="149" t="s">
        <v>2171</v>
      </c>
      <c r="B814" s="149" t="s">
        <v>2172</v>
      </c>
    </row>
    <row r="815" spans="1:2">
      <c r="A815" s="149" t="s">
        <v>2173</v>
      </c>
      <c r="B815" s="149" t="s">
        <v>2174</v>
      </c>
    </row>
    <row r="816" spans="1:2">
      <c r="A816" s="149" t="s">
        <v>2175</v>
      </c>
      <c r="B816" s="149" t="s">
        <v>2176</v>
      </c>
    </row>
    <row r="817" spans="1:2">
      <c r="A817" s="149" t="s">
        <v>2177</v>
      </c>
      <c r="B817" s="149" t="s">
        <v>2178</v>
      </c>
    </row>
    <row r="818" spans="1:2">
      <c r="A818" s="149" t="s">
        <v>2179</v>
      </c>
      <c r="B818" s="149" t="s">
        <v>2180</v>
      </c>
    </row>
    <row r="819" spans="1:2">
      <c r="A819" s="149" t="s">
        <v>2181</v>
      </c>
      <c r="B819" s="149" t="s">
        <v>2182</v>
      </c>
    </row>
    <row r="820" spans="1:2">
      <c r="A820" s="149" t="s">
        <v>2183</v>
      </c>
      <c r="B820" s="149" t="s">
        <v>2184</v>
      </c>
    </row>
    <row r="821" spans="1:2">
      <c r="A821" s="149" t="s">
        <v>2185</v>
      </c>
      <c r="B821" s="149" t="s">
        <v>2186</v>
      </c>
    </row>
    <row r="822" spans="1:2">
      <c r="A822" s="149" t="s">
        <v>2187</v>
      </c>
      <c r="B822" s="149" t="s">
        <v>2188</v>
      </c>
    </row>
    <row r="823" spans="1:2">
      <c r="A823" s="149" t="s">
        <v>2189</v>
      </c>
      <c r="B823" s="149" t="s">
        <v>2190</v>
      </c>
    </row>
    <row r="824" spans="1:2">
      <c r="A824" s="149" t="s">
        <v>2191</v>
      </c>
      <c r="B824" s="149" t="s">
        <v>2192</v>
      </c>
    </row>
    <row r="825" spans="1:2">
      <c r="A825" s="149" t="s">
        <v>2193</v>
      </c>
      <c r="B825" s="149" t="s">
        <v>2194</v>
      </c>
    </row>
    <row r="826" spans="1:2">
      <c r="A826" s="149" t="s">
        <v>2195</v>
      </c>
      <c r="B826" s="149" t="s">
        <v>2196</v>
      </c>
    </row>
    <row r="827" spans="1:2">
      <c r="A827" s="149" t="s">
        <v>2197</v>
      </c>
      <c r="B827" s="149" t="s">
        <v>2198</v>
      </c>
    </row>
    <row r="828" spans="1:2">
      <c r="A828" s="149" t="s">
        <v>2199</v>
      </c>
      <c r="B828" s="149" t="s">
        <v>2200</v>
      </c>
    </row>
    <row r="829" spans="1:2">
      <c r="A829" s="149" t="s">
        <v>2201</v>
      </c>
      <c r="B829" s="149" t="s">
        <v>2202</v>
      </c>
    </row>
    <row r="830" spans="1:2">
      <c r="A830" s="149" t="s">
        <v>2203</v>
      </c>
      <c r="B830" s="149" t="s">
        <v>2204</v>
      </c>
    </row>
    <row r="831" spans="1:2">
      <c r="A831" s="149" t="s">
        <v>2205</v>
      </c>
      <c r="B831" s="149" t="s">
        <v>2206</v>
      </c>
    </row>
    <row r="832" spans="1:2">
      <c r="A832" s="149" t="s">
        <v>2207</v>
      </c>
      <c r="B832" s="149" t="s">
        <v>2208</v>
      </c>
    </row>
    <row r="833" spans="1:2">
      <c r="A833" s="149" t="s">
        <v>2209</v>
      </c>
      <c r="B833" s="149" t="s">
        <v>2210</v>
      </c>
    </row>
    <row r="834" spans="1:2">
      <c r="A834" s="149" t="s">
        <v>2211</v>
      </c>
      <c r="B834" s="149" t="s">
        <v>2212</v>
      </c>
    </row>
    <row r="835" spans="1:2">
      <c r="A835" s="149" t="s">
        <v>2213</v>
      </c>
      <c r="B835" s="149" t="s">
        <v>2214</v>
      </c>
    </row>
    <row r="836" spans="1:2">
      <c r="A836" s="149" t="s">
        <v>2215</v>
      </c>
      <c r="B836" s="149" t="s">
        <v>2216</v>
      </c>
    </row>
    <row r="837" spans="1:2">
      <c r="A837" s="149" t="s">
        <v>2217</v>
      </c>
      <c r="B837" s="149" t="s">
        <v>2218</v>
      </c>
    </row>
    <row r="838" spans="1:2">
      <c r="A838" s="149" t="s">
        <v>2219</v>
      </c>
      <c r="B838" s="149" t="s">
        <v>2220</v>
      </c>
    </row>
    <row r="839" spans="1:2">
      <c r="A839" s="149" t="s">
        <v>2221</v>
      </c>
      <c r="B839" s="149" t="s">
        <v>2222</v>
      </c>
    </row>
    <row r="840" spans="1:2">
      <c r="A840" s="149" t="s">
        <v>2223</v>
      </c>
      <c r="B840" s="149" t="s">
        <v>2224</v>
      </c>
    </row>
    <row r="841" spans="1:2">
      <c r="A841" s="149" t="s">
        <v>2225</v>
      </c>
      <c r="B841" s="149" t="s">
        <v>2226</v>
      </c>
    </row>
    <row r="842" spans="1:2">
      <c r="A842" s="149" t="s">
        <v>2227</v>
      </c>
      <c r="B842" s="149" t="s">
        <v>2228</v>
      </c>
    </row>
    <row r="843" spans="1:2">
      <c r="A843" s="149" t="s">
        <v>156</v>
      </c>
      <c r="B843" s="149" t="s">
        <v>2229</v>
      </c>
    </row>
    <row r="844" spans="1:2">
      <c r="A844" s="149" t="s">
        <v>2230</v>
      </c>
      <c r="B844" s="149" t="s">
        <v>2231</v>
      </c>
    </row>
    <row r="845" spans="1:2">
      <c r="A845" s="149" t="s">
        <v>2232</v>
      </c>
      <c r="B845" s="149" t="s">
        <v>2233</v>
      </c>
    </row>
    <row r="846" spans="1:2">
      <c r="A846" s="149" t="s">
        <v>2234</v>
      </c>
      <c r="B846" s="149" t="s">
        <v>2235</v>
      </c>
    </row>
    <row r="847" spans="1:2">
      <c r="A847" s="149" t="s">
        <v>2236</v>
      </c>
      <c r="B847" s="149" t="s">
        <v>2237</v>
      </c>
    </row>
    <row r="848" spans="1:2">
      <c r="A848" s="149" t="s">
        <v>2238</v>
      </c>
      <c r="B848" s="149" t="s">
        <v>2239</v>
      </c>
    </row>
    <row r="849" spans="1:2">
      <c r="A849" s="149" t="s">
        <v>2240</v>
      </c>
      <c r="B849" s="149" t="s">
        <v>2241</v>
      </c>
    </row>
    <row r="850" spans="1:2">
      <c r="A850" s="149" t="s">
        <v>2242</v>
      </c>
      <c r="B850" s="149" t="s">
        <v>2243</v>
      </c>
    </row>
    <row r="851" spans="1:2">
      <c r="A851" s="149" t="s">
        <v>2244</v>
      </c>
      <c r="B851" s="149" t="s">
        <v>2245</v>
      </c>
    </row>
    <row r="852" spans="1:2">
      <c r="A852" s="149" t="s">
        <v>2246</v>
      </c>
      <c r="B852" s="149" t="s">
        <v>2247</v>
      </c>
    </row>
    <row r="853" spans="1:2">
      <c r="A853" s="149" t="s">
        <v>2248</v>
      </c>
      <c r="B853" s="149" t="s">
        <v>2249</v>
      </c>
    </row>
    <row r="854" spans="1:2">
      <c r="A854" s="149" t="s">
        <v>2250</v>
      </c>
      <c r="B854" s="149" t="s">
        <v>2251</v>
      </c>
    </row>
    <row r="855" spans="1:2">
      <c r="A855" s="149" t="s">
        <v>2252</v>
      </c>
      <c r="B855" s="149" t="s">
        <v>2253</v>
      </c>
    </row>
    <row r="856" spans="1:2">
      <c r="A856" s="149" t="s">
        <v>2254</v>
      </c>
      <c r="B856" s="149" t="s">
        <v>2255</v>
      </c>
    </row>
    <row r="857" spans="1:2">
      <c r="A857" s="149" t="s">
        <v>2256</v>
      </c>
      <c r="B857" s="149" t="s">
        <v>2257</v>
      </c>
    </row>
    <row r="858" spans="1:2">
      <c r="A858" s="149" t="s">
        <v>2258</v>
      </c>
      <c r="B858" s="149" t="s">
        <v>2259</v>
      </c>
    </row>
    <row r="859" spans="1:2">
      <c r="A859" s="149" t="s">
        <v>2260</v>
      </c>
      <c r="B859" s="149" t="s">
        <v>2261</v>
      </c>
    </row>
    <row r="860" spans="1:2">
      <c r="A860" s="149" t="s">
        <v>2262</v>
      </c>
      <c r="B860" s="149" t="s">
        <v>2263</v>
      </c>
    </row>
    <row r="861" spans="1:2">
      <c r="A861" s="149" t="s">
        <v>2264</v>
      </c>
      <c r="B861" s="149" t="s">
        <v>2265</v>
      </c>
    </row>
    <row r="862" spans="1:2">
      <c r="A862" s="149" t="s">
        <v>2266</v>
      </c>
      <c r="B862" s="149" t="s">
        <v>2267</v>
      </c>
    </row>
    <row r="863" spans="1:2">
      <c r="A863" s="149" t="s">
        <v>2268</v>
      </c>
      <c r="B863" s="149" t="s">
        <v>2269</v>
      </c>
    </row>
    <row r="864" spans="1:2">
      <c r="A864" s="149" t="s">
        <v>2270</v>
      </c>
      <c r="B864" s="149" t="s">
        <v>2271</v>
      </c>
    </row>
    <row r="865" spans="1:2">
      <c r="A865" s="149" t="s">
        <v>2272</v>
      </c>
      <c r="B865" s="149" t="s">
        <v>2273</v>
      </c>
    </row>
    <row r="866" spans="1:2">
      <c r="A866" s="149" t="s">
        <v>2274</v>
      </c>
      <c r="B866" s="149" t="s">
        <v>2275</v>
      </c>
    </row>
    <row r="867" spans="1:2">
      <c r="A867" s="149" t="s">
        <v>2276</v>
      </c>
      <c r="B867" s="149" t="s">
        <v>2277</v>
      </c>
    </row>
    <row r="868" spans="1:2">
      <c r="A868" s="149" t="s">
        <v>2278</v>
      </c>
      <c r="B868" s="149" t="s">
        <v>2279</v>
      </c>
    </row>
    <row r="869" spans="1:2">
      <c r="A869" s="149" t="s">
        <v>2280</v>
      </c>
      <c r="B869" s="149" t="s">
        <v>2281</v>
      </c>
    </row>
    <row r="870" spans="1:2">
      <c r="A870" s="149" t="s">
        <v>2282</v>
      </c>
      <c r="B870" s="149" t="s">
        <v>2283</v>
      </c>
    </row>
    <row r="871" spans="1:2">
      <c r="A871" s="149" t="s">
        <v>2284</v>
      </c>
      <c r="B871" s="149" t="s">
        <v>2285</v>
      </c>
    </row>
    <row r="872" spans="1:2">
      <c r="A872" s="149" t="s">
        <v>2286</v>
      </c>
      <c r="B872" s="149" t="s">
        <v>377</v>
      </c>
    </row>
    <row r="873" spans="1:2">
      <c r="A873" s="149" t="s">
        <v>2287</v>
      </c>
      <c r="B873" s="149" t="s">
        <v>2288</v>
      </c>
    </row>
    <row r="874" spans="1:2">
      <c r="A874" s="149" t="s">
        <v>2289</v>
      </c>
      <c r="B874" s="149" t="s">
        <v>2290</v>
      </c>
    </row>
    <row r="875" spans="1:2">
      <c r="A875" s="149" t="s">
        <v>2291</v>
      </c>
      <c r="B875" s="149" t="s">
        <v>2292</v>
      </c>
    </row>
    <row r="876" spans="1:2">
      <c r="A876" s="149" t="s">
        <v>2293</v>
      </c>
      <c r="B876" s="149" t="s">
        <v>2294</v>
      </c>
    </row>
    <row r="877" spans="1:2">
      <c r="A877" s="149" t="s">
        <v>2295</v>
      </c>
      <c r="B877" s="149" t="s">
        <v>2296</v>
      </c>
    </row>
    <row r="878" spans="1:2">
      <c r="A878" s="149" t="s">
        <v>2297</v>
      </c>
      <c r="B878" s="149" t="s">
        <v>2298</v>
      </c>
    </row>
    <row r="879" spans="1:2">
      <c r="A879" s="149" t="s">
        <v>2299</v>
      </c>
      <c r="B879" s="149" t="s">
        <v>2300</v>
      </c>
    </row>
    <row r="880" spans="1:2">
      <c r="A880" s="149" t="s">
        <v>2301</v>
      </c>
      <c r="B880" s="149" t="s">
        <v>2302</v>
      </c>
    </row>
    <row r="881" spans="1:2">
      <c r="A881" s="149" t="s">
        <v>2303</v>
      </c>
      <c r="B881" s="149" t="s">
        <v>2304</v>
      </c>
    </row>
    <row r="882" spans="1:2">
      <c r="A882" s="149" t="s">
        <v>2305</v>
      </c>
      <c r="B882" s="149" t="s">
        <v>2306</v>
      </c>
    </row>
    <row r="883" spans="1:2">
      <c r="A883" s="149" t="s">
        <v>2307</v>
      </c>
      <c r="B883" s="149" t="s">
        <v>2308</v>
      </c>
    </row>
    <row r="884" spans="1:2">
      <c r="A884" s="149" t="s">
        <v>2309</v>
      </c>
      <c r="B884" s="149" t="s">
        <v>2310</v>
      </c>
    </row>
    <row r="885" spans="1:2">
      <c r="A885" s="149" t="s">
        <v>2311</v>
      </c>
      <c r="B885" s="149" t="s">
        <v>2312</v>
      </c>
    </row>
    <row r="886" spans="1:2">
      <c r="A886" s="149" t="s">
        <v>2313</v>
      </c>
      <c r="B886" s="149" t="s">
        <v>2314</v>
      </c>
    </row>
    <row r="887" spans="1:2">
      <c r="A887" s="149" t="s">
        <v>2315</v>
      </c>
      <c r="B887" s="149" t="s">
        <v>2316</v>
      </c>
    </row>
    <row r="888" spans="1:2">
      <c r="A888" s="149" t="s">
        <v>2317</v>
      </c>
      <c r="B888" s="149" t="s">
        <v>2318</v>
      </c>
    </row>
    <row r="889" spans="1:2">
      <c r="A889" s="149" t="s">
        <v>2319</v>
      </c>
      <c r="B889" s="149" t="s">
        <v>2320</v>
      </c>
    </row>
    <row r="890" spans="1:2">
      <c r="A890" s="149" t="s">
        <v>2321</v>
      </c>
      <c r="B890" s="149" t="s">
        <v>2322</v>
      </c>
    </row>
    <row r="891" spans="1:2">
      <c r="A891" s="149" t="s">
        <v>2323</v>
      </c>
      <c r="B891" s="149" t="s">
        <v>2324</v>
      </c>
    </row>
    <row r="892" spans="1:2">
      <c r="A892" s="149" t="s">
        <v>2325</v>
      </c>
      <c r="B892" s="149" t="s">
        <v>2326</v>
      </c>
    </row>
    <row r="893" spans="1:2">
      <c r="A893" s="149" t="s">
        <v>2327</v>
      </c>
      <c r="B893" s="149" t="s">
        <v>2328</v>
      </c>
    </row>
    <row r="894" spans="1:2">
      <c r="A894" s="149" t="s">
        <v>2329</v>
      </c>
      <c r="B894" s="149" t="s">
        <v>2330</v>
      </c>
    </row>
    <row r="895" spans="1:2">
      <c r="A895" s="149" t="s">
        <v>2331</v>
      </c>
      <c r="B895" s="149" t="s">
        <v>2332</v>
      </c>
    </row>
    <row r="896" spans="1:2">
      <c r="A896" s="149" t="s">
        <v>2333</v>
      </c>
      <c r="B896" s="149" t="s">
        <v>2334</v>
      </c>
    </row>
    <row r="897" spans="1:2">
      <c r="A897" s="149" t="s">
        <v>2335</v>
      </c>
      <c r="B897" s="149" t="s">
        <v>2336</v>
      </c>
    </row>
    <row r="898" spans="1:2">
      <c r="A898" s="149" t="s">
        <v>2337</v>
      </c>
      <c r="B898" s="149" t="s">
        <v>2338</v>
      </c>
    </row>
    <row r="899" spans="1:2">
      <c r="A899" s="149" t="s">
        <v>2339</v>
      </c>
      <c r="B899" s="149" t="s">
        <v>2340</v>
      </c>
    </row>
    <row r="900" spans="1:2">
      <c r="A900" s="149" t="s">
        <v>2341</v>
      </c>
      <c r="B900" s="149" t="s">
        <v>2342</v>
      </c>
    </row>
    <row r="901" spans="1:2">
      <c r="A901" s="149" t="s">
        <v>2343</v>
      </c>
      <c r="B901" s="149" t="s">
        <v>2344</v>
      </c>
    </row>
    <row r="902" spans="1:2">
      <c r="A902" s="149" t="s">
        <v>2345</v>
      </c>
      <c r="B902" s="149" t="s">
        <v>2346</v>
      </c>
    </row>
    <row r="903" spans="1:2">
      <c r="A903" s="149" t="s">
        <v>2347</v>
      </c>
      <c r="B903" s="149" t="s">
        <v>2348</v>
      </c>
    </row>
    <row r="904" spans="1:2">
      <c r="A904" s="149" t="s">
        <v>2349</v>
      </c>
      <c r="B904" s="149" t="s">
        <v>2350</v>
      </c>
    </row>
    <row r="905" spans="1:2">
      <c r="A905" s="149" t="s">
        <v>2351</v>
      </c>
      <c r="B905" s="149" t="s">
        <v>2352</v>
      </c>
    </row>
    <row r="906" spans="1:2">
      <c r="A906" s="149" t="s">
        <v>2353</v>
      </c>
      <c r="B906" s="149" t="s">
        <v>2354</v>
      </c>
    </row>
    <row r="907" spans="1:2">
      <c r="A907" s="149" t="s">
        <v>2355</v>
      </c>
      <c r="B907" s="149" t="s">
        <v>2356</v>
      </c>
    </row>
    <row r="908" spans="1:2">
      <c r="A908" s="149" t="s">
        <v>2357</v>
      </c>
      <c r="B908" s="149" t="s">
        <v>2358</v>
      </c>
    </row>
    <row r="909" spans="1:2">
      <c r="A909" s="149" t="s">
        <v>2359</v>
      </c>
      <c r="B909" s="149" t="s">
        <v>2360</v>
      </c>
    </row>
    <row r="910" spans="1:2">
      <c r="A910" s="149" t="s">
        <v>2361</v>
      </c>
      <c r="B910" s="149" t="s">
        <v>2362</v>
      </c>
    </row>
    <row r="911" spans="1:2">
      <c r="A911" s="149" t="s">
        <v>2363</v>
      </c>
      <c r="B911" s="149" t="s">
        <v>2364</v>
      </c>
    </row>
    <row r="912" spans="1:2">
      <c r="A912" s="149" t="s">
        <v>2365</v>
      </c>
      <c r="B912" s="149" t="s">
        <v>2366</v>
      </c>
    </row>
    <row r="913" spans="1:2">
      <c r="A913" s="149" t="s">
        <v>2367</v>
      </c>
      <c r="B913" s="149" t="s">
        <v>2368</v>
      </c>
    </row>
    <row r="914" spans="1:2">
      <c r="A914" s="149" t="s">
        <v>2369</v>
      </c>
      <c r="B914" s="149" t="s">
        <v>2370</v>
      </c>
    </row>
    <row r="915" spans="1:2">
      <c r="A915" s="149" t="s">
        <v>2371</v>
      </c>
      <c r="B915" s="149" t="s">
        <v>2372</v>
      </c>
    </row>
    <row r="916" spans="1:2">
      <c r="A916" s="149" t="s">
        <v>2373</v>
      </c>
      <c r="B916" s="149" t="s">
        <v>2374</v>
      </c>
    </row>
    <row r="917" spans="1:2">
      <c r="A917" s="149" t="s">
        <v>2375</v>
      </c>
      <c r="B917" s="149" t="s">
        <v>2376</v>
      </c>
    </row>
    <row r="918" spans="1:2">
      <c r="A918" s="149" t="s">
        <v>2377</v>
      </c>
      <c r="B918" s="149" t="s">
        <v>2378</v>
      </c>
    </row>
    <row r="919" spans="1:2">
      <c r="A919" s="149" t="s">
        <v>2379</v>
      </c>
      <c r="B919" s="149" t="s">
        <v>2380</v>
      </c>
    </row>
    <row r="920" spans="1:2">
      <c r="A920" s="149" t="s">
        <v>2381</v>
      </c>
      <c r="B920" s="149" t="s">
        <v>2382</v>
      </c>
    </row>
    <row r="921" spans="1:2">
      <c r="A921" s="149" t="s">
        <v>2383</v>
      </c>
      <c r="B921" s="149" t="s">
        <v>2384</v>
      </c>
    </row>
    <row r="922" spans="1:2">
      <c r="A922" s="149" t="s">
        <v>2385</v>
      </c>
      <c r="B922" s="149" t="s">
        <v>2386</v>
      </c>
    </row>
    <row r="923" spans="1:2">
      <c r="A923" s="149" t="s">
        <v>2387</v>
      </c>
      <c r="B923" s="149" t="s">
        <v>2388</v>
      </c>
    </row>
    <row r="924" spans="1:2">
      <c r="A924" s="149" t="s">
        <v>2389</v>
      </c>
      <c r="B924" s="149" t="s">
        <v>2390</v>
      </c>
    </row>
    <row r="925" spans="1:2">
      <c r="A925" s="149" t="s">
        <v>2391</v>
      </c>
      <c r="B925" s="149" t="s">
        <v>2392</v>
      </c>
    </row>
    <row r="926" spans="1:2">
      <c r="A926" s="149" t="s">
        <v>2393</v>
      </c>
      <c r="B926" s="149" t="s">
        <v>2394</v>
      </c>
    </row>
    <row r="927" spans="1:2">
      <c r="A927" s="149" t="s">
        <v>2395</v>
      </c>
      <c r="B927" s="149" t="s">
        <v>2396</v>
      </c>
    </row>
    <row r="928" spans="1:2">
      <c r="A928" s="149" t="s">
        <v>2397</v>
      </c>
      <c r="B928" s="149" t="s">
        <v>2398</v>
      </c>
    </row>
    <row r="929" spans="1:2">
      <c r="A929" s="149" t="s">
        <v>2399</v>
      </c>
      <c r="B929" s="149" t="s">
        <v>2400</v>
      </c>
    </row>
    <row r="930" spans="1:2">
      <c r="A930" s="149" t="s">
        <v>2401</v>
      </c>
      <c r="B930" s="149" t="s">
        <v>2402</v>
      </c>
    </row>
    <row r="931" spans="1:2">
      <c r="A931" s="149" t="s">
        <v>2403</v>
      </c>
      <c r="B931" s="149" t="s">
        <v>2404</v>
      </c>
    </row>
    <row r="932" spans="1:2">
      <c r="A932" s="149" t="s">
        <v>2405</v>
      </c>
      <c r="B932" s="149" t="s">
        <v>2406</v>
      </c>
    </row>
    <row r="933" spans="1:2">
      <c r="A933" s="149" t="s">
        <v>2407</v>
      </c>
      <c r="B933" s="149" t="s">
        <v>2408</v>
      </c>
    </row>
    <row r="934" spans="1:2">
      <c r="A934" s="149" t="s">
        <v>2409</v>
      </c>
      <c r="B934" s="149" t="s">
        <v>2410</v>
      </c>
    </row>
    <row r="935" spans="1:2">
      <c r="A935" s="149" t="s">
        <v>2411</v>
      </c>
      <c r="B935" s="149" t="s">
        <v>2412</v>
      </c>
    </row>
    <row r="936" spans="1:2">
      <c r="A936" s="149" t="s">
        <v>2413</v>
      </c>
      <c r="B936" s="149" t="s">
        <v>2414</v>
      </c>
    </row>
    <row r="937" spans="1:2">
      <c r="A937" s="149" t="s">
        <v>2415</v>
      </c>
      <c r="B937" s="149" t="s">
        <v>2416</v>
      </c>
    </row>
    <row r="938" spans="1:2">
      <c r="A938" s="149" t="s">
        <v>2417</v>
      </c>
      <c r="B938" s="149" t="s">
        <v>2418</v>
      </c>
    </row>
    <row r="939" spans="1:2">
      <c r="A939" s="149" t="s">
        <v>2419</v>
      </c>
      <c r="B939" s="149" t="s">
        <v>2420</v>
      </c>
    </row>
    <row r="940" spans="1:2">
      <c r="A940" s="149" t="s">
        <v>2421</v>
      </c>
      <c r="B940" s="149" t="s">
        <v>2422</v>
      </c>
    </row>
    <row r="941" spans="1:2">
      <c r="A941" s="149" t="s">
        <v>2423</v>
      </c>
      <c r="B941" s="149" t="s">
        <v>2424</v>
      </c>
    </row>
    <row r="942" spans="1:2">
      <c r="A942" s="149" t="s">
        <v>2425</v>
      </c>
      <c r="B942" s="149" t="s">
        <v>2426</v>
      </c>
    </row>
    <row r="943" spans="1:2">
      <c r="A943" s="149" t="s">
        <v>2427</v>
      </c>
      <c r="B943" s="149" t="s">
        <v>2428</v>
      </c>
    </row>
    <row r="944" spans="1:2">
      <c r="A944" s="149" t="s">
        <v>2429</v>
      </c>
      <c r="B944" s="149" t="s">
        <v>2430</v>
      </c>
    </row>
    <row r="945" spans="1:2">
      <c r="A945" s="149" t="s">
        <v>2431</v>
      </c>
      <c r="B945" s="149" t="s">
        <v>2432</v>
      </c>
    </row>
    <row r="946" spans="1:2">
      <c r="A946" s="149" t="s">
        <v>2433</v>
      </c>
      <c r="B946" s="149" t="s">
        <v>2434</v>
      </c>
    </row>
    <row r="947" spans="1:2">
      <c r="A947" s="149" t="s">
        <v>2435</v>
      </c>
      <c r="B947" s="149" t="s">
        <v>2436</v>
      </c>
    </row>
    <row r="948" spans="1:2">
      <c r="A948" s="149" t="s">
        <v>2437</v>
      </c>
      <c r="B948" s="149" t="s">
        <v>2438</v>
      </c>
    </row>
    <row r="949" spans="1:2">
      <c r="A949" s="149" t="s">
        <v>2439</v>
      </c>
      <c r="B949" s="149" t="s">
        <v>2440</v>
      </c>
    </row>
    <row r="950" spans="1:2">
      <c r="A950" s="149" t="s">
        <v>2441</v>
      </c>
      <c r="B950" s="149" t="s">
        <v>2442</v>
      </c>
    </row>
    <row r="951" spans="1:2">
      <c r="A951" s="149" t="s">
        <v>2443</v>
      </c>
      <c r="B951" s="149" t="s">
        <v>2444</v>
      </c>
    </row>
    <row r="952" spans="1:2">
      <c r="A952" s="149" t="s">
        <v>2445</v>
      </c>
      <c r="B952" s="149" t="s">
        <v>2446</v>
      </c>
    </row>
    <row r="953" spans="1:2">
      <c r="A953" s="149" t="s">
        <v>2447</v>
      </c>
      <c r="B953" s="149" t="s">
        <v>2448</v>
      </c>
    </row>
    <row r="954" spans="1:2">
      <c r="A954" s="149" t="s">
        <v>2449</v>
      </c>
      <c r="B954" s="149" t="s">
        <v>2450</v>
      </c>
    </row>
    <row r="955" spans="1:2">
      <c r="A955" s="149" t="s">
        <v>2451</v>
      </c>
      <c r="B955" s="149" t="s">
        <v>2452</v>
      </c>
    </row>
    <row r="956" spans="1:2">
      <c r="A956" s="149" t="s">
        <v>2453</v>
      </c>
      <c r="B956" s="149" t="s">
        <v>2454</v>
      </c>
    </row>
    <row r="957" spans="1:2">
      <c r="A957" s="149" t="s">
        <v>2455</v>
      </c>
      <c r="B957" s="149" t="s">
        <v>2456</v>
      </c>
    </row>
    <row r="958" spans="1:2">
      <c r="A958" s="149" t="s">
        <v>2457</v>
      </c>
      <c r="B958" s="149" t="s">
        <v>2458</v>
      </c>
    </row>
    <row r="959" spans="1:2">
      <c r="A959" s="149" t="s">
        <v>2459</v>
      </c>
      <c r="B959" s="149" t="s">
        <v>2460</v>
      </c>
    </row>
    <row r="960" spans="1:2">
      <c r="A960" s="149" t="s">
        <v>2461</v>
      </c>
      <c r="B960" s="149" t="s">
        <v>2462</v>
      </c>
    </row>
    <row r="961" spans="1:2">
      <c r="A961" s="149" t="s">
        <v>2463</v>
      </c>
      <c r="B961" s="149" t="s">
        <v>2464</v>
      </c>
    </row>
    <row r="962" spans="1:2">
      <c r="A962" s="149" t="s">
        <v>2465</v>
      </c>
      <c r="B962" s="149" t="s">
        <v>2466</v>
      </c>
    </row>
    <row r="963" spans="1:2">
      <c r="A963" s="149" t="s">
        <v>2467</v>
      </c>
      <c r="B963" s="149" t="s">
        <v>2468</v>
      </c>
    </row>
    <row r="964" spans="1:2">
      <c r="A964" s="149" t="s">
        <v>2469</v>
      </c>
      <c r="B964" s="149" t="s">
        <v>2470</v>
      </c>
    </row>
    <row r="965" spans="1:2">
      <c r="A965" s="149" t="s">
        <v>2471</v>
      </c>
      <c r="B965" s="149" t="s">
        <v>2472</v>
      </c>
    </row>
    <row r="966" spans="1:2">
      <c r="A966" s="149" t="s">
        <v>2473</v>
      </c>
      <c r="B966" s="149" t="s">
        <v>306</v>
      </c>
    </row>
    <row r="967" spans="1:2">
      <c r="A967" s="149" t="s">
        <v>2474</v>
      </c>
      <c r="B967" s="149" t="s">
        <v>2475</v>
      </c>
    </row>
    <row r="968" spans="1:2">
      <c r="A968" s="149" t="s">
        <v>2476</v>
      </c>
      <c r="B968" s="149" t="s">
        <v>2477</v>
      </c>
    </row>
    <row r="969" spans="1:2">
      <c r="A969" s="149" t="s">
        <v>2478</v>
      </c>
      <c r="B969" s="149" t="s">
        <v>2479</v>
      </c>
    </row>
    <row r="970" spans="1:2">
      <c r="A970" s="149" t="s">
        <v>2480</v>
      </c>
      <c r="B970" s="149" t="s">
        <v>2481</v>
      </c>
    </row>
    <row r="971" spans="1:2">
      <c r="A971" s="149" t="s">
        <v>2482</v>
      </c>
      <c r="B971" s="149" t="s">
        <v>2483</v>
      </c>
    </row>
    <row r="972" spans="1:2">
      <c r="A972" s="149" t="s">
        <v>2484</v>
      </c>
      <c r="B972" s="149" t="s">
        <v>2485</v>
      </c>
    </row>
    <row r="973" spans="1:2">
      <c r="A973" s="149" t="s">
        <v>2486</v>
      </c>
      <c r="B973" s="149" t="s">
        <v>2487</v>
      </c>
    </row>
    <row r="974" spans="1:2">
      <c r="A974" s="149" t="s">
        <v>2488</v>
      </c>
      <c r="B974" s="149" t="s">
        <v>2489</v>
      </c>
    </row>
    <row r="975" spans="1:2">
      <c r="A975" s="149" t="s">
        <v>2490</v>
      </c>
      <c r="B975" s="149" t="s">
        <v>2491</v>
      </c>
    </row>
    <row r="976" spans="1:2">
      <c r="A976" s="149" t="s">
        <v>2492</v>
      </c>
      <c r="B976" s="149" t="s">
        <v>2493</v>
      </c>
    </row>
    <row r="977" spans="1:2">
      <c r="A977" s="149" t="s">
        <v>2494</v>
      </c>
      <c r="B977" s="149" t="s">
        <v>2495</v>
      </c>
    </row>
    <row r="978" spans="1:2">
      <c r="A978" s="149" t="s">
        <v>2496</v>
      </c>
      <c r="B978" s="149" t="s">
        <v>2497</v>
      </c>
    </row>
    <row r="979" spans="1:2">
      <c r="A979" s="149" t="s">
        <v>2498</v>
      </c>
      <c r="B979" s="149" t="s">
        <v>2499</v>
      </c>
    </row>
    <row r="980" spans="1:2">
      <c r="A980" s="149" t="s">
        <v>2500</v>
      </c>
      <c r="B980" s="149" t="s">
        <v>2501</v>
      </c>
    </row>
    <row r="981" spans="1:2">
      <c r="A981" s="149" t="s">
        <v>2502</v>
      </c>
      <c r="B981" s="149" t="s">
        <v>2503</v>
      </c>
    </row>
    <row r="982" spans="1:2">
      <c r="A982" s="149" t="s">
        <v>2504</v>
      </c>
      <c r="B982" s="149" t="s">
        <v>2505</v>
      </c>
    </row>
    <row r="983" spans="1:2">
      <c r="A983" s="149" t="s">
        <v>2506</v>
      </c>
      <c r="B983" s="149" t="s">
        <v>2507</v>
      </c>
    </row>
    <row r="984" spans="1:2">
      <c r="A984" s="149" t="s">
        <v>2508</v>
      </c>
      <c r="B984" s="149" t="s">
        <v>2509</v>
      </c>
    </row>
    <row r="985" spans="1:2">
      <c r="A985" s="149" t="s">
        <v>2510</v>
      </c>
      <c r="B985" s="149" t="s">
        <v>2511</v>
      </c>
    </row>
    <row r="986" spans="1:2">
      <c r="A986" s="149" t="s">
        <v>2512</v>
      </c>
      <c r="B986" s="149" t="s">
        <v>2513</v>
      </c>
    </row>
    <row r="987" spans="1:2">
      <c r="A987" s="149" t="s">
        <v>2514</v>
      </c>
      <c r="B987" s="149" t="s">
        <v>2515</v>
      </c>
    </row>
    <row r="988" spans="1:2">
      <c r="A988" s="149" t="s">
        <v>2516</v>
      </c>
      <c r="B988" s="149" t="s">
        <v>2517</v>
      </c>
    </row>
    <row r="989" spans="1:2">
      <c r="A989" s="149" t="s">
        <v>2518</v>
      </c>
      <c r="B989" s="149" t="s">
        <v>2519</v>
      </c>
    </row>
    <row r="990" spans="1:2">
      <c r="A990" s="149" t="s">
        <v>2520</v>
      </c>
      <c r="B990" s="149" t="s">
        <v>2521</v>
      </c>
    </row>
    <row r="991" spans="1:2">
      <c r="A991" s="149" t="s">
        <v>2522</v>
      </c>
      <c r="B991" s="149" t="s">
        <v>311</v>
      </c>
    </row>
    <row r="992" spans="1:2">
      <c r="A992" s="149" t="s">
        <v>2523</v>
      </c>
      <c r="B992" s="149" t="s">
        <v>2524</v>
      </c>
    </row>
    <row r="993" spans="1:2">
      <c r="A993" s="149" t="s">
        <v>2525</v>
      </c>
      <c r="B993" s="149" t="s">
        <v>2526</v>
      </c>
    </row>
    <row r="994" spans="1:2">
      <c r="A994" s="149" t="s">
        <v>2527</v>
      </c>
      <c r="B994" s="149" t="s">
        <v>2528</v>
      </c>
    </row>
    <row r="995" spans="1:2">
      <c r="A995" s="149" t="s">
        <v>2529</v>
      </c>
      <c r="B995" s="149" t="s">
        <v>2530</v>
      </c>
    </row>
    <row r="996" spans="1:2">
      <c r="A996" s="149" t="s">
        <v>2531</v>
      </c>
      <c r="B996" s="149" t="s">
        <v>2532</v>
      </c>
    </row>
    <row r="997" spans="1:2">
      <c r="A997" s="149" t="s">
        <v>2533</v>
      </c>
      <c r="B997" s="149" t="s">
        <v>2534</v>
      </c>
    </row>
    <row r="998" spans="1:2">
      <c r="A998" s="149" t="s">
        <v>2535</v>
      </c>
      <c r="B998" s="149" t="s">
        <v>2536</v>
      </c>
    </row>
    <row r="999" spans="1:2">
      <c r="A999" s="149" t="s">
        <v>2537</v>
      </c>
      <c r="B999" s="149" t="s">
        <v>2538</v>
      </c>
    </row>
    <row r="1000" spans="1:2">
      <c r="A1000" s="149" t="s">
        <v>2539</v>
      </c>
      <c r="B1000" s="149" t="s">
        <v>2540</v>
      </c>
    </row>
    <row r="1001" spans="1:2">
      <c r="A1001" s="149" t="s">
        <v>2541</v>
      </c>
      <c r="B1001" s="149" t="s">
        <v>2542</v>
      </c>
    </row>
    <row r="1002" spans="1:2">
      <c r="A1002" s="149" t="s">
        <v>2543</v>
      </c>
      <c r="B1002" s="149" t="s">
        <v>2544</v>
      </c>
    </row>
    <row r="1003" spans="1:2">
      <c r="A1003" s="149" t="s">
        <v>2545</v>
      </c>
      <c r="B1003" s="149" t="s">
        <v>2546</v>
      </c>
    </row>
    <row r="1004" spans="1:2">
      <c r="A1004" s="149" t="s">
        <v>2547</v>
      </c>
      <c r="B1004" s="149" t="s">
        <v>2548</v>
      </c>
    </row>
    <row r="1005" spans="1:2">
      <c r="A1005" s="149" t="s">
        <v>2549</v>
      </c>
      <c r="B1005" s="149" t="s">
        <v>2550</v>
      </c>
    </row>
    <row r="1006" spans="1:2">
      <c r="A1006" s="149" t="s">
        <v>2551</v>
      </c>
      <c r="B1006" s="149" t="s">
        <v>2552</v>
      </c>
    </row>
    <row r="1007" spans="1:2">
      <c r="A1007" s="149" t="s">
        <v>2553</v>
      </c>
      <c r="B1007" s="149" t="s">
        <v>2554</v>
      </c>
    </row>
    <row r="1008" spans="1:2">
      <c r="A1008" s="149" t="s">
        <v>2555</v>
      </c>
      <c r="B1008" s="149" t="s">
        <v>2556</v>
      </c>
    </row>
    <row r="1009" spans="1:2">
      <c r="A1009" s="149" t="s">
        <v>2557</v>
      </c>
      <c r="B1009" s="149" t="s">
        <v>2558</v>
      </c>
    </row>
    <row r="1010" spans="1:2">
      <c r="A1010" s="149" t="s">
        <v>2559</v>
      </c>
      <c r="B1010" s="149" t="s">
        <v>2560</v>
      </c>
    </row>
    <row r="1011" spans="1:2">
      <c r="A1011" s="149" t="s">
        <v>2561</v>
      </c>
      <c r="B1011" s="149" t="s">
        <v>2562</v>
      </c>
    </row>
    <row r="1012" spans="1:2">
      <c r="A1012" s="149" t="s">
        <v>2563</v>
      </c>
      <c r="B1012" s="149" t="s">
        <v>2564</v>
      </c>
    </row>
    <row r="1013" spans="1:2">
      <c r="A1013" s="149" t="s">
        <v>2565</v>
      </c>
      <c r="B1013" s="149" t="s">
        <v>2566</v>
      </c>
    </row>
    <row r="1014" spans="1:2">
      <c r="A1014" s="149" t="s">
        <v>2567</v>
      </c>
      <c r="B1014" s="149" t="s">
        <v>2568</v>
      </c>
    </row>
    <row r="1015" spans="1:2">
      <c r="A1015" s="149" t="s">
        <v>2569</v>
      </c>
      <c r="B1015" s="149" t="s">
        <v>2570</v>
      </c>
    </row>
    <row r="1016" spans="1:2">
      <c r="A1016" s="149" t="s">
        <v>2571</v>
      </c>
      <c r="B1016" s="149" t="s">
        <v>2572</v>
      </c>
    </row>
    <row r="1017" spans="1:2">
      <c r="A1017" s="149" t="s">
        <v>2573</v>
      </c>
      <c r="B1017" s="149" t="s">
        <v>2574</v>
      </c>
    </row>
    <row r="1018" spans="1:2">
      <c r="A1018" s="149" t="s">
        <v>2575</v>
      </c>
      <c r="B1018" s="149" t="s">
        <v>2576</v>
      </c>
    </row>
    <row r="1019" spans="1:2">
      <c r="A1019" s="149" t="s">
        <v>2577</v>
      </c>
      <c r="B1019" s="149" t="s">
        <v>2578</v>
      </c>
    </row>
    <row r="1020" spans="1:2">
      <c r="A1020" s="149" t="s">
        <v>2579</v>
      </c>
      <c r="B1020" s="149" t="s">
        <v>2580</v>
      </c>
    </row>
    <row r="1021" spans="1:2">
      <c r="A1021" s="149" t="s">
        <v>2581</v>
      </c>
      <c r="B1021" s="149" t="s">
        <v>2582</v>
      </c>
    </row>
    <row r="1022" spans="1:2">
      <c r="A1022" s="149" t="s">
        <v>2583</v>
      </c>
      <c r="B1022" s="149" t="s">
        <v>2584</v>
      </c>
    </row>
    <row r="1023" spans="1:2">
      <c r="A1023" s="149" t="s">
        <v>2585</v>
      </c>
      <c r="B1023" s="149" t="s">
        <v>2586</v>
      </c>
    </row>
    <row r="1024" spans="1:2">
      <c r="A1024" s="149" t="s">
        <v>2587</v>
      </c>
      <c r="B1024" s="149" t="s">
        <v>2588</v>
      </c>
    </row>
    <row r="1025" spans="1:2">
      <c r="A1025" s="149" t="s">
        <v>2589</v>
      </c>
      <c r="B1025" s="149" t="s">
        <v>2590</v>
      </c>
    </row>
    <row r="1026" spans="1:2">
      <c r="A1026" s="149" t="s">
        <v>2591</v>
      </c>
      <c r="B1026" s="149" t="s">
        <v>2592</v>
      </c>
    </row>
    <row r="1027" spans="1:2">
      <c r="A1027" s="149" t="s">
        <v>2593</v>
      </c>
      <c r="B1027" s="149" t="s">
        <v>2594</v>
      </c>
    </row>
    <row r="1028" spans="1:2">
      <c r="A1028" s="149" t="s">
        <v>2595</v>
      </c>
      <c r="B1028" s="149" t="s">
        <v>2596</v>
      </c>
    </row>
    <row r="1029" spans="1:2">
      <c r="A1029" s="149" t="s">
        <v>2597</v>
      </c>
      <c r="B1029" s="149" t="s">
        <v>2598</v>
      </c>
    </row>
    <row r="1030" spans="1:2">
      <c r="A1030" s="149" t="s">
        <v>2599</v>
      </c>
      <c r="B1030" s="149" t="s">
        <v>2600</v>
      </c>
    </row>
    <row r="1031" spans="1:2">
      <c r="A1031" s="149" t="s">
        <v>2601</v>
      </c>
      <c r="B1031" s="149" t="s">
        <v>2602</v>
      </c>
    </row>
    <row r="1032" spans="1:2">
      <c r="A1032" s="149" t="s">
        <v>2603</v>
      </c>
      <c r="B1032" s="149" t="s">
        <v>2604</v>
      </c>
    </row>
    <row r="1033" spans="1:2">
      <c r="A1033" s="149" t="s">
        <v>2605</v>
      </c>
      <c r="B1033" s="149" t="s">
        <v>2606</v>
      </c>
    </row>
    <row r="1034" spans="1:2">
      <c r="A1034" s="149" t="s">
        <v>2607</v>
      </c>
      <c r="B1034" s="149" t="s">
        <v>2608</v>
      </c>
    </row>
    <row r="1035" spans="1:2">
      <c r="A1035" s="149" t="s">
        <v>2609</v>
      </c>
      <c r="B1035" s="149" t="s">
        <v>2610</v>
      </c>
    </row>
    <row r="1036" spans="1:2">
      <c r="A1036" s="149" t="s">
        <v>2611</v>
      </c>
      <c r="B1036" s="149" t="s">
        <v>2612</v>
      </c>
    </row>
    <row r="1037" spans="1:2">
      <c r="A1037" s="149" t="s">
        <v>2613</v>
      </c>
      <c r="B1037" s="149" t="s">
        <v>2614</v>
      </c>
    </row>
    <row r="1038" spans="1:2">
      <c r="A1038" s="149" t="s">
        <v>2615</v>
      </c>
      <c r="B1038" s="149" t="s">
        <v>2616</v>
      </c>
    </row>
    <row r="1039" spans="1:2">
      <c r="A1039" s="149" t="s">
        <v>2617</v>
      </c>
      <c r="B1039" s="149" t="s">
        <v>2618</v>
      </c>
    </row>
    <row r="1040" spans="1:2">
      <c r="A1040" s="149" t="s">
        <v>2619</v>
      </c>
      <c r="B1040" s="149" t="s">
        <v>2620</v>
      </c>
    </row>
    <row r="1041" spans="1:2">
      <c r="A1041" s="149" t="s">
        <v>2621</v>
      </c>
      <c r="B1041" s="149" t="s">
        <v>2622</v>
      </c>
    </row>
    <row r="1042" spans="1:2">
      <c r="A1042" s="149" t="s">
        <v>2623</v>
      </c>
      <c r="B1042" s="149" t="s">
        <v>2624</v>
      </c>
    </row>
    <row r="1043" spans="1:2">
      <c r="A1043" s="149" t="s">
        <v>2625</v>
      </c>
      <c r="B1043" s="149" t="s">
        <v>2626</v>
      </c>
    </row>
    <row r="1044" spans="1:2">
      <c r="A1044" s="149" t="s">
        <v>2627</v>
      </c>
      <c r="B1044" s="149" t="s">
        <v>2628</v>
      </c>
    </row>
    <row r="1045" spans="1:2">
      <c r="A1045" s="149" t="s">
        <v>2629</v>
      </c>
      <c r="B1045" s="149" t="s">
        <v>2630</v>
      </c>
    </row>
    <row r="1046" spans="1:2">
      <c r="A1046" s="149" t="s">
        <v>2631</v>
      </c>
      <c r="B1046" s="149" t="s">
        <v>2632</v>
      </c>
    </row>
    <row r="1047" spans="1:2">
      <c r="A1047" s="149" t="s">
        <v>2633</v>
      </c>
      <c r="B1047" s="149" t="s">
        <v>2634</v>
      </c>
    </row>
    <row r="1048" spans="1:2">
      <c r="A1048" s="149" t="s">
        <v>2635</v>
      </c>
      <c r="B1048" s="149" t="s">
        <v>2636</v>
      </c>
    </row>
    <row r="1049" spans="1:2">
      <c r="A1049" s="149" t="s">
        <v>2637</v>
      </c>
      <c r="B1049" s="149" t="s">
        <v>2638</v>
      </c>
    </row>
    <row r="1050" spans="1:2">
      <c r="A1050" s="149" t="s">
        <v>2639</v>
      </c>
      <c r="B1050" s="149" t="s">
        <v>2640</v>
      </c>
    </row>
    <row r="1051" spans="1:2">
      <c r="A1051" s="149" t="s">
        <v>2641</v>
      </c>
      <c r="B1051" s="149" t="s">
        <v>2642</v>
      </c>
    </row>
    <row r="1052" spans="1:2">
      <c r="A1052" s="149" t="s">
        <v>2643</v>
      </c>
      <c r="B1052" s="149" t="s">
        <v>2644</v>
      </c>
    </row>
    <row r="1053" spans="1:2">
      <c r="A1053" s="149" t="s">
        <v>2645</v>
      </c>
      <c r="B1053" s="149" t="s">
        <v>2646</v>
      </c>
    </row>
    <row r="1054" spans="1:2">
      <c r="A1054" s="149" t="s">
        <v>2647</v>
      </c>
      <c r="B1054" s="149" t="s">
        <v>2648</v>
      </c>
    </row>
    <row r="1055" spans="1:2">
      <c r="A1055" s="149" t="s">
        <v>2649</v>
      </c>
      <c r="B1055" s="149" t="s">
        <v>2650</v>
      </c>
    </row>
    <row r="1056" spans="1:2">
      <c r="A1056" s="149" t="s">
        <v>2651</v>
      </c>
      <c r="B1056" s="149" t="s">
        <v>2652</v>
      </c>
    </row>
    <row r="1057" spans="1:2">
      <c r="A1057" s="149" t="s">
        <v>2653</v>
      </c>
      <c r="B1057" s="149" t="s">
        <v>2654</v>
      </c>
    </row>
    <row r="1058" spans="1:2">
      <c r="A1058" s="149" t="s">
        <v>2655</v>
      </c>
      <c r="B1058" s="149" t="s">
        <v>2656</v>
      </c>
    </row>
    <row r="1059" spans="1:2">
      <c r="A1059" s="149" t="s">
        <v>2657</v>
      </c>
      <c r="B1059" s="149" t="s">
        <v>2658</v>
      </c>
    </row>
    <row r="1060" spans="1:2">
      <c r="A1060" s="149" t="s">
        <v>2659</v>
      </c>
      <c r="B1060" s="149" t="s">
        <v>2660</v>
      </c>
    </row>
    <row r="1061" spans="1:2">
      <c r="A1061" s="149" t="s">
        <v>2661</v>
      </c>
      <c r="B1061" s="149" t="s">
        <v>2662</v>
      </c>
    </row>
    <row r="1062" spans="1:2">
      <c r="A1062" s="149" t="s">
        <v>2663</v>
      </c>
      <c r="B1062" s="149" t="s">
        <v>2664</v>
      </c>
    </row>
    <row r="1063" spans="1:2">
      <c r="A1063" s="149" t="s">
        <v>2665</v>
      </c>
      <c r="B1063" s="149" t="s">
        <v>2666</v>
      </c>
    </row>
    <row r="1064" spans="1:2">
      <c r="A1064" s="149" t="s">
        <v>2667</v>
      </c>
      <c r="B1064" s="149" t="s">
        <v>2668</v>
      </c>
    </row>
    <row r="1065" spans="1:2">
      <c r="A1065" s="149" t="s">
        <v>2669</v>
      </c>
      <c r="B1065" s="149" t="s">
        <v>2670</v>
      </c>
    </row>
    <row r="1066" spans="1:2">
      <c r="A1066" s="149" t="s">
        <v>2671</v>
      </c>
      <c r="B1066" s="149" t="s">
        <v>2672</v>
      </c>
    </row>
    <row r="1067" spans="1:2">
      <c r="A1067" s="149" t="s">
        <v>2673</v>
      </c>
      <c r="B1067" s="149" t="s">
        <v>2674</v>
      </c>
    </row>
    <row r="1068" spans="1:2">
      <c r="A1068" s="149" t="s">
        <v>2675</v>
      </c>
      <c r="B1068" s="149" t="s">
        <v>2676</v>
      </c>
    </row>
    <row r="1069" spans="1:2">
      <c r="A1069" s="149" t="s">
        <v>2677</v>
      </c>
      <c r="B1069" s="149" t="s">
        <v>2678</v>
      </c>
    </row>
    <row r="1070" spans="1:2">
      <c r="A1070" s="149" t="s">
        <v>2679</v>
      </c>
      <c r="B1070" s="149" t="s">
        <v>2680</v>
      </c>
    </row>
    <row r="1071" spans="1:2">
      <c r="A1071" s="149" t="s">
        <v>2681</v>
      </c>
      <c r="B1071" s="149" t="s">
        <v>2682</v>
      </c>
    </row>
    <row r="1072" spans="1:2">
      <c r="A1072" s="149" t="s">
        <v>2683</v>
      </c>
      <c r="B1072" s="149" t="s">
        <v>2684</v>
      </c>
    </row>
    <row r="1073" spans="1:2">
      <c r="A1073" s="149" t="s">
        <v>2685</v>
      </c>
      <c r="B1073" s="149" t="s">
        <v>2686</v>
      </c>
    </row>
    <row r="1074" spans="1:2">
      <c r="A1074" s="149" t="s">
        <v>2687</v>
      </c>
      <c r="B1074" s="149" t="s">
        <v>2688</v>
      </c>
    </row>
    <row r="1075" spans="1:2">
      <c r="A1075" s="149" t="s">
        <v>2689</v>
      </c>
      <c r="B1075" s="149" t="s">
        <v>2690</v>
      </c>
    </row>
    <row r="1076" spans="1:2">
      <c r="A1076" s="149" t="s">
        <v>2691</v>
      </c>
      <c r="B1076" s="149" t="s">
        <v>2692</v>
      </c>
    </row>
    <row r="1077" spans="1:2">
      <c r="A1077" s="149" t="s">
        <v>2693</v>
      </c>
      <c r="B1077" s="149" t="s">
        <v>2694</v>
      </c>
    </row>
    <row r="1078" spans="1:2">
      <c r="A1078" s="149" t="s">
        <v>2695</v>
      </c>
      <c r="B1078" s="149" t="s">
        <v>2696</v>
      </c>
    </row>
    <row r="1079" spans="1:2">
      <c r="A1079" s="149" t="s">
        <v>2697</v>
      </c>
      <c r="B1079" s="149" t="s">
        <v>2698</v>
      </c>
    </row>
    <row r="1080" spans="1:2">
      <c r="A1080" s="149" t="s">
        <v>2699</v>
      </c>
      <c r="B1080" s="149" t="s">
        <v>2700</v>
      </c>
    </row>
    <row r="1081" spans="1:2">
      <c r="A1081" s="149" t="s">
        <v>2701</v>
      </c>
      <c r="B1081" s="149" t="s">
        <v>2702</v>
      </c>
    </row>
    <row r="1082" spans="1:2">
      <c r="A1082" s="149" t="s">
        <v>2703</v>
      </c>
      <c r="B1082" s="149" t="s">
        <v>2704</v>
      </c>
    </row>
    <row r="1083" spans="1:2">
      <c r="A1083" s="149" t="s">
        <v>2705</v>
      </c>
      <c r="B1083" s="149" t="s">
        <v>2706</v>
      </c>
    </row>
    <row r="1084" spans="1:2">
      <c r="A1084" s="149" t="s">
        <v>2707</v>
      </c>
      <c r="B1084" s="149" t="s">
        <v>2708</v>
      </c>
    </row>
    <row r="1085" spans="1:2">
      <c r="A1085" s="149" t="s">
        <v>2709</v>
      </c>
      <c r="B1085" s="149" t="s">
        <v>2710</v>
      </c>
    </row>
    <row r="1086" spans="1:2">
      <c r="A1086" s="149" t="s">
        <v>2711</v>
      </c>
      <c r="B1086" s="149" t="s">
        <v>2712</v>
      </c>
    </row>
    <row r="1087" spans="1:2">
      <c r="A1087" s="149" t="s">
        <v>2713</v>
      </c>
      <c r="B1087" s="149" t="s">
        <v>2714</v>
      </c>
    </row>
    <row r="1088" spans="1:2">
      <c r="A1088" s="149" t="s">
        <v>2715</v>
      </c>
      <c r="B1088" s="149" t="s">
        <v>2716</v>
      </c>
    </row>
    <row r="1089" spans="1:2">
      <c r="A1089" s="149" t="s">
        <v>2717</v>
      </c>
      <c r="B1089" s="149" t="s">
        <v>2718</v>
      </c>
    </row>
    <row r="1090" spans="1:2">
      <c r="A1090" s="149" t="s">
        <v>2719</v>
      </c>
      <c r="B1090" s="149" t="s">
        <v>2720</v>
      </c>
    </row>
    <row r="1091" spans="1:2">
      <c r="A1091" s="149" t="s">
        <v>2721</v>
      </c>
      <c r="B1091" s="149" t="s">
        <v>2722</v>
      </c>
    </row>
    <row r="1092" spans="1:2">
      <c r="A1092" s="149" t="s">
        <v>2723</v>
      </c>
      <c r="B1092" s="149" t="s">
        <v>2724</v>
      </c>
    </row>
    <row r="1093" spans="1:2">
      <c r="A1093" s="149" t="s">
        <v>2725</v>
      </c>
      <c r="B1093" s="149" t="s">
        <v>2726</v>
      </c>
    </row>
    <row r="1094" spans="1:2">
      <c r="A1094" s="149" t="s">
        <v>2727</v>
      </c>
      <c r="B1094" s="149" t="s">
        <v>2728</v>
      </c>
    </row>
    <row r="1095" spans="1:2">
      <c r="A1095" s="149" t="s">
        <v>2729</v>
      </c>
      <c r="B1095" s="149" t="s">
        <v>2730</v>
      </c>
    </row>
    <row r="1096" spans="1:2">
      <c r="A1096" s="149" t="s">
        <v>2731</v>
      </c>
      <c r="B1096" s="149" t="s">
        <v>2732</v>
      </c>
    </row>
    <row r="1097" spans="1:2">
      <c r="A1097" s="149" t="s">
        <v>2733</v>
      </c>
      <c r="B1097" s="149" t="s">
        <v>2734</v>
      </c>
    </row>
    <row r="1098" spans="1:2">
      <c r="A1098" s="149" t="s">
        <v>2735</v>
      </c>
      <c r="B1098" s="149" t="s">
        <v>2736</v>
      </c>
    </row>
    <row r="1099" spans="1:2">
      <c r="A1099" s="149" t="s">
        <v>2737</v>
      </c>
      <c r="B1099" s="149" t="s">
        <v>2738</v>
      </c>
    </row>
    <row r="1100" spans="1:2">
      <c r="A1100" s="149" t="s">
        <v>2739</v>
      </c>
      <c r="B1100" s="149" t="s">
        <v>2740</v>
      </c>
    </row>
    <row r="1101" spans="1:2">
      <c r="A1101" s="149" t="s">
        <v>2741</v>
      </c>
      <c r="B1101" s="149" t="s">
        <v>2742</v>
      </c>
    </row>
    <row r="1102" spans="1:2">
      <c r="A1102" s="149" t="s">
        <v>2743</v>
      </c>
      <c r="B1102" s="149" t="s">
        <v>2744</v>
      </c>
    </row>
    <row r="1103" spans="1:2">
      <c r="A1103" s="149" t="s">
        <v>2745</v>
      </c>
      <c r="B1103" s="149" t="s">
        <v>2746</v>
      </c>
    </row>
    <row r="1104" spans="1:2">
      <c r="A1104" s="149" t="s">
        <v>2747</v>
      </c>
      <c r="B1104" s="149" t="s">
        <v>2748</v>
      </c>
    </row>
    <row r="1105" spans="1:2">
      <c r="A1105" s="149" t="s">
        <v>2749</v>
      </c>
      <c r="B1105" s="149" t="s">
        <v>2750</v>
      </c>
    </row>
    <row r="1106" spans="1:2">
      <c r="A1106" s="149" t="s">
        <v>2751</v>
      </c>
      <c r="B1106" s="149" t="s">
        <v>2752</v>
      </c>
    </row>
    <row r="1107" spans="1:2">
      <c r="A1107" s="149" t="s">
        <v>2753</v>
      </c>
      <c r="B1107" s="149" t="s">
        <v>2754</v>
      </c>
    </row>
    <row r="1108" spans="1:2">
      <c r="A1108" s="149" t="s">
        <v>2755</v>
      </c>
      <c r="B1108" s="149" t="s">
        <v>2756</v>
      </c>
    </row>
    <row r="1109" spans="1:2">
      <c r="A1109" s="149" t="s">
        <v>2757</v>
      </c>
      <c r="B1109" s="149" t="s">
        <v>2758</v>
      </c>
    </row>
    <row r="1110" spans="1:2">
      <c r="A1110" s="149" t="s">
        <v>2759</v>
      </c>
      <c r="B1110" s="149" t="s">
        <v>2760</v>
      </c>
    </row>
    <row r="1111" spans="1:2">
      <c r="A1111" s="149" t="s">
        <v>2761</v>
      </c>
      <c r="B1111" s="149" t="s">
        <v>2762</v>
      </c>
    </row>
    <row r="1112" spans="1:2">
      <c r="A1112" s="149" t="s">
        <v>2763</v>
      </c>
      <c r="B1112" s="149" t="s">
        <v>2764</v>
      </c>
    </row>
    <row r="1113" spans="1:2">
      <c r="A1113" s="149" t="s">
        <v>2765</v>
      </c>
      <c r="B1113" s="149" t="s">
        <v>2766</v>
      </c>
    </row>
    <row r="1114" spans="1:2">
      <c r="A1114" s="149" t="s">
        <v>2767</v>
      </c>
      <c r="B1114" s="149" t="s">
        <v>2768</v>
      </c>
    </row>
    <row r="1115" spans="1:2">
      <c r="A1115" s="149" t="s">
        <v>2769</v>
      </c>
      <c r="B1115" s="149" t="s">
        <v>2770</v>
      </c>
    </row>
    <row r="1116" spans="1:2">
      <c r="A1116" s="149" t="s">
        <v>2771</v>
      </c>
      <c r="B1116" s="149" t="s">
        <v>2772</v>
      </c>
    </row>
    <row r="1117" spans="1:2">
      <c r="A1117" s="149" t="s">
        <v>2773</v>
      </c>
      <c r="B1117" s="149" t="s">
        <v>2774</v>
      </c>
    </row>
    <row r="1118" spans="1:2">
      <c r="A1118" s="149" t="s">
        <v>2775</v>
      </c>
      <c r="B1118" s="149" t="s">
        <v>2776</v>
      </c>
    </row>
    <row r="1119" spans="1:2">
      <c r="A1119" s="149" t="s">
        <v>2777</v>
      </c>
      <c r="B1119" s="149" t="s">
        <v>2778</v>
      </c>
    </row>
    <row r="1120" spans="1:2">
      <c r="A1120" s="149" t="s">
        <v>2779</v>
      </c>
      <c r="B1120" s="149" t="s">
        <v>2780</v>
      </c>
    </row>
    <row r="1121" spans="1:2">
      <c r="A1121" s="149" t="s">
        <v>2781</v>
      </c>
      <c r="B1121" s="149" t="s">
        <v>2782</v>
      </c>
    </row>
    <row r="1122" spans="1:2">
      <c r="A1122" s="149" t="s">
        <v>2783</v>
      </c>
      <c r="B1122" s="149" t="s">
        <v>2784</v>
      </c>
    </row>
    <row r="1123" spans="1:2">
      <c r="A1123" s="149" t="s">
        <v>2785</v>
      </c>
      <c r="B1123" s="149" t="s">
        <v>2786</v>
      </c>
    </row>
    <row r="1124" spans="1:2">
      <c r="A1124" s="149" t="s">
        <v>2787</v>
      </c>
      <c r="B1124" s="149" t="s">
        <v>2788</v>
      </c>
    </row>
    <row r="1125" spans="1:2">
      <c r="A1125" s="149" t="s">
        <v>2789</v>
      </c>
      <c r="B1125" s="149" t="s">
        <v>2790</v>
      </c>
    </row>
    <row r="1126" spans="1:2">
      <c r="A1126" s="149" t="s">
        <v>2791</v>
      </c>
      <c r="B1126" s="149" t="s">
        <v>2792</v>
      </c>
    </row>
    <row r="1127" spans="1:2">
      <c r="A1127" s="149" t="s">
        <v>2793</v>
      </c>
      <c r="B1127" s="149" t="s">
        <v>2794</v>
      </c>
    </row>
    <row r="1128" spans="1:2">
      <c r="A1128" s="149" t="s">
        <v>2795</v>
      </c>
      <c r="B1128" s="149" t="s">
        <v>2796</v>
      </c>
    </row>
    <row r="1129" spans="1:2">
      <c r="A1129" s="149" t="s">
        <v>2797</v>
      </c>
      <c r="B1129" s="149" t="s">
        <v>2798</v>
      </c>
    </row>
    <row r="1130" spans="1:2">
      <c r="A1130" s="149" t="s">
        <v>2799</v>
      </c>
      <c r="B1130" s="149" t="s">
        <v>2800</v>
      </c>
    </row>
    <row r="1131" spans="1:2">
      <c r="A1131" s="149" t="s">
        <v>2801</v>
      </c>
      <c r="B1131" s="149" t="s">
        <v>2802</v>
      </c>
    </row>
    <row r="1132" spans="1:2">
      <c r="A1132" s="149" t="s">
        <v>2803</v>
      </c>
      <c r="B1132" s="149" t="s">
        <v>2804</v>
      </c>
    </row>
    <row r="1133" spans="1:2">
      <c r="A1133" s="149" t="s">
        <v>2805</v>
      </c>
      <c r="B1133" s="149" t="s">
        <v>2806</v>
      </c>
    </row>
    <row r="1134" spans="1:2">
      <c r="A1134" s="149" t="s">
        <v>2807</v>
      </c>
      <c r="B1134" s="149" t="s">
        <v>2808</v>
      </c>
    </row>
    <row r="1135" spans="1:2">
      <c r="A1135" s="149" t="s">
        <v>2809</v>
      </c>
      <c r="B1135" s="149" t="s">
        <v>2810</v>
      </c>
    </row>
    <row r="1136" spans="1:2">
      <c r="A1136" s="149" t="s">
        <v>2811</v>
      </c>
      <c r="B1136" s="149" t="s">
        <v>2812</v>
      </c>
    </row>
    <row r="1137" spans="1:2">
      <c r="A1137" s="149" t="s">
        <v>2813</v>
      </c>
      <c r="B1137" s="149" t="s">
        <v>2814</v>
      </c>
    </row>
    <row r="1138" spans="1:2">
      <c r="A1138" s="149" t="s">
        <v>2815</v>
      </c>
      <c r="B1138" s="149" t="s">
        <v>2816</v>
      </c>
    </row>
    <row r="1139" spans="1:2">
      <c r="A1139" s="149" t="s">
        <v>2817</v>
      </c>
      <c r="B1139" s="149" t="s">
        <v>2818</v>
      </c>
    </row>
    <row r="1140" spans="1:2">
      <c r="A1140" s="149" t="s">
        <v>2819</v>
      </c>
      <c r="B1140" s="149" t="s">
        <v>2820</v>
      </c>
    </row>
    <row r="1141" spans="1:2">
      <c r="A1141" s="149" t="s">
        <v>2821</v>
      </c>
      <c r="B1141" s="149" t="s">
        <v>2822</v>
      </c>
    </row>
    <row r="1142" spans="1:2">
      <c r="A1142" s="149" t="s">
        <v>2823</v>
      </c>
      <c r="B1142" s="149" t="s">
        <v>2824</v>
      </c>
    </row>
    <row r="1143" spans="1:2">
      <c r="A1143" s="149" t="s">
        <v>2825</v>
      </c>
      <c r="B1143" s="149" t="s">
        <v>2826</v>
      </c>
    </row>
    <row r="1144" spans="1:2">
      <c r="A1144" s="149" t="s">
        <v>2827</v>
      </c>
      <c r="B1144" s="149" t="s">
        <v>2828</v>
      </c>
    </row>
    <row r="1145" spans="1:2">
      <c r="A1145" s="149" t="s">
        <v>2829</v>
      </c>
      <c r="B1145" s="149" t="s">
        <v>2830</v>
      </c>
    </row>
    <row r="1146" spans="1:2">
      <c r="A1146" s="149" t="s">
        <v>2831</v>
      </c>
      <c r="B1146" s="149" t="s">
        <v>2832</v>
      </c>
    </row>
    <row r="1147" spans="1:2">
      <c r="A1147" s="149" t="s">
        <v>2833</v>
      </c>
      <c r="B1147" s="149" t="s">
        <v>2834</v>
      </c>
    </row>
    <row r="1148" spans="1:2">
      <c r="A1148" s="149" t="s">
        <v>2835</v>
      </c>
      <c r="B1148" s="149" t="s">
        <v>2836</v>
      </c>
    </row>
    <row r="1149" spans="1:2">
      <c r="A1149" s="149" t="s">
        <v>2837</v>
      </c>
      <c r="B1149" s="149" t="s">
        <v>2838</v>
      </c>
    </row>
    <row r="1150" spans="1:2">
      <c r="A1150" s="149" t="s">
        <v>2839</v>
      </c>
      <c r="B1150" s="149" t="s">
        <v>2840</v>
      </c>
    </row>
    <row r="1151" spans="1:2">
      <c r="A1151" s="149" t="s">
        <v>2841</v>
      </c>
      <c r="B1151" s="149" t="s">
        <v>2842</v>
      </c>
    </row>
    <row r="1152" spans="1:2">
      <c r="A1152" s="149" t="s">
        <v>2843</v>
      </c>
      <c r="B1152" s="149" t="s">
        <v>2844</v>
      </c>
    </row>
    <row r="1153" spans="1:2">
      <c r="A1153" s="149" t="s">
        <v>2845</v>
      </c>
      <c r="B1153" s="149" t="s">
        <v>2846</v>
      </c>
    </row>
    <row r="1154" spans="1:2">
      <c r="A1154" s="149" t="s">
        <v>2847</v>
      </c>
      <c r="B1154" s="149" t="s">
        <v>2848</v>
      </c>
    </row>
    <row r="1155" spans="1:2">
      <c r="A1155" s="149" t="s">
        <v>2849</v>
      </c>
      <c r="B1155" s="149" t="s">
        <v>2850</v>
      </c>
    </row>
    <row r="1156" spans="1:2">
      <c r="A1156" s="149" t="s">
        <v>2851</v>
      </c>
      <c r="B1156" s="149" t="s">
        <v>2852</v>
      </c>
    </row>
    <row r="1157" spans="1:2">
      <c r="A1157" s="149" t="s">
        <v>2853</v>
      </c>
      <c r="B1157" s="149" t="s">
        <v>2854</v>
      </c>
    </row>
    <row r="1158" spans="1:2">
      <c r="A1158" s="149" t="s">
        <v>2855</v>
      </c>
      <c r="B1158" s="149" t="s">
        <v>2856</v>
      </c>
    </row>
    <row r="1159" spans="1:2">
      <c r="A1159" s="149" t="s">
        <v>2857</v>
      </c>
      <c r="B1159" s="149" t="s">
        <v>2858</v>
      </c>
    </row>
    <row r="1160" spans="1:2">
      <c r="A1160" s="149" t="s">
        <v>2859</v>
      </c>
      <c r="B1160" s="149" t="s">
        <v>2860</v>
      </c>
    </row>
    <row r="1161" spans="1:2">
      <c r="A1161" s="149" t="s">
        <v>2861</v>
      </c>
      <c r="B1161" s="149" t="s">
        <v>2862</v>
      </c>
    </row>
    <row r="1162" spans="1:2">
      <c r="A1162" s="149" t="s">
        <v>2863</v>
      </c>
      <c r="B1162" s="149" t="s">
        <v>2864</v>
      </c>
    </row>
    <row r="1163" spans="1:2">
      <c r="A1163" s="149" t="s">
        <v>2865</v>
      </c>
      <c r="B1163" s="149" t="s">
        <v>2866</v>
      </c>
    </row>
    <row r="1164" spans="1:2">
      <c r="A1164" s="149" t="s">
        <v>2867</v>
      </c>
      <c r="B1164" s="149" t="s">
        <v>2868</v>
      </c>
    </row>
    <row r="1165" spans="1:2">
      <c r="A1165" s="149" t="s">
        <v>2869</v>
      </c>
      <c r="B1165" s="149" t="s">
        <v>2870</v>
      </c>
    </row>
    <row r="1166" spans="1:2">
      <c r="A1166" s="149" t="s">
        <v>2871</v>
      </c>
      <c r="B1166" s="149" t="s">
        <v>2872</v>
      </c>
    </row>
    <row r="1167" spans="1:2">
      <c r="A1167" s="149" t="s">
        <v>2873</v>
      </c>
      <c r="B1167" s="149" t="s">
        <v>2874</v>
      </c>
    </row>
    <row r="1168" spans="1:2">
      <c r="A1168" s="149" t="s">
        <v>2875</v>
      </c>
      <c r="B1168" s="149" t="s">
        <v>2876</v>
      </c>
    </row>
    <row r="1169" spans="1:2">
      <c r="A1169" s="149" t="s">
        <v>2877</v>
      </c>
      <c r="B1169" s="149" t="s">
        <v>2878</v>
      </c>
    </row>
    <row r="1170" spans="1:2">
      <c r="A1170" s="149" t="s">
        <v>2879</v>
      </c>
      <c r="B1170" s="149" t="s">
        <v>2880</v>
      </c>
    </row>
    <row r="1171" spans="1:2">
      <c r="A1171" s="149" t="s">
        <v>2881</v>
      </c>
      <c r="B1171" s="149" t="s">
        <v>2882</v>
      </c>
    </row>
    <row r="1172" spans="1:2">
      <c r="A1172" s="149" t="s">
        <v>2883</v>
      </c>
      <c r="B1172" s="149" t="s">
        <v>2884</v>
      </c>
    </row>
    <row r="1173" spans="1:2">
      <c r="A1173" s="149" t="s">
        <v>2885</v>
      </c>
      <c r="B1173" s="149" t="s">
        <v>2886</v>
      </c>
    </row>
    <row r="1174" spans="1:2">
      <c r="A1174" s="149" t="s">
        <v>2887</v>
      </c>
      <c r="B1174" s="149" t="s">
        <v>2888</v>
      </c>
    </row>
    <row r="1175" spans="1:2">
      <c r="A1175" s="149" t="s">
        <v>2889</v>
      </c>
      <c r="B1175" s="149" t="s">
        <v>2890</v>
      </c>
    </row>
    <row r="1176" spans="1:2">
      <c r="A1176" s="149" t="s">
        <v>2891</v>
      </c>
      <c r="B1176" s="149" t="s">
        <v>2892</v>
      </c>
    </row>
    <row r="1177" spans="1:2">
      <c r="A1177" s="149" t="s">
        <v>2893</v>
      </c>
      <c r="B1177" s="149" t="s">
        <v>2894</v>
      </c>
    </row>
    <row r="1178" spans="1:2">
      <c r="A1178" s="149" t="s">
        <v>2895</v>
      </c>
      <c r="B1178" s="149" t="s">
        <v>2896</v>
      </c>
    </row>
    <row r="1179" spans="1:2">
      <c r="A1179" s="149" t="s">
        <v>2897</v>
      </c>
      <c r="B1179" s="149" t="s">
        <v>2898</v>
      </c>
    </row>
    <row r="1180" spans="1:2">
      <c r="A1180" s="149" t="s">
        <v>2899</v>
      </c>
      <c r="B1180" s="149" t="s">
        <v>2900</v>
      </c>
    </row>
    <row r="1181" spans="1:2">
      <c r="A1181" s="149" t="s">
        <v>2901</v>
      </c>
      <c r="B1181" s="149" t="s">
        <v>2902</v>
      </c>
    </row>
    <row r="1182" spans="1:2">
      <c r="A1182" s="149" t="s">
        <v>2903</v>
      </c>
      <c r="B1182" s="149" t="s">
        <v>2904</v>
      </c>
    </row>
    <row r="1183" spans="1:2">
      <c r="A1183" s="149" t="s">
        <v>2905</v>
      </c>
      <c r="B1183" s="149" t="s">
        <v>2906</v>
      </c>
    </row>
    <row r="1184" spans="1:2">
      <c r="A1184" s="149" t="s">
        <v>2907</v>
      </c>
      <c r="B1184" s="149" t="s">
        <v>2908</v>
      </c>
    </row>
    <row r="1185" spans="1:2">
      <c r="A1185" s="149" t="s">
        <v>2909</v>
      </c>
      <c r="B1185" s="149" t="s">
        <v>2910</v>
      </c>
    </row>
    <row r="1186" spans="1:2">
      <c r="A1186" s="149" t="s">
        <v>2911</v>
      </c>
      <c r="B1186" s="149" t="s">
        <v>2912</v>
      </c>
    </row>
    <row r="1187" spans="1:2">
      <c r="A1187" s="149" t="s">
        <v>2913</v>
      </c>
      <c r="B1187" s="149" t="s">
        <v>2914</v>
      </c>
    </row>
    <row r="1188" spans="1:2">
      <c r="A1188" s="149" t="s">
        <v>2915</v>
      </c>
      <c r="B1188" s="149" t="s">
        <v>2916</v>
      </c>
    </row>
    <row r="1189" spans="1:2">
      <c r="A1189" s="149" t="s">
        <v>2917</v>
      </c>
      <c r="B1189" s="149" t="s">
        <v>2918</v>
      </c>
    </row>
    <row r="1190" spans="1:2">
      <c r="A1190" s="149" t="s">
        <v>2919</v>
      </c>
      <c r="B1190" s="149" t="s">
        <v>2920</v>
      </c>
    </row>
    <row r="1191" spans="1:2">
      <c r="A1191" s="149" t="s">
        <v>2921</v>
      </c>
      <c r="B1191" s="149" t="s">
        <v>2922</v>
      </c>
    </row>
    <row r="1192" spans="1:2">
      <c r="A1192" s="149" t="s">
        <v>2923</v>
      </c>
      <c r="B1192" s="149" t="s">
        <v>2924</v>
      </c>
    </row>
    <row r="1193" spans="1:2">
      <c r="A1193" s="149" t="s">
        <v>2925</v>
      </c>
      <c r="B1193" s="149" t="s">
        <v>2926</v>
      </c>
    </row>
    <row r="1194" spans="1:2">
      <c r="A1194" s="149" t="s">
        <v>2927</v>
      </c>
      <c r="B1194" s="149" t="s">
        <v>2928</v>
      </c>
    </row>
    <row r="1195" spans="1:2">
      <c r="A1195" s="149" t="s">
        <v>2929</v>
      </c>
      <c r="B1195" s="149" t="s">
        <v>2930</v>
      </c>
    </row>
    <row r="1196" spans="1:2">
      <c r="A1196" s="149" t="s">
        <v>2931</v>
      </c>
      <c r="B1196" s="149" t="s">
        <v>2932</v>
      </c>
    </row>
    <row r="1197" spans="1:2">
      <c r="A1197" s="149" t="s">
        <v>2933</v>
      </c>
      <c r="B1197" s="149" t="s">
        <v>2934</v>
      </c>
    </row>
    <row r="1198" spans="1:2">
      <c r="A1198" s="149" t="s">
        <v>2935</v>
      </c>
      <c r="B1198" s="149" t="s">
        <v>2936</v>
      </c>
    </row>
    <row r="1199" spans="1:2">
      <c r="A1199" s="149" t="s">
        <v>2937</v>
      </c>
      <c r="B1199" s="149" t="s">
        <v>2938</v>
      </c>
    </row>
    <row r="1200" spans="1:2">
      <c r="A1200" s="149" t="s">
        <v>2939</v>
      </c>
      <c r="B1200" s="149" t="s">
        <v>2940</v>
      </c>
    </row>
    <row r="1201" spans="1:2">
      <c r="A1201" s="149" t="s">
        <v>2941</v>
      </c>
      <c r="B1201" s="149" t="s">
        <v>2942</v>
      </c>
    </row>
    <row r="1202" spans="1:2">
      <c r="A1202" s="149" t="s">
        <v>2943</v>
      </c>
      <c r="B1202" s="149" t="s">
        <v>2944</v>
      </c>
    </row>
    <row r="1203" spans="1:2">
      <c r="A1203" s="149" t="s">
        <v>2945</v>
      </c>
      <c r="B1203" s="149" t="s">
        <v>2946</v>
      </c>
    </row>
    <row r="1204" spans="1:2">
      <c r="A1204" s="149" t="s">
        <v>2947</v>
      </c>
      <c r="B1204" s="149" t="s">
        <v>2948</v>
      </c>
    </row>
    <row r="1205" spans="1:2">
      <c r="A1205" s="149" t="s">
        <v>2949</v>
      </c>
      <c r="B1205" s="149" t="s">
        <v>2950</v>
      </c>
    </row>
    <row r="1206" spans="1:2">
      <c r="A1206" s="149" t="s">
        <v>2951</v>
      </c>
      <c r="B1206" s="149" t="s">
        <v>2952</v>
      </c>
    </row>
    <row r="1207" spans="1:2">
      <c r="A1207" s="149" t="s">
        <v>2953</v>
      </c>
      <c r="B1207" s="149" t="s">
        <v>2954</v>
      </c>
    </row>
    <row r="1208" spans="1:2">
      <c r="A1208" s="149" t="s">
        <v>2955</v>
      </c>
      <c r="B1208" s="149" t="s">
        <v>2956</v>
      </c>
    </row>
    <row r="1209" spans="1:2">
      <c r="A1209" s="149" t="s">
        <v>2957</v>
      </c>
      <c r="B1209" s="149" t="s">
        <v>2958</v>
      </c>
    </row>
    <row r="1210" spans="1:2">
      <c r="A1210" s="149" t="s">
        <v>2959</v>
      </c>
      <c r="B1210" s="149" t="s">
        <v>2960</v>
      </c>
    </row>
    <row r="1211" spans="1:2">
      <c r="A1211" s="149" t="s">
        <v>2961</v>
      </c>
      <c r="B1211" s="149" t="s">
        <v>2962</v>
      </c>
    </row>
    <row r="1212" spans="1:2">
      <c r="A1212" s="149" t="s">
        <v>2963</v>
      </c>
      <c r="B1212" s="149" t="s">
        <v>2964</v>
      </c>
    </row>
    <row r="1213" spans="1:2">
      <c r="A1213" s="149" t="s">
        <v>2965</v>
      </c>
      <c r="B1213" s="149" t="s">
        <v>2966</v>
      </c>
    </row>
    <row r="1214" spans="1:2">
      <c r="A1214" s="149" t="s">
        <v>2967</v>
      </c>
      <c r="B1214" s="149" t="s">
        <v>2968</v>
      </c>
    </row>
    <row r="1215" spans="1:2">
      <c r="A1215" s="149" t="s">
        <v>2969</v>
      </c>
      <c r="B1215" s="149" t="s">
        <v>2970</v>
      </c>
    </row>
    <row r="1216" spans="1:2">
      <c r="A1216" s="149" t="s">
        <v>2971</v>
      </c>
      <c r="B1216" s="149" t="s">
        <v>2972</v>
      </c>
    </row>
    <row r="1217" spans="1:2">
      <c r="A1217" s="149" t="s">
        <v>2973</v>
      </c>
      <c r="B1217" s="149" t="s">
        <v>2974</v>
      </c>
    </row>
    <row r="1218" spans="1:2">
      <c r="A1218" s="149" t="s">
        <v>2975</v>
      </c>
      <c r="B1218" s="149" t="s">
        <v>2976</v>
      </c>
    </row>
    <row r="1219" spans="1:2">
      <c r="A1219" s="149" t="s">
        <v>2977</v>
      </c>
      <c r="B1219" s="149" t="s">
        <v>2978</v>
      </c>
    </row>
    <row r="1220" spans="1:2">
      <c r="A1220" s="149" t="s">
        <v>2979</v>
      </c>
      <c r="B1220" s="149" t="s">
        <v>2980</v>
      </c>
    </row>
    <row r="1221" spans="1:2">
      <c r="A1221" s="149" t="s">
        <v>2981</v>
      </c>
      <c r="B1221" s="149" t="s">
        <v>2982</v>
      </c>
    </row>
    <row r="1222" spans="1:2">
      <c r="A1222" s="149" t="s">
        <v>2983</v>
      </c>
      <c r="B1222" s="149" t="s">
        <v>2984</v>
      </c>
    </row>
    <row r="1223" spans="1:2">
      <c r="A1223" s="149" t="s">
        <v>2985</v>
      </c>
      <c r="B1223" s="149" t="s">
        <v>2986</v>
      </c>
    </row>
    <row r="1224" spans="1:2">
      <c r="A1224" s="149" t="s">
        <v>2987</v>
      </c>
      <c r="B1224" s="149" t="s">
        <v>2988</v>
      </c>
    </row>
    <row r="1225" spans="1:2">
      <c r="A1225" s="149" t="s">
        <v>2989</v>
      </c>
      <c r="B1225" s="149" t="s">
        <v>2990</v>
      </c>
    </row>
    <row r="1226" spans="1:2">
      <c r="A1226" s="149" t="s">
        <v>2991</v>
      </c>
      <c r="B1226" s="149" t="s">
        <v>2992</v>
      </c>
    </row>
    <row r="1227" spans="1:2">
      <c r="A1227" s="149" t="s">
        <v>2993</v>
      </c>
      <c r="B1227" s="149" t="s">
        <v>2994</v>
      </c>
    </row>
    <row r="1228" spans="1:2">
      <c r="A1228" s="149" t="s">
        <v>2995</v>
      </c>
      <c r="B1228" s="149" t="s">
        <v>2996</v>
      </c>
    </row>
    <row r="1229" spans="1:2">
      <c r="A1229" s="149" t="s">
        <v>2997</v>
      </c>
      <c r="B1229" s="149" t="s">
        <v>2998</v>
      </c>
    </row>
    <row r="1230" spans="1:2">
      <c r="A1230" s="149" t="s">
        <v>2999</v>
      </c>
      <c r="B1230" s="149" t="s">
        <v>3000</v>
      </c>
    </row>
    <row r="1231" spans="1:2">
      <c r="A1231" s="149" t="s">
        <v>3001</v>
      </c>
      <c r="B1231" s="149" t="s">
        <v>3002</v>
      </c>
    </row>
    <row r="1232" spans="1:2">
      <c r="A1232" s="149" t="s">
        <v>3003</v>
      </c>
      <c r="B1232" s="149" t="s">
        <v>3004</v>
      </c>
    </row>
    <row r="1233" spans="1:2">
      <c r="A1233" s="149" t="s">
        <v>3005</v>
      </c>
      <c r="B1233" s="149" t="s">
        <v>3006</v>
      </c>
    </row>
    <row r="1234" spans="1:2">
      <c r="A1234" s="149" t="s">
        <v>3007</v>
      </c>
      <c r="B1234" s="149" t="s">
        <v>3008</v>
      </c>
    </row>
    <row r="1235" spans="1:2">
      <c r="A1235" s="149" t="s">
        <v>3009</v>
      </c>
      <c r="B1235" s="149" t="s">
        <v>3010</v>
      </c>
    </row>
    <row r="1236" spans="1:2">
      <c r="A1236" s="149" t="s">
        <v>3011</v>
      </c>
      <c r="B1236" s="149" t="s">
        <v>3012</v>
      </c>
    </row>
    <row r="1237" spans="1:2">
      <c r="A1237" s="149" t="s">
        <v>3013</v>
      </c>
      <c r="B1237" s="149" t="s">
        <v>3014</v>
      </c>
    </row>
    <row r="1238" spans="1:2">
      <c r="A1238" s="149" t="s">
        <v>3015</v>
      </c>
      <c r="B1238" s="149" t="s">
        <v>3016</v>
      </c>
    </row>
    <row r="1239" spans="1:2">
      <c r="A1239" s="149" t="s">
        <v>3017</v>
      </c>
      <c r="B1239" s="149" t="s">
        <v>3018</v>
      </c>
    </row>
    <row r="1240" spans="1:2">
      <c r="A1240" s="149" t="s">
        <v>3019</v>
      </c>
      <c r="B1240" s="149" t="s">
        <v>3020</v>
      </c>
    </row>
    <row r="1241" spans="1:2">
      <c r="A1241" s="149" t="s">
        <v>3021</v>
      </c>
      <c r="B1241" s="149" t="s">
        <v>3022</v>
      </c>
    </row>
    <row r="1242" spans="1:2">
      <c r="A1242" s="149" t="s">
        <v>3023</v>
      </c>
      <c r="B1242" s="149" t="s">
        <v>3024</v>
      </c>
    </row>
    <row r="1243" spans="1:2">
      <c r="A1243" s="149" t="s">
        <v>3025</v>
      </c>
      <c r="B1243" s="149" t="s">
        <v>3026</v>
      </c>
    </row>
    <row r="1244" spans="1:2">
      <c r="A1244" s="149" t="s">
        <v>3027</v>
      </c>
      <c r="B1244" s="149" t="s">
        <v>3028</v>
      </c>
    </row>
    <row r="1245" spans="1:2">
      <c r="A1245" s="149" t="s">
        <v>3029</v>
      </c>
      <c r="B1245" s="149" t="s">
        <v>3030</v>
      </c>
    </row>
    <row r="1246" spans="1:2">
      <c r="A1246" s="149" t="s">
        <v>3031</v>
      </c>
      <c r="B1246" s="149" t="s">
        <v>3032</v>
      </c>
    </row>
    <row r="1247" spans="1:2">
      <c r="A1247" s="149" t="s">
        <v>3033</v>
      </c>
      <c r="B1247" s="149" t="s">
        <v>3034</v>
      </c>
    </row>
    <row r="1248" spans="1:2">
      <c r="A1248" s="149" t="s">
        <v>3035</v>
      </c>
      <c r="B1248" s="149" t="s">
        <v>3036</v>
      </c>
    </row>
    <row r="1249" spans="1:2">
      <c r="A1249" s="149" t="s">
        <v>3037</v>
      </c>
      <c r="B1249" s="149" t="s">
        <v>3038</v>
      </c>
    </row>
    <row r="1250" spans="1:2">
      <c r="A1250" s="149" t="s">
        <v>3039</v>
      </c>
      <c r="B1250" s="149" t="s">
        <v>3040</v>
      </c>
    </row>
    <row r="1251" spans="1:2">
      <c r="A1251" s="149" t="s">
        <v>3041</v>
      </c>
      <c r="B1251" s="149" t="s">
        <v>3042</v>
      </c>
    </row>
    <row r="1252" spans="1:2">
      <c r="A1252" s="149" t="s">
        <v>3043</v>
      </c>
      <c r="B1252" s="149" t="s">
        <v>3044</v>
      </c>
    </row>
    <row r="1253" spans="1:2">
      <c r="A1253" s="149" t="s">
        <v>3045</v>
      </c>
      <c r="B1253" s="149" t="s">
        <v>3046</v>
      </c>
    </row>
    <row r="1254" spans="1:2">
      <c r="A1254" s="149" t="s">
        <v>3047</v>
      </c>
      <c r="B1254" s="149" t="s">
        <v>3048</v>
      </c>
    </row>
    <row r="1255" spans="1:2">
      <c r="A1255" s="149" t="s">
        <v>3049</v>
      </c>
      <c r="B1255" s="149" t="s">
        <v>3050</v>
      </c>
    </row>
    <row r="1256" spans="1:2">
      <c r="A1256" s="149" t="s">
        <v>3051</v>
      </c>
      <c r="B1256" s="149" t="s">
        <v>3052</v>
      </c>
    </row>
    <row r="1257" spans="1:2">
      <c r="A1257" s="149" t="s">
        <v>3053</v>
      </c>
      <c r="B1257" s="149" t="s">
        <v>3054</v>
      </c>
    </row>
    <row r="1258" spans="1:2">
      <c r="A1258" s="149" t="s">
        <v>3055</v>
      </c>
      <c r="B1258" s="149" t="s">
        <v>3056</v>
      </c>
    </row>
    <row r="1259" spans="1:2">
      <c r="A1259" s="149" t="s">
        <v>3057</v>
      </c>
      <c r="B1259" s="149" t="s">
        <v>3058</v>
      </c>
    </row>
    <row r="1260" spans="1:2">
      <c r="A1260" s="149" t="s">
        <v>3059</v>
      </c>
      <c r="B1260" s="149" t="s">
        <v>3060</v>
      </c>
    </row>
    <row r="1261" spans="1:2">
      <c r="A1261" s="149" t="s">
        <v>3061</v>
      </c>
      <c r="B1261" s="149" t="s">
        <v>3062</v>
      </c>
    </row>
    <row r="1262" spans="1:2">
      <c r="A1262" s="149" t="s">
        <v>3063</v>
      </c>
      <c r="B1262" s="149" t="s">
        <v>315</v>
      </c>
    </row>
    <row r="1263" spans="1:2">
      <c r="A1263" s="149" t="s">
        <v>3064</v>
      </c>
      <c r="B1263" s="149" t="s">
        <v>3065</v>
      </c>
    </row>
    <row r="1264" spans="1:2">
      <c r="A1264" s="149" t="s">
        <v>3066</v>
      </c>
      <c r="B1264" s="149" t="s">
        <v>3067</v>
      </c>
    </row>
    <row r="1265" spans="1:2">
      <c r="A1265" s="149" t="s">
        <v>3068</v>
      </c>
      <c r="B1265" s="149" t="s">
        <v>3069</v>
      </c>
    </row>
    <row r="1266" spans="1:2">
      <c r="A1266" s="149" t="s">
        <v>3070</v>
      </c>
      <c r="B1266" s="149" t="s">
        <v>3071</v>
      </c>
    </row>
    <row r="1267" spans="1:2">
      <c r="A1267" s="149" t="s">
        <v>3072</v>
      </c>
      <c r="B1267" s="149" t="s">
        <v>3073</v>
      </c>
    </row>
    <row r="1268" spans="1:2">
      <c r="A1268" s="149" t="s">
        <v>3074</v>
      </c>
      <c r="B1268" s="149" t="s">
        <v>3075</v>
      </c>
    </row>
    <row r="1269" spans="1:2">
      <c r="A1269" s="149" t="s">
        <v>3076</v>
      </c>
      <c r="B1269" s="149" t="s">
        <v>320</v>
      </c>
    </row>
    <row r="1270" spans="1:2">
      <c r="A1270" s="149" t="s">
        <v>3077</v>
      </c>
      <c r="B1270" s="149" t="s">
        <v>3078</v>
      </c>
    </row>
    <row r="1271" spans="1:2">
      <c r="A1271" s="149" t="s">
        <v>3079</v>
      </c>
      <c r="B1271" s="149" t="s">
        <v>3080</v>
      </c>
    </row>
    <row r="1272" spans="1:2">
      <c r="A1272" s="149" t="s">
        <v>3081</v>
      </c>
      <c r="B1272" s="149" t="s">
        <v>3082</v>
      </c>
    </row>
    <row r="1273" spans="1:2">
      <c r="A1273" s="149" t="s">
        <v>3083</v>
      </c>
      <c r="B1273" s="149" t="s">
        <v>3084</v>
      </c>
    </row>
    <row r="1274" spans="1:2">
      <c r="A1274" s="149" t="s">
        <v>3085</v>
      </c>
      <c r="B1274" s="149" t="s">
        <v>3086</v>
      </c>
    </row>
    <row r="1275" spans="1:2">
      <c r="A1275" s="149" t="s">
        <v>3087</v>
      </c>
      <c r="B1275" s="149" t="s">
        <v>3088</v>
      </c>
    </row>
    <row r="1276" spans="1:2">
      <c r="A1276" s="149" t="s">
        <v>3089</v>
      </c>
      <c r="B1276" s="149" t="s">
        <v>3090</v>
      </c>
    </row>
    <row r="1277" spans="1:2">
      <c r="A1277" s="149" t="s">
        <v>3091</v>
      </c>
      <c r="B1277" s="149" t="s">
        <v>3092</v>
      </c>
    </row>
    <row r="1278" spans="1:2">
      <c r="A1278" s="149" t="s">
        <v>3093</v>
      </c>
      <c r="B1278" s="149" t="s">
        <v>3094</v>
      </c>
    </row>
    <row r="1279" spans="1:2">
      <c r="A1279" s="149" t="s">
        <v>3095</v>
      </c>
      <c r="B1279" s="149" t="s">
        <v>325</v>
      </c>
    </row>
    <row r="1280" spans="1:2">
      <c r="A1280" s="149" t="s">
        <v>3096</v>
      </c>
      <c r="B1280" s="149" t="s">
        <v>3097</v>
      </c>
    </row>
    <row r="1281" spans="1:2">
      <c r="A1281" s="149" t="s">
        <v>3098</v>
      </c>
      <c r="B1281" s="149" t="s">
        <v>3099</v>
      </c>
    </row>
    <row r="1282" spans="1:2">
      <c r="A1282" s="149" t="s">
        <v>3100</v>
      </c>
      <c r="B1282" s="149" t="s">
        <v>3101</v>
      </c>
    </row>
    <row r="1283" spans="1:2">
      <c r="A1283" s="149" t="s">
        <v>3102</v>
      </c>
      <c r="B1283" s="149" t="s">
        <v>330</v>
      </c>
    </row>
    <row r="1284" spans="1:2">
      <c r="A1284" s="149" t="s">
        <v>3103</v>
      </c>
      <c r="B1284" s="149" t="s">
        <v>335</v>
      </c>
    </row>
    <row r="1285" spans="1:2">
      <c r="A1285" s="149" t="s">
        <v>3104</v>
      </c>
      <c r="B1285" s="149" t="s">
        <v>340</v>
      </c>
    </row>
    <row r="1286" spans="1:2">
      <c r="A1286" s="149" t="s">
        <v>3105</v>
      </c>
      <c r="B1286" s="149" t="s">
        <v>3106</v>
      </c>
    </row>
    <row r="1287" spans="1:2">
      <c r="A1287" s="149" t="s">
        <v>3107</v>
      </c>
      <c r="B1287" s="149" t="s">
        <v>3108</v>
      </c>
    </row>
    <row r="1288" spans="1:2">
      <c r="A1288" s="149" t="s">
        <v>3109</v>
      </c>
      <c r="B1288" s="149" t="s">
        <v>3110</v>
      </c>
    </row>
    <row r="1289" spans="1:2">
      <c r="A1289" s="149" t="s">
        <v>3111</v>
      </c>
      <c r="B1289" s="149" t="s">
        <v>3112</v>
      </c>
    </row>
    <row r="1290" spans="1:2">
      <c r="A1290" s="149" t="s">
        <v>3113</v>
      </c>
      <c r="B1290" s="149" t="s">
        <v>3114</v>
      </c>
    </row>
    <row r="1291" spans="1:2">
      <c r="A1291" s="149" t="s">
        <v>3115</v>
      </c>
      <c r="B1291" s="149" t="s">
        <v>3116</v>
      </c>
    </row>
    <row r="1292" spans="1:2">
      <c r="A1292" s="149" t="s">
        <v>3117</v>
      </c>
      <c r="B1292" s="149" t="s">
        <v>3118</v>
      </c>
    </row>
    <row r="1293" spans="1:2">
      <c r="A1293" s="149" t="s">
        <v>3119</v>
      </c>
      <c r="B1293" s="149" t="s">
        <v>3120</v>
      </c>
    </row>
    <row r="1294" spans="1:2">
      <c r="A1294" s="149" t="s">
        <v>3121</v>
      </c>
      <c r="B1294" s="149" t="s">
        <v>3122</v>
      </c>
    </row>
    <row r="1295" spans="1:2">
      <c r="A1295" s="149" t="s">
        <v>3123</v>
      </c>
      <c r="B1295" s="149" t="s">
        <v>3124</v>
      </c>
    </row>
    <row r="1296" spans="1:2">
      <c r="A1296" s="149" t="s">
        <v>3125</v>
      </c>
      <c r="B1296" s="149" t="s">
        <v>3126</v>
      </c>
    </row>
    <row r="1297" spans="1:2">
      <c r="A1297" s="149" t="s">
        <v>3127</v>
      </c>
      <c r="B1297" s="149" t="s">
        <v>3128</v>
      </c>
    </row>
    <row r="1298" spans="1:2">
      <c r="A1298" s="149" t="s">
        <v>3129</v>
      </c>
      <c r="B1298" s="149" t="s">
        <v>3130</v>
      </c>
    </row>
    <row r="1299" spans="1:2">
      <c r="A1299" s="149" t="s">
        <v>3131</v>
      </c>
      <c r="B1299" s="149" t="s">
        <v>3132</v>
      </c>
    </row>
    <row r="1300" spans="1:2">
      <c r="A1300" s="149" t="s">
        <v>3133</v>
      </c>
      <c r="B1300" s="149" t="s">
        <v>345</v>
      </c>
    </row>
    <row r="1301" spans="1:2">
      <c r="A1301" s="149" t="s">
        <v>3134</v>
      </c>
      <c r="B1301" s="149" t="s">
        <v>3135</v>
      </c>
    </row>
    <row r="1302" spans="1:2">
      <c r="A1302" s="149" t="s">
        <v>3136</v>
      </c>
      <c r="B1302" s="149" t="s">
        <v>3137</v>
      </c>
    </row>
    <row r="1303" spans="1:2">
      <c r="A1303" s="149" t="s">
        <v>3138</v>
      </c>
      <c r="B1303" s="149" t="s">
        <v>350</v>
      </c>
    </row>
    <row r="1304" spans="1:2">
      <c r="A1304" s="149" t="s">
        <v>3139</v>
      </c>
      <c r="B1304" s="149" t="s">
        <v>3140</v>
      </c>
    </row>
    <row r="1305" spans="1:2">
      <c r="A1305" s="149" t="s">
        <v>3141</v>
      </c>
      <c r="B1305" s="149" t="s">
        <v>3142</v>
      </c>
    </row>
    <row r="1306" spans="1:2">
      <c r="A1306" s="149" t="s">
        <v>3143</v>
      </c>
      <c r="B1306" s="149" t="s">
        <v>3144</v>
      </c>
    </row>
    <row r="1307" spans="1:2">
      <c r="A1307" s="149" t="s">
        <v>3145</v>
      </c>
      <c r="B1307" s="149" t="s">
        <v>3146</v>
      </c>
    </row>
    <row r="1308" spans="1:2">
      <c r="A1308" s="149" t="s">
        <v>3147</v>
      </c>
      <c r="B1308" s="149" t="s">
        <v>3148</v>
      </c>
    </row>
    <row r="1309" spans="1:2">
      <c r="A1309" s="149" t="s">
        <v>3149</v>
      </c>
      <c r="B1309" s="149" t="s">
        <v>3150</v>
      </c>
    </row>
    <row r="1310" spans="1:2">
      <c r="A1310" s="149" t="s">
        <v>3151</v>
      </c>
      <c r="B1310" s="149" t="s">
        <v>3152</v>
      </c>
    </row>
    <row r="1311" spans="1:2">
      <c r="A1311" s="149" t="s">
        <v>3153</v>
      </c>
      <c r="B1311" s="149" t="s">
        <v>3154</v>
      </c>
    </row>
    <row r="1312" spans="1:2">
      <c r="A1312" s="149" t="s">
        <v>3155</v>
      </c>
      <c r="B1312" s="149" t="s">
        <v>3156</v>
      </c>
    </row>
    <row r="1313" spans="1:2">
      <c r="A1313" s="149" t="s">
        <v>3157</v>
      </c>
      <c r="B1313" s="149" t="s">
        <v>3158</v>
      </c>
    </row>
    <row r="1314" spans="1:2">
      <c r="A1314" s="149" t="s">
        <v>3159</v>
      </c>
      <c r="B1314" s="149" t="s">
        <v>3160</v>
      </c>
    </row>
    <row r="1315" spans="1:2">
      <c r="A1315" s="149" t="s">
        <v>3161</v>
      </c>
      <c r="B1315" s="149" t="s">
        <v>3162</v>
      </c>
    </row>
    <row r="1316" spans="1:2">
      <c r="A1316" s="149" t="s">
        <v>3163</v>
      </c>
      <c r="B1316" s="149" t="s">
        <v>3164</v>
      </c>
    </row>
    <row r="1317" spans="1:2">
      <c r="A1317" s="149" t="s">
        <v>3165</v>
      </c>
      <c r="B1317" s="149" t="s">
        <v>3166</v>
      </c>
    </row>
    <row r="1318" spans="1:2">
      <c r="A1318" s="149" t="s">
        <v>3167</v>
      </c>
      <c r="B1318" s="149" t="s">
        <v>3168</v>
      </c>
    </row>
    <row r="1319" spans="1:2">
      <c r="A1319" s="149" t="s">
        <v>3169</v>
      </c>
      <c r="B1319" s="149" t="s">
        <v>3170</v>
      </c>
    </row>
    <row r="1320" spans="1:2">
      <c r="A1320" s="149" t="s">
        <v>3171</v>
      </c>
      <c r="B1320" s="149" t="s">
        <v>3172</v>
      </c>
    </row>
    <row r="1321" spans="1:2">
      <c r="A1321" s="149" t="s">
        <v>3173</v>
      </c>
      <c r="B1321" s="149" t="s">
        <v>3174</v>
      </c>
    </row>
    <row r="1322" spans="1:2">
      <c r="A1322" s="149" t="s">
        <v>3175</v>
      </c>
      <c r="B1322" s="149" t="s">
        <v>3176</v>
      </c>
    </row>
    <row r="1323" spans="1:2">
      <c r="A1323" s="149" t="s">
        <v>3177</v>
      </c>
      <c r="B1323" s="149" t="s">
        <v>3178</v>
      </c>
    </row>
    <row r="1324" spans="1:2">
      <c r="A1324" s="149" t="s">
        <v>3179</v>
      </c>
      <c r="B1324" s="149" t="s">
        <v>3180</v>
      </c>
    </row>
    <row r="1325" spans="1:2">
      <c r="A1325" s="149" t="s">
        <v>3181</v>
      </c>
      <c r="B1325" s="149" t="s">
        <v>3182</v>
      </c>
    </row>
    <row r="1326" spans="1:2">
      <c r="A1326" s="149" t="s">
        <v>3183</v>
      </c>
      <c r="B1326" s="149" t="s">
        <v>3184</v>
      </c>
    </row>
    <row r="1327" spans="1:2">
      <c r="A1327" s="149" t="s">
        <v>3185</v>
      </c>
      <c r="B1327" s="149" t="s">
        <v>3186</v>
      </c>
    </row>
    <row r="1328" spans="1:2">
      <c r="A1328" s="149" t="s">
        <v>3187</v>
      </c>
      <c r="B1328" s="149" t="s">
        <v>3188</v>
      </c>
    </row>
    <row r="1329" spans="1:2">
      <c r="A1329" s="149" t="s">
        <v>3189</v>
      </c>
      <c r="B1329" s="149" t="s">
        <v>3190</v>
      </c>
    </row>
    <row r="1330" spans="1:2">
      <c r="A1330" s="149" t="s">
        <v>3191</v>
      </c>
      <c r="B1330" s="149" t="s">
        <v>3192</v>
      </c>
    </row>
    <row r="1331" spans="1:2">
      <c r="A1331" s="149" t="s">
        <v>3193</v>
      </c>
      <c r="B1331" s="149" t="s">
        <v>3194</v>
      </c>
    </row>
    <row r="1332" spans="1:2">
      <c r="A1332" s="149" t="s">
        <v>3195</v>
      </c>
      <c r="B1332" s="149" t="s">
        <v>3196</v>
      </c>
    </row>
    <row r="1333" spans="1:2">
      <c r="A1333" s="149" t="s">
        <v>3197</v>
      </c>
      <c r="B1333" s="149" t="s">
        <v>3198</v>
      </c>
    </row>
    <row r="1334" spans="1:2">
      <c r="A1334" s="149" t="s">
        <v>3199</v>
      </c>
      <c r="B1334" s="149" t="s">
        <v>3200</v>
      </c>
    </row>
    <row r="1335" spans="1:2">
      <c r="A1335" s="149" t="s">
        <v>3201</v>
      </c>
      <c r="B1335" s="149" t="s">
        <v>3202</v>
      </c>
    </row>
    <row r="1336" spans="1:2">
      <c r="A1336" s="149" t="s">
        <v>3203</v>
      </c>
      <c r="B1336" s="149" t="s">
        <v>3204</v>
      </c>
    </row>
    <row r="1337" spans="1:2">
      <c r="A1337" s="149" t="s">
        <v>3205</v>
      </c>
      <c r="B1337" s="149" t="s">
        <v>3206</v>
      </c>
    </row>
    <row r="1338" spans="1:2">
      <c r="A1338" s="149" t="s">
        <v>3207</v>
      </c>
      <c r="B1338" s="149" t="s">
        <v>3208</v>
      </c>
    </row>
    <row r="1339" spans="1:2">
      <c r="A1339" s="149" t="s">
        <v>3209</v>
      </c>
      <c r="B1339" s="149" t="s">
        <v>3210</v>
      </c>
    </row>
    <row r="1340" spans="1:2">
      <c r="A1340" s="149" t="s">
        <v>3211</v>
      </c>
      <c r="B1340" s="149" t="s">
        <v>3212</v>
      </c>
    </row>
    <row r="1341" spans="1:2">
      <c r="A1341" s="149" t="s">
        <v>3213</v>
      </c>
      <c r="B1341" s="149" t="s">
        <v>3214</v>
      </c>
    </row>
    <row r="1342" spans="1:2">
      <c r="A1342" s="149" t="s">
        <v>3215</v>
      </c>
      <c r="B1342" s="149" t="s">
        <v>3216</v>
      </c>
    </row>
    <row r="1343" spans="1:2">
      <c r="A1343" s="149" t="s">
        <v>3217</v>
      </c>
      <c r="B1343" s="149" t="s">
        <v>3218</v>
      </c>
    </row>
    <row r="1344" spans="1:2">
      <c r="A1344" s="149" t="s">
        <v>3219</v>
      </c>
      <c r="B1344" s="149" t="s">
        <v>3220</v>
      </c>
    </row>
    <row r="1345" spans="1:2">
      <c r="A1345" s="149" t="s">
        <v>3221</v>
      </c>
      <c r="B1345" s="149" t="s">
        <v>3222</v>
      </c>
    </row>
    <row r="1346" spans="1:2">
      <c r="A1346" s="149" t="s">
        <v>3223</v>
      </c>
      <c r="B1346" s="149" t="s">
        <v>3224</v>
      </c>
    </row>
    <row r="1347" spans="1:2">
      <c r="A1347" s="149" t="s">
        <v>3225</v>
      </c>
      <c r="B1347" s="149" t="s">
        <v>3226</v>
      </c>
    </row>
    <row r="1348" spans="1:2">
      <c r="A1348" s="149" t="s">
        <v>3227</v>
      </c>
      <c r="B1348" s="149" t="s">
        <v>3228</v>
      </c>
    </row>
    <row r="1349" spans="1:2">
      <c r="A1349" s="149" t="s">
        <v>3229</v>
      </c>
      <c r="B1349" s="149" t="s">
        <v>3230</v>
      </c>
    </row>
    <row r="1350" spans="1:2">
      <c r="A1350" s="149" t="s">
        <v>3231</v>
      </c>
      <c r="B1350" s="149" t="s">
        <v>3232</v>
      </c>
    </row>
    <row r="1351" spans="1:2">
      <c r="A1351" s="149" t="s">
        <v>3233</v>
      </c>
      <c r="B1351" s="149" t="s">
        <v>3234</v>
      </c>
    </row>
    <row r="1352" spans="1:2">
      <c r="A1352" s="149" t="s">
        <v>3235</v>
      </c>
      <c r="B1352" s="149" t="s">
        <v>3236</v>
      </c>
    </row>
    <row r="1353" spans="1:2">
      <c r="A1353" s="149" t="s">
        <v>3237</v>
      </c>
      <c r="B1353" s="149" t="s">
        <v>3238</v>
      </c>
    </row>
    <row r="1354" spans="1:2">
      <c r="A1354" s="149" t="s">
        <v>3239</v>
      </c>
      <c r="B1354" s="149" t="s">
        <v>3240</v>
      </c>
    </row>
    <row r="1355" spans="1:2">
      <c r="A1355" s="149" t="s">
        <v>3241</v>
      </c>
      <c r="B1355" s="149" t="s">
        <v>355</v>
      </c>
    </row>
    <row r="1356" spans="1:2">
      <c r="A1356" s="149" t="s">
        <v>3242</v>
      </c>
      <c r="B1356" s="149" t="s">
        <v>3243</v>
      </c>
    </row>
    <row r="1357" spans="1:2">
      <c r="A1357" s="149" t="s">
        <v>3244</v>
      </c>
      <c r="B1357" s="149" t="s">
        <v>360</v>
      </c>
    </row>
    <row r="1358" spans="1:2">
      <c r="A1358" s="149" t="s">
        <v>3245</v>
      </c>
      <c r="B1358" s="149" t="s">
        <v>3246</v>
      </c>
    </row>
    <row r="1359" spans="1:2">
      <c r="A1359" s="149" t="s">
        <v>3247</v>
      </c>
      <c r="B1359" s="149" t="s">
        <v>3248</v>
      </c>
    </row>
    <row r="1360" spans="1:2">
      <c r="A1360" s="149" t="s">
        <v>3249</v>
      </c>
      <c r="B1360" s="149" t="s">
        <v>3250</v>
      </c>
    </row>
    <row r="1361" spans="1:2">
      <c r="A1361" s="149" t="s">
        <v>3251</v>
      </c>
      <c r="B1361" s="149" t="s">
        <v>3252</v>
      </c>
    </row>
    <row r="1362" spans="1:2">
      <c r="A1362" s="149" t="s">
        <v>3253</v>
      </c>
      <c r="B1362" s="149" t="s">
        <v>3254</v>
      </c>
    </row>
    <row r="1363" spans="1:2">
      <c r="A1363" s="149" t="s">
        <v>3255</v>
      </c>
      <c r="B1363" s="149" t="s">
        <v>3256</v>
      </c>
    </row>
    <row r="1364" spans="1:2">
      <c r="A1364" s="149" t="s">
        <v>3257</v>
      </c>
      <c r="B1364" s="149" t="s">
        <v>3258</v>
      </c>
    </row>
    <row r="1365" spans="1:2">
      <c r="A1365" s="149" t="s">
        <v>3259</v>
      </c>
      <c r="B1365" s="149" t="s">
        <v>3260</v>
      </c>
    </row>
    <row r="1366" spans="1:2">
      <c r="A1366" s="149" t="s">
        <v>3261</v>
      </c>
      <c r="B1366" s="149" t="s">
        <v>3262</v>
      </c>
    </row>
    <row r="1367" spans="1:2">
      <c r="A1367" s="149" t="s">
        <v>3263</v>
      </c>
      <c r="B1367" s="149" t="s">
        <v>3264</v>
      </c>
    </row>
    <row r="1368" spans="1:2">
      <c r="A1368" s="149" t="s">
        <v>3265</v>
      </c>
      <c r="B1368" s="149" t="s">
        <v>3266</v>
      </c>
    </row>
    <row r="1369" spans="1:2">
      <c r="A1369" s="149" t="s">
        <v>3267</v>
      </c>
      <c r="B1369" s="149" t="s">
        <v>3268</v>
      </c>
    </row>
    <row r="1370" spans="1:2">
      <c r="A1370" s="149" t="s">
        <v>3269</v>
      </c>
      <c r="B1370" s="149" t="s">
        <v>3270</v>
      </c>
    </row>
    <row r="1371" spans="1:2">
      <c r="A1371" s="149" t="s">
        <v>3271</v>
      </c>
      <c r="B1371" s="149" t="s">
        <v>3272</v>
      </c>
    </row>
    <row r="1372" spans="1:2">
      <c r="A1372" s="149" t="s">
        <v>3273</v>
      </c>
      <c r="B1372" s="149" t="s">
        <v>3274</v>
      </c>
    </row>
    <row r="1373" spans="1:2">
      <c r="A1373" s="149" t="s">
        <v>3275</v>
      </c>
      <c r="B1373" s="149" t="s">
        <v>3276</v>
      </c>
    </row>
    <row r="1374" spans="1:2">
      <c r="A1374" s="149" t="s">
        <v>3277</v>
      </c>
      <c r="B1374" s="149" t="s">
        <v>3278</v>
      </c>
    </row>
    <row r="1375" spans="1:2">
      <c r="A1375" s="149" t="s">
        <v>3279</v>
      </c>
      <c r="B1375" s="149" t="s">
        <v>3280</v>
      </c>
    </row>
    <row r="1376" spans="1:2">
      <c r="A1376" s="149" t="s">
        <v>3281</v>
      </c>
      <c r="B1376" s="149" t="s">
        <v>3282</v>
      </c>
    </row>
    <row r="1377" spans="1:2">
      <c r="A1377" s="149" t="s">
        <v>3283</v>
      </c>
      <c r="B1377" s="149" t="s">
        <v>3284</v>
      </c>
    </row>
    <row r="1378" spans="1:2">
      <c r="A1378" s="149" t="s">
        <v>3285</v>
      </c>
      <c r="B1378" s="149" t="s">
        <v>3286</v>
      </c>
    </row>
    <row r="1379" spans="1:2">
      <c r="A1379" s="149" t="s">
        <v>3287</v>
      </c>
      <c r="B1379" s="149" t="s">
        <v>3288</v>
      </c>
    </row>
    <row r="1380" spans="1:2">
      <c r="A1380" s="149" t="s">
        <v>3289</v>
      </c>
      <c r="B1380" s="149" t="s">
        <v>3290</v>
      </c>
    </row>
    <row r="1381" spans="1:2">
      <c r="A1381" s="149" t="s">
        <v>3291</v>
      </c>
      <c r="B1381" s="149" t="s">
        <v>3292</v>
      </c>
    </row>
    <row r="1382" spans="1:2">
      <c r="A1382" s="149" t="s">
        <v>3293</v>
      </c>
      <c r="B1382" s="149" t="s">
        <v>3294</v>
      </c>
    </row>
    <row r="1383" spans="1:2">
      <c r="A1383" s="149" t="s">
        <v>3295</v>
      </c>
      <c r="B1383" s="149" t="s">
        <v>3296</v>
      </c>
    </row>
    <row r="1384" spans="1:2">
      <c r="A1384" s="149" t="s">
        <v>3297</v>
      </c>
      <c r="B1384" s="149" t="s">
        <v>3298</v>
      </c>
    </row>
    <row r="1385" spans="1:2">
      <c r="A1385" s="149" t="s">
        <v>3299</v>
      </c>
      <c r="B1385" s="149" t="s">
        <v>922</v>
      </c>
    </row>
    <row r="1386" spans="1:2">
      <c r="A1386" s="149" t="s">
        <v>3300</v>
      </c>
      <c r="B1386" s="149" t="s">
        <v>3301</v>
      </c>
    </row>
    <row r="1387" spans="1:2">
      <c r="A1387" s="149" t="s">
        <v>3302</v>
      </c>
      <c r="B1387" s="149" t="s">
        <v>365</v>
      </c>
    </row>
    <row r="1388" spans="1:2">
      <c r="A1388" s="149" t="s">
        <v>3303</v>
      </c>
      <c r="B1388" s="149" t="s">
        <v>3304</v>
      </c>
    </row>
    <row r="1389" spans="1:2">
      <c r="A1389" s="149" t="s">
        <v>3305</v>
      </c>
      <c r="B1389" s="149" t="s">
        <v>370</v>
      </c>
    </row>
    <row r="1390" spans="1:2">
      <c r="A1390" s="149" t="s">
        <v>3306</v>
      </c>
      <c r="B1390" s="149" t="s">
        <v>3307</v>
      </c>
    </row>
    <row r="1391" spans="1:2">
      <c r="A1391" s="149" t="s">
        <v>3308</v>
      </c>
      <c r="B1391" s="149" t="s">
        <v>375</v>
      </c>
    </row>
    <row r="1392" spans="1:2">
      <c r="A1392" s="149" t="s">
        <v>3309</v>
      </c>
      <c r="B1392" s="149" t="s">
        <v>380</v>
      </c>
    </row>
    <row r="1393" spans="1:2">
      <c r="A1393" s="149" t="s">
        <v>3310</v>
      </c>
      <c r="B1393" s="149" t="s">
        <v>120</v>
      </c>
    </row>
    <row r="1394" spans="1:2">
      <c r="A1394" s="149" t="s">
        <v>3311</v>
      </c>
      <c r="B1394" s="149" t="s">
        <v>3312</v>
      </c>
    </row>
    <row r="1395" spans="1:2">
      <c r="A1395" s="149" t="s">
        <v>3313</v>
      </c>
      <c r="B1395" s="149" t="s">
        <v>3314</v>
      </c>
    </row>
    <row r="1396" spans="1:2">
      <c r="A1396" s="149" t="s">
        <v>3315</v>
      </c>
      <c r="B1396" s="149" t="s">
        <v>3316</v>
      </c>
    </row>
    <row r="1397" spans="1:2">
      <c r="A1397" s="149" t="s">
        <v>3317</v>
      </c>
      <c r="B1397" s="149" t="s">
        <v>385</v>
      </c>
    </row>
    <row r="1398" spans="1:2">
      <c r="A1398" s="149" t="s">
        <v>3318</v>
      </c>
      <c r="B1398" s="149" t="s">
        <v>3319</v>
      </c>
    </row>
    <row r="1399" spans="1:2">
      <c r="A1399" s="149" t="s">
        <v>3320</v>
      </c>
      <c r="B1399" s="149" t="s">
        <v>3321</v>
      </c>
    </row>
    <row r="1400" spans="1:2">
      <c r="A1400" s="149" t="s">
        <v>3322</v>
      </c>
      <c r="B1400" s="149" t="s">
        <v>3323</v>
      </c>
    </row>
    <row r="1401" spans="1:2">
      <c r="A1401" s="149" t="s">
        <v>3324</v>
      </c>
      <c r="B1401" s="149" t="s">
        <v>3325</v>
      </c>
    </row>
    <row r="1402" spans="1:2">
      <c r="A1402" s="149" t="s">
        <v>3326</v>
      </c>
      <c r="B1402" s="149" t="s">
        <v>3327</v>
      </c>
    </row>
    <row r="1403" spans="1:2">
      <c r="A1403" s="149" t="s">
        <v>3328</v>
      </c>
      <c r="B1403" s="149" t="s">
        <v>3329</v>
      </c>
    </row>
    <row r="1404" spans="1:2">
      <c r="A1404" s="149" t="s">
        <v>3330</v>
      </c>
      <c r="B1404" s="149" t="s">
        <v>3331</v>
      </c>
    </row>
    <row r="1405" spans="1:2">
      <c r="A1405" s="149" t="s">
        <v>3332</v>
      </c>
      <c r="B1405" s="149" t="s">
        <v>3333</v>
      </c>
    </row>
    <row r="1406" spans="1:2">
      <c r="A1406" s="149" t="s">
        <v>3334</v>
      </c>
      <c r="B1406" s="149" t="s">
        <v>3335</v>
      </c>
    </row>
    <row r="1407" spans="1:2">
      <c r="A1407" s="149" t="s">
        <v>3336</v>
      </c>
      <c r="B1407" s="149" t="s">
        <v>3337</v>
      </c>
    </row>
    <row r="1408" spans="1:2">
      <c r="A1408" s="149" t="s">
        <v>3338</v>
      </c>
      <c r="B1408" s="149" t="s">
        <v>3339</v>
      </c>
    </row>
    <row r="1409" spans="1:2">
      <c r="A1409" s="149" t="s">
        <v>3340</v>
      </c>
      <c r="B1409" s="149" t="s">
        <v>3341</v>
      </c>
    </row>
    <row r="1410" spans="1:2">
      <c r="A1410" s="149" t="s">
        <v>3342</v>
      </c>
      <c r="B1410" s="149" t="s">
        <v>3343</v>
      </c>
    </row>
    <row r="1411" spans="1:2">
      <c r="A1411" s="149" t="s">
        <v>3344</v>
      </c>
      <c r="B1411" s="149" t="s">
        <v>3345</v>
      </c>
    </row>
    <row r="1412" spans="1:2">
      <c r="A1412" s="149" t="s">
        <v>3346</v>
      </c>
      <c r="B1412" s="149" t="s">
        <v>3347</v>
      </c>
    </row>
    <row r="1413" spans="1:2">
      <c r="A1413" s="149" t="s">
        <v>3348</v>
      </c>
      <c r="B1413" s="149" t="s">
        <v>3349</v>
      </c>
    </row>
    <row r="1414" spans="1:2">
      <c r="A1414" s="149" t="s">
        <v>3350</v>
      </c>
      <c r="B1414" s="149" t="s">
        <v>3351</v>
      </c>
    </row>
    <row r="1415" spans="1:2">
      <c r="A1415" s="149" t="s">
        <v>3352</v>
      </c>
      <c r="B1415" s="149" t="s">
        <v>3353</v>
      </c>
    </row>
    <row r="1416" spans="1:2">
      <c r="A1416" s="149" t="s">
        <v>3354</v>
      </c>
      <c r="B1416" s="149" t="s">
        <v>3355</v>
      </c>
    </row>
    <row r="1417" spans="1:2">
      <c r="A1417" s="149" t="s">
        <v>3356</v>
      </c>
      <c r="B1417" s="149" t="s">
        <v>3357</v>
      </c>
    </row>
    <row r="1418" spans="1:2">
      <c r="A1418" s="149" t="s">
        <v>3358</v>
      </c>
      <c r="B1418" s="149" t="s">
        <v>3359</v>
      </c>
    </row>
    <row r="1419" spans="1:2">
      <c r="A1419" s="149" t="s">
        <v>3360</v>
      </c>
      <c r="B1419" s="149" t="s">
        <v>3361</v>
      </c>
    </row>
    <row r="1420" spans="1:2">
      <c r="A1420" s="149" t="s">
        <v>3362</v>
      </c>
      <c r="B1420" s="149" t="s">
        <v>3363</v>
      </c>
    </row>
    <row r="1421" spans="1:2">
      <c r="A1421" s="149" t="s">
        <v>3364</v>
      </c>
      <c r="B1421" s="149" t="s">
        <v>3365</v>
      </c>
    </row>
    <row r="1422" spans="1:2">
      <c r="A1422" s="149" t="s">
        <v>3366</v>
      </c>
      <c r="B1422" s="149" t="s">
        <v>3367</v>
      </c>
    </row>
    <row r="1423" spans="1:2">
      <c r="A1423" s="149" t="s">
        <v>3368</v>
      </c>
      <c r="B1423" s="149" t="s">
        <v>3369</v>
      </c>
    </row>
    <row r="1424" spans="1:2">
      <c r="A1424" s="149" t="s">
        <v>3370</v>
      </c>
      <c r="B1424" s="149" t="s">
        <v>3371</v>
      </c>
    </row>
    <row r="1425" spans="1:2">
      <c r="A1425" s="149" t="s">
        <v>3372</v>
      </c>
      <c r="B1425" s="149" t="s">
        <v>3373</v>
      </c>
    </row>
    <row r="1426" spans="1:2">
      <c r="A1426" s="149" t="s">
        <v>3374</v>
      </c>
      <c r="B1426" s="149" t="s">
        <v>3375</v>
      </c>
    </row>
    <row r="1427" spans="1:2">
      <c r="A1427" s="149" t="s">
        <v>3376</v>
      </c>
      <c r="B1427" s="149" t="s">
        <v>3377</v>
      </c>
    </row>
    <row r="1428" spans="1:2">
      <c r="A1428" s="149" t="s">
        <v>3378</v>
      </c>
      <c r="B1428" s="149" t="s">
        <v>3379</v>
      </c>
    </row>
    <row r="1429" spans="1:2">
      <c r="A1429" s="149" t="s">
        <v>3380</v>
      </c>
      <c r="B1429" s="149" t="s">
        <v>3381</v>
      </c>
    </row>
    <row r="1430" spans="1:2">
      <c r="A1430" s="149" t="s">
        <v>3382</v>
      </c>
      <c r="B1430" s="149" t="s">
        <v>3383</v>
      </c>
    </row>
    <row r="1431" spans="1:2">
      <c r="A1431" s="149" t="s">
        <v>3384</v>
      </c>
      <c r="B1431" s="149" t="s">
        <v>3385</v>
      </c>
    </row>
    <row r="1432" spans="1:2">
      <c r="A1432" s="149" t="s">
        <v>3386</v>
      </c>
      <c r="B1432" s="149" t="s">
        <v>3387</v>
      </c>
    </row>
    <row r="1433" spans="1:2">
      <c r="A1433" s="149" t="s">
        <v>3388</v>
      </c>
      <c r="B1433" s="149" t="s">
        <v>3389</v>
      </c>
    </row>
    <row r="1434" spans="1:2">
      <c r="A1434" s="149" t="s">
        <v>3390</v>
      </c>
      <c r="B1434" s="149" t="s">
        <v>3391</v>
      </c>
    </row>
    <row r="1435" spans="1:2">
      <c r="A1435" s="149" t="s">
        <v>3392</v>
      </c>
      <c r="B1435" s="149" t="s">
        <v>3393</v>
      </c>
    </row>
    <row r="1436" spans="1:2">
      <c r="A1436" s="149" t="s">
        <v>3394</v>
      </c>
      <c r="B1436" s="149" t="s">
        <v>3395</v>
      </c>
    </row>
    <row r="1437" spans="1:2">
      <c r="A1437" s="149" t="s">
        <v>3396</v>
      </c>
      <c r="B1437" s="149" t="s">
        <v>3397</v>
      </c>
    </row>
    <row r="1438" spans="1:2">
      <c r="A1438" s="149" t="s">
        <v>3398</v>
      </c>
      <c r="B1438" s="149" t="s">
        <v>3399</v>
      </c>
    </row>
    <row r="1439" spans="1:2">
      <c r="A1439" s="149" t="s">
        <v>3400</v>
      </c>
      <c r="B1439" s="149" t="s">
        <v>3401</v>
      </c>
    </row>
    <row r="1440" spans="1:2">
      <c r="A1440" s="149" t="s">
        <v>3402</v>
      </c>
      <c r="B1440" s="149" t="s">
        <v>3403</v>
      </c>
    </row>
    <row r="1441" spans="1:2">
      <c r="A1441" s="149" t="s">
        <v>3404</v>
      </c>
      <c r="B1441" s="149" t="s">
        <v>3405</v>
      </c>
    </row>
    <row r="1442" spans="1:2">
      <c r="A1442" s="149" t="s">
        <v>3406</v>
      </c>
      <c r="B1442" s="149" t="s">
        <v>3407</v>
      </c>
    </row>
    <row r="1443" spans="1:2">
      <c r="A1443" s="149" t="s">
        <v>3408</v>
      </c>
      <c r="B1443" s="149" t="s">
        <v>3409</v>
      </c>
    </row>
    <row r="1444" spans="1:2">
      <c r="A1444" s="149" t="s">
        <v>3410</v>
      </c>
      <c r="B1444" s="149" t="s">
        <v>3411</v>
      </c>
    </row>
    <row r="1445" spans="1:2">
      <c r="A1445" s="149" t="s">
        <v>3412</v>
      </c>
      <c r="B1445" s="149" t="s">
        <v>3413</v>
      </c>
    </row>
    <row r="1446" spans="1:2">
      <c r="A1446" s="149" t="s">
        <v>3414</v>
      </c>
      <c r="B1446" s="149" t="s">
        <v>3415</v>
      </c>
    </row>
    <row r="1447" spans="1:2">
      <c r="A1447" s="149" t="s">
        <v>3416</v>
      </c>
      <c r="B1447" s="149" t="s">
        <v>3417</v>
      </c>
    </row>
    <row r="1448" spans="1:2">
      <c r="A1448" s="149" t="s">
        <v>3418</v>
      </c>
      <c r="B1448" s="149" t="s">
        <v>3419</v>
      </c>
    </row>
    <row r="1449" spans="1:2">
      <c r="A1449" s="149" t="s">
        <v>3420</v>
      </c>
      <c r="B1449" s="149" t="s">
        <v>3421</v>
      </c>
    </row>
    <row r="1450" spans="1:2">
      <c r="A1450" s="149" t="s">
        <v>3422</v>
      </c>
      <c r="B1450" s="149" t="s">
        <v>3423</v>
      </c>
    </row>
    <row r="1451" spans="1:2">
      <c r="A1451" s="149" t="s">
        <v>3424</v>
      </c>
      <c r="B1451" s="149" t="s">
        <v>3425</v>
      </c>
    </row>
    <row r="1452" spans="1:2">
      <c r="A1452" s="149" t="s">
        <v>3426</v>
      </c>
      <c r="B1452" s="149" t="s">
        <v>3427</v>
      </c>
    </row>
    <row r="1453" spans="1:2">
      <c r="A1453" s="149" t="s">
        <v>3428</v>
      </c>
      <c r="B1453" s="149" t="s">
        <v>3429</v>
      </c>
    </row>
    <row r="1454" spans="1:2">
      <c r="A1454" s="149" t="s">
        <v>3430</v>
      </c>
      <c r="B1454" s="149" t="s">
        <v>3431</v>
      </c>
    </row>
    <row r="1455" spans="1:2">
      <c r="A1455" s="149" t="s">
        <v>3432</v>
      </c>
      <c r="B1455" s="149" t="s">
        <v>3433</v>
      </c>
    </row>
    <row r="1456" spans="1:2">
      <c r="A1456" s="149" t="s">
        <v>3434</v>
      </c>
      <c r="B1456" s="149" t="s">
        <v>3435</v>
      </c>
    </row>
    <row r="1457" spans="1:2">
      <c r="A1457" s="149" t="s">
        <v>3436</v>
      </c>
      <c r="B1457" s="149" t="s">
        <v>3437</v>
      </c>
    </row>
    <row r="1458" spans="1:2">
      <c r="A1458" s="149" t="s">
        <v>3438</v>
      </c>
    </row>
    <row r="1459" spans="1:2">
      <c r="A1459" s="149" t="s">
        <v>3439</v>
      </c>
    </row>
    <row r="1460" spans="1:2">
      <c r="A1460" s="149" t="s">
        <v>3440</v>
      </c>
    </row>
    <row r="1461" spans="1:2">
      <c r="A1461" s="149" t="s">
        <v>3441</v>
      </c>
    </row>
    <row r="1462" spans="1:2">
      <c r="A1462" s="149" t="s">
        <v>3442</v>
      </c>
    </row>
    <row r="1463" spans="1:2">
      <c r="A1463" s="149" t="s">
        <v>3443</v>
      </c>
    </row>
    <row r="1464" spans="1:2">
      <c r="A1464" s="149" t="s">
        <v>3444</v>
      </c>
    </row>
    <row r="1465" spans="1:2">
      <c r="A1465" s="149" t="s">
        <v>3445</v>
      </c>
    </row>
    <row r="1466" spans="1:2">
      <c r="A1466" s="149" t="s">
        <v>3446</v>
      </c>
    </row>
    <row r="1467" spans="1:2">
      <c r="A1467" s="149" t="s">
        <v>3447</v>
      </c>
    </row>
    <row r="1468" spans="1:2">
      <c r="A1468" s="149" t="s">
        <v>3448</v>
      </c>
    </row>
    <row r="1469" spans="1:2">
      <c r="A1469" s="149" t="s">
        <v>3449</v>
      </c>
    </row>
    <row r="1470" spans="1:2">
      <c r="A1470" s="149" t="s">
        <v>3450</v>
      </c>
    </row>
    <row r="1471" spans="1:2">
      <c r="A1471" s="149" t="s">
        <v>3451</v>
      </c>
    </row>
    <row r="1472" spans="1:2">
      <c r="A1472" s="149" t="s">
        <v>3452</v>
      </c>
    </row>
    <row r="1473" spans="1:1">
      <c r="A1473" s="149" t="s">
        <v>3453</v>
      </c>
    </row>
    <row r="1474" spans="1:1">
      <c r="A1474" s="149" t="s">
        <v>3454</v>
      </c>
    </row>
    <row r="1475" spans="1:1">
      <c r="A1475" s="149" t="s">
        <v>3455</v>
      </c>
    </row>
    <row r="1476" spans="1:1">
      <c r="A1476" s="149" t="s">
        <v>3456</v>
      </c>
    </row>
    <row r="1477" spans="1:1">
      <c r="A1477" s="149" t="s">
        <v>3457</v>
      </c>
    </row>
    <row r="1478" spans="1:1">
      <c r="A1478" s="149" t="s">
        <v>3458</v>
      </c>
    </row>
    <row r="1479" spans="1:1">
      <c r="A1479" s="149" t="s">
        <v>3459</v>
      </c>
    </row>
    <row r="1480" spans="1:1">
      <c r="A1480" s="149" t="s">
        <v>3460</v>
      </c>
    </row>
    <row r="1481" spans="1:1">
      <c r="A1481" s="149" t="s">
        <v>3461</v>
      </c>
    </row>
    <row r="1482" spans="1:1">
      <c r="A1482" s="149" t="s">
        <v>3462</v>
      </c>
    </row>
    <row r="1483" spans="1:1">
      <c r="A1483" s="149" t="s">
        <v>3463</v>
      </c>
    </row>
    <row r="1484" spans="1:1">
      <c r="A1484" s="149" t="s">
        <v>3464</v>
      </c>
    </row>
    <row r="1485" spans="1:1">
      <c r="A1485" s="149" t="s">
        <v>3465</v>
      </c>
    </row>
    <row r="1486" spans="1:1">
      <c r="A1486" s="149" t="s">
        <v>3466</v>
      </c>
    </row>
    <row r="1487" spans="1:1">
      <c r="A1487" s="149" t="s">
        <v>3467</v>
      </c>
    </row>
    <row r="1488" spans="1:1">
      <c r="A1488" s="149" t="s">
        <v>3468</v>
      </c>
    </row>
    <row r="1489" spans="1:1">
      <c r="A1489" s="149" t="s">
        <v>3469</v>
      </c>
    </row>
    <row r="1490" spans="1:1">
      <c r="A1490" s="149" t="s">
        <v>3470</v>
      </c>
    </row>
    <row r="1491" spans="1:1">
      <c r="A1491" s="149" t="s">
        <v>3471</v>
      </c>
    </row>
    <row r="1492" spans="1:1">
      <c r="A1492" s="149" t="s">
        <v>3472</v>
      </c>
    </row>
    <row r="1493" spans="1:1">
      <c r="A1493" s="149" t="s">
        <v>3473</v>
      </c>
    </row>
    <row r="1494" spans="1:1">
      <c r="A1494" s="149" t="s">
        <v>3474</v>
      </c>
    </row>
    <row r="1495" spans="1:1">
      <c r="A1495" s="149" t="s">
        <v>3475</v>
      </c>
    </row>
    <row r="1496" spans="1:1">
      <c r="A1496" s="149" t="s">
        <v>3476</v>
      </c>
    </row>
    <row r="1497" spans="1:1">
      <c r="A1497" s="149" t="s">
        <v>3477</v>
      </c>
    </row>
    <row r="1498" spans="1:1">
      <c r="A1498" s="149" t="s">
        <v>3478</v>
      </c>
    </row>
    <row r="1499" spans="1:1">
      <c r="A1499" s="149" t="s">
        <v>3479</v>
      </c>
    </row>
    <row r="1500" spans="1:1">
      <c r="A1500" s="149" t="s">
        <v>3480</v>
      </c>
    </row>
    <row r="1501" spans="1:1">
      <c r="A1501" s="149" t="s">
        <v>3481</v>
      </c>
    </row>
    <row r="1502" spans="1:1">
      <c r="A1502" s="149" t="s">
        <v>3482</v>
      </c>
    </row>
    <row r="1503" spans="1:1">
      <c r="A1503" s="149" t="s">
        <v>3483</v>
      </c>
    </row>
    <row r="1504" spans="1:1">
      <c r="A1504" s="149" t="s">
        <v>3484</v>
      </c>
    </row>
    <row r="1505" spans="1:1">
      <c r="A1505" s="149" t="s">
        <v>3485</v>
      </c>
    </row>
    <row r="1506" spans="1:1">
      <c r="A1506" s="149" t="s">
        <v>3486</v>
      </c>
    </row>
    <row r="1507" spans="1:1">
      <c r="A1507" s="149" t="s">
        <v>3487</v>
      </c>
    </row>
    <row r="1508" spans="1:1">
      <c r="A1508" s="149" t="s">
        <v>3488</v>
      </c>
    </row>
    <row r="1509" spans="1:1">
      <c r="A1509" s="149" t="s">
        <v>3489</v>
      </c>
    </row>
    <row r="1510" spans="1:1">
      <c r="A1510" s="149" t="s">
        <v>3490</v>
      </c>
    </row>
    <row r="1511" spans="1:1">
      <c r="A1511" s="149" t="s">
        <v>3491</v>
      </c>
    </row>
    <row r="1512" spans="1:1">
      <c r="A1512" s="149" t="s">
        <v>3492</v>
      </c>
    </row>
    <row r="1513" spans="1:1">
      <c r="A1513" s="149" t="s">
        <v>3493</v>
      </c>
    </row>
    <row r="1514" spans="1:1">
      <c r="A1514" s="149" t="s">
        <v>3494</v>
      </c>
    </row>
    <row r="1515" spans="1:1">
      <c r="A1515" s="149" t="s">
        <v>3495</v>
      </c>
    </row>
    <row r="1516" spans="1:1">
      <c r="A1516" s="149" t="s">
        <v>3496</v>
      </c>
    </row>
    <row r="1517" spans="1:1">
      <c r="A1517" s="149" t="s">
        <v>3497</v>
      </c>
    </row>
    <row r="1518" spans="1:1">
      <c r="A1518" s="149" t="s">
        <v>3498</v>
      </c>
    </row>
    <row r="1519" spans="1:1">
      <c r="A1519" s="149" t="s">
        <v>3499</v>
      </c>
    </row>
    <row r="1520" spans="1:1">
      <c r="A1520" s="149" t="s">
        <v>3500</v>
      </c>
    </row>
    <row r="1521" spans="1:1">
      <c r="A1521" s="149" t="s">
        <v>3501</v>
      </c>
    </row>
    <row r="1522" spans="1:1">
      <c r="A1522" s="149" t="s">
        <v>3502</v>
      </c>
    </row>
    <row r="1523" spans="1:1">
      <c r="A1523" s="149" t="s">
        <v>3503</v>
      </c>
    </row>
    <row r="1524" spans="1:1">
      <c r="A1524" s="149" t="s">
        <v>3504</v>
      </c>
    </row>
    <row r="1525" spans="1:1">
      <c r="A1525" s="149" t="s">
        <v>3505</v>
      </c>
    </row>
    <row r="1526" spans="1:1">
      <c r="A1526" s="149" t="s">
        <v>3506</v>
      </c>
    </row>
    <row r="1527" spans="1:1">
      <c r="A1527" s="149" t="s">
        <v>3507</v>
      </c>
    </row>
    <row r="1528" spans="1:1">
      <c r="A1528" s="149" t="s">
        <v>3508</v>
      </c>
    </row>
    <row r="1529" spans="1:1">
      <c r="A1529" s="149" t="s">
        <v>3509</v>
      </c>
    </row>
    <row r="1530" spans="1:1">
      <c r="A1530" s="149" t="s">
        <v>3510</v>
      </c>
    </row>
    <row r="1531" spans="1:1">
      <c r="A1531" s="149" t="s">
        <v>3511</v>
      </c>
    </row>
    <row r="1532" spans="1:1">
      <c r="A1532" s="149" t="s">
        <v>3512</v>
      </c>
    </row>
    <row r="1533" spans="1:1">
      <c r="A1533" s="149" t="s">
        <v>3513</v>
      </c>
    </row>
    <row r="1534" spans="1:1">
      <c r="A1534" s="149" t="s">
        <v>3514</v>
      </c>
    </row>
    <row r="1535" spans="1:1">
      <c r="A1535" s="149" t="s">
        <v>3515</v>
      </c>
    </row>
    <row r="1536" spans="1:1">
      <c r="A1536" s="149" t="s">
        <v>3516</v>
      </c>
    </row>
    <row r="1537" spans="1:1">
      <c r="A1537" s="149" t="s">
        <v>3517</v>
      </c>
    </row>
    <row r="1538" spans="1:1">
      <c r="A1538" s="149" t="s">
        <v>3518</v>
      </c>
    </row>
    <row r="1539" spans="1:1">
      <c r="A1539" s="149" t="s">
        <v>3519</v>
      </c>
    </row>
    <row r="1540" spans="1:1">
      <c r="A1540" s="149" t="s">
        <v>3520</v>
      </c>
    </row>
    <row r="1541" spans="1:1">
      <c r="A1541" s="149" t="s">
        <v>3521</v>
      </c>
    </row>
    <row r="1542" spans="1:1">
      <c r="A1542" s="149" t="s">
        <v>3522</v>
      </c>
    </row>
    <row r="1543" spans="1:1">
      <c r="A1543" s="149" t="s">
        <v>3523</v>
      </c>
    </row>
    <row r="1544" spans="1:1">
      <c r="A1544" s="149" t="s">
        <v>3524</v>
      </c>
    </row>
    <row r="1545" spans="1:1">
      <c r="A1545" s="149" t="s">
        <v>3525</v>
      </c>
    </row>
    <row r="1546" spans="1:1">
      <c r="A1546" s="149" t="s">
        <v>3526</v>
      </c>
    </row>
    <row r="1547" spans="1:1">
      <c r="A1547" s="149" t="s">
        <v>3527</v>
      </c>
    </row>
    <row r="1548" spans="1:1">
      <c r="A1548" s="149" t="s">
        <v>3528</v>
      </c>
    </row>
    <row r="1549" spans="1:1">
      <c r="A1549" s="149" t="s">
        <v>3529</v>
      </c>
    </row>
    <row r="1550" spans="1:1">
      <c r="A1550" s="149" t="s">
        <v>3530</v>
      </c>
    </row>
    <row r="1551" spans="1:1">
      <c r="A1551" s="149" t="s">
        <v>3531</v>
      </c>
    </row>
    <row r="1552" spans="1:1">
      <c r="A1552" s="149" t="s">
        <v>3532</v>
      </c>
    </row>
    <row r="1553" spans="1:1">
      <c r="A1553" s="149" t="s">
        <v>3533</v>
      </c>
    </row>
    <row r="1554" spans="1:1">
      <c r="A1554" s="149" t="s">
        <v>3534</v>
      </c>
    </row>
    <row r="1555" spans="1:1">
      <c r="A1555" s="149" t="s">
        <v>3535</v>
      </c>
    </row>
    <row r="1556" spans="1:1">
      <c r="A1556" s="149" t="s">
        <v>3536</v>
      </c>
    </row>
    <row r="1557" spans="1:1">
      <c r="A1557" s="149" t="s">
        <v>3537</v>
      </c>
    </row>
    <row r="1558" spans="1:1">
      <c r="A1558" s="149" t="s">
        <v>3538</v>
      </c>
    </row>
    <row r="1559" spans="1:1">
      <c r="A1559" s="149" t="s">
        <v>3539</v>
      </c>
    </row>
    <row r="1560" spans="1:1">
      <c r="A1560" s="149" t="s">
        <v>3540</v>
      </c>
    </row>
    <row r="1561" spans="1:1">
      <c r="A1561" s="149" t="s">
        <v>3541</v>
      </c>
    </row>
    <row r="1562" spans="1:1">
      <c r="A1562" s="149" t="s">
        <v>3542</v>
      </c>
    </row>
    <row r="1563" spans="1:1">
      <c r="A1563" s="149" t="s">
        <v>3543</v>
      </c>
    </row>
    <row r="1564" spans="1:1">
      <c r="A1564" s="149" t="s">
        <v>3544</v>
      </c>
    </row>
    <row r="1565" spans="1:1">
      <c r="A1565" s="149" t="s">
        <v>3545</v>
      </c>
    </row>
    <row r="1566" spans="1:1">
      <c r="A1566" s="149" t="s">
        <v>3546</v>
      </c>
    </row>
    <row r="1567" spans="1:1">
      <c r="A1567" s="149" t="s">
        <v>3547</v>
      </c>
    </row>
    <row r="1568" spans="1:1">
      <c r="A1568" s="149" t="s">
        <v>3548</v>
      </c>
    </row>
    <row r="1569" spans="1:1">
      <c r="A1569" s="149" t="s">
        <v>3549</v>
      </c>
    </row>
    <row r="1570" spans="1:1">
      <c r="A1570" s="149" t="s">
        <v>3550</v>
      </c>
    </row>
    <row r="1571" spans="1:1">
      <c r="A1571" s="149" t="s">
        <v>3551</v>
      </c>
    </row>
    <row r="1572" spans="1:1">
      <c r="A1572" s="149" t="s">
        <v>3552</v>
      </c>
    </row>
    <row r="1573" spans="1:1">
      <c r="A1573" s="149" t="s">
        <v>3553</v>
      </c>
    </row>
    <row r="1574" spans="1:1">
      <c r="A1574" s="149" t="s">
        <v>3554</v>
      </c>
    </row>
    <row r="1575" spans="1:1">
      <c r="A1575" s="149" t="s">
        <v>3555</v>
      </c>
    </row>
    <row r="1576" spans="1:1">
      <c r="A1576" s="149" t="s">
        <v>3556</v>
      </c>
    </row>
    <row r="1577" spans="1:1">
      <c r="A1577" s="149" t="s">
        <v>3557</v>
      </c>
    </row>
    <row r="1578" spans="1:1">
      <c r="A1578" s="149" t="s">
        <v>3558</v>
      </c>
    </row>
    <row r="1579" spans="1:1">
      <c r="A1579" s="149" t="s">
        <v>3559</v>
      </c>
    </row>
    <row r="1580" spans="1:1">
      <c r="A1580" s="149" t="s">
        <v>3560</v>
      </c>
    </row>
    <row r="1581" spans="1:1">
      <c r="A1581" s="149" t="s">
        <v>3561</v>
      </c>
    </row>
    <row r="1582" spans="1:1">
      <c r="A1582" s="149" t="s">
        <v>3562</v>
      </c>
    </row>
    <row r="1583" spans="1:1">
      <c r="A1583" s="149" t="s">
        <v>3563</v>
      </c>
    </row>
    <row r="1584" spans="1:1">
      <c r="A1584" s="149" t="s">
        <v>3564</v>
      </c>
    </row>
    <row r="1585" spans="1:1">
      <c r="A1585" s="149" t="s">
        <v>3565</v>
      </c>
    </row>
    <row r="1586" spans="1:1">
      <c r="A1586" s="149" t="s">
        <v>3566</v>
      </c>
    </row>
    <row r="1587" spans="1:1">
      <c r="A1587" s="149" t="s">
        <v>3567</v>
      </c>
    </row>
    <row r="1588" spans="1:1">
      <c r="A1588" s="149" t="s">
        <v>3568</v>
      </c>
    </row>
    <row r="1589" spans="1:1">
      <c r="A1589" s="149" t="s">
        <v>3569</v>
      </c>
    </row>
    <row r="1590" spans="1:1">
      <c r="A1590" s="149" t="s">
        <v>3570</v>
      </c>
    </row>
    <row r="1591" spans="1:1">
      <c r="A1591" s="149" t="s">
        <v>3571</v>
      </c>
    </row>
    <row r="1592" spans="1:1">
      <c r="A1592" s="149" t="s">
        <v>3572</v>
      </c>
    </row>
    <row r="1593" spans="1:1">
      <c r="A1593" s="149" t="s">
        <v>3573</v>
      </c>
    </row>
    <row r="1594" spans="1:1">
      <c r="A1594" s="149" t="s">
        <v>3574</v>
      </c>
    </row>
    <row r="1595" spans="1:1">
      <c r="A1595" s="149" t="s">
        <v>3575</v>
      </c>
    </row>
    <row r="1596" spans="1:1">
      <c r="A1596" s="149" t="s">
        <v>3576</v>
      </c>
    </row>
    <row r="1597" spans="1:1">
      <c r="A1597" s="149" t="s">
        <v>3577</v>
      </c>
    </row>
    <row r="1598" spans="1:1">
      <c r="A1598" s="149" t="s">
        <v>3578</v>
      </c>
    </row>
    <row r="1599" spans="1:1">
      <c r="A1599" s="149" t="s">
        <v>3579</v>
      </c>
    </row>
    <row r="1600" spans="1:1">
      <c r="A1600" s="149" t="s">
        <v>3580</v>
      </c>
    </row>
    <row r="1601" spans="1:1">
      <c r="A1601" s="149" t="s">
        <v>3581</v>
      </c>
    </row>
    <row r="1602" spans="1:1">
      <c r="A1602" s="149" t="s">
        <v>3582</v>
      </c>
    </row>
    <row r="1603" spans="1:1">
      <c r="A1603" s="149" t="s">
        <v>3583</v>
      </c>
    </row>
    <row r="1604" spans="1:1">
      <c r="A1604" s="149" t="s">
        <v>3584</v>
      </c>
    </row>
    <row r="1605" spans="1:1">
      <c r="A1605" s="149" t="s">
        <v>3585</v>
      </c>
    </row>
    <row r="1606" spans="1:1">
      <c r="A1606" s="149" t="s">
        <v>3586</v>
      </c>
    </row>
    <row r="1607" spans="1:1">
      <c r="A1607" s="149" t="s">
        <v>3587</v>
      </c>
    </row>
    <row r="1608" spans="1:1">
      <c r="A1608" s="149" t="s">
        <v>3588</v>
      </c>
    </row>
    <row r="1609" spans="1:1">
      <c r="A1609" s="149" t="s">
        <v>3589</v>
      </c>
    </row>
    <row r="1610" spans="1:1">
      <c r="A1610" s="149" t="s">
        <v>3590</v>
      </c>
    </row>
    <row r="1611" spans="1:1">
      <c r="A1611" s="149" t="s">
        <v>3591</v>
      </c>
    </row>
    <row r="1612" spans="1:1">
      <c r="A1612" s="149" t="s">
        <v>3592</v>
      </c>
    </row>
    <row r="1613" spans="1:1">
      <c r="A1613" s="149" t="s">
        <v>3593</v>
      </c>
    </row>
    <row r="1614" spans="1:1">
      <c r="A1614" s="149" t="s">
        <v>3594</v>
      </c>
    </row>
    <row r="1615" spans="1:1">
      <c r="A1615" s="149" t="s">
        <v>3595</v>
      </c>
    </row>
    <row r="1616" spans="1:1">
      <c r="A1616" s="149" t="s">
        <v>3596</v>
      </c>
    </row>
    <row r="1617" spans="1:1">
      <c r="A1617" s="149" t="s">
        <v>3597</v>
      </c>
    </row>
    <row r="1618" spans="1:1">
      <c r="A1618" s="149" t="s">
        <v>3598</v>
      </c>
    </row>
    <row r="1619" spans="1:1">
      <c r="A1619" s="149" t="s">
        <v>3599</v>
      </c>
    </row>
    <row r="1620" spans="1:1">
      <c r="A1620" s="149" t="s">
        <v>3600</v>
      </c>
    </row>
    <row r="1621" spans="1:1">
      <c r="A1621" s="149" t="s">
        <v>3601</v>
      </c>
    </row>
    <row r="1622" spans="1:1">
      <c r="A1622" s="149" t="s">
        <v>3602</v>
      </c>
    </row>
    <row r="1623" spans="1:1">
      <c r="A1623" s="149" t="s">
        <v>3603</v>
      </c>
    </row>
    <row r="1624" spans="1:1">
      <c r="A1624" s="149" t="s">
        <v>3604</v>
      </c>
    </row>
    <row r="1625" spans="1:1">
      <c r="A1625" s="149" t="s">
        <v>3605</v>
      </c>
    </row>
    <row r="1626" spans="1:1">
      <c r="A1626" s="149" t="s">
        <v>3606</v>
      </c>
    </row>
    <row r="1627" spans="1:1">
      <c r="A1627" s="149" t="s">
        <v>3607</v>
      </c>
    </row>
    <row r="1628" spans="1:1">
      <c r="A1628" s="149" t="s">
        <v>3608</v>
      </c>
    </row>
    <row r="1629" spans="1:1">
      <c r="A1629" s="149" t="s">
        <v>3609</v>
      </c>
    </row>
    <row r="1630" spans="1:1">
      <c r="A1630" s="149" t="s">
        <v>3610</v>
      </c>
    </row>
    <row r="1631" spans="1:1">
      <c r="A1631" s="149" t="s">
        <v>3611</v>
      </c>
    </row>
    <row r="1632" spans="1:1">
      <c r="A1632" s="149" t="s">
        <v>3612</v>
      </c>
    </row>
    <row r="1633" spans="1:1">
      <c r="A1633" s="149" t="s">
        <v>3613</v>
      </c>
    </row>
    <row r="1634" spans="1:1">
      <c r="A1634" s="149" t="s">
        <v>3614</v>
      </c>
    </row>
    <row r="1635" spans="1:1">
      <c r="A1635" s="149" t="s">
        <v>3615</v>
      </c>
    </row>
    <row r="1636" spans="1:1">
      <c r="A1636" s="149" t="s">
        <v>3616</v>
      </c>
    </row>
    <row r="1637" spans="1:1">
      <c r="A1637" s="149" t="s">
        <v>3617</v>
      </c>
    </row>
    <row r="1638" spans="1:1">
      <c r="A1638" s="149" t="s">
        <v>3618</v>
      </c>
    </row>
    <row r="1639" spans="1:1">
      <c r="A1639" s="149" t="s">
        <v>3619</v>
      </c>
    </row>
    <row r="1640" spans="1:1">
      <c r="A1640" s="149" t="s">
        <v>3620</v>
      </c>
    </row>
    <row r="1641" spans="1:1">
      <c r="A1641" s="149" t="s">
        <v>3621</v>
      </c>
    </row>
    <row r="1642" spans="1:1">
      <c r="A1642" s="149" t="s">
        <v>3622</v>
      </c>
    </row>
    <row r="1643" spans="1:1">
      <c r="A1643" s="149" t="s">
        <v>3623</v>
      </c>
    </row>
    <row r="1644" spans="1:1">
      <c r="A1644" s="149" t="s">
        <v>3624</v>
      </c>
    </row>
    <row r="1645" spans="1:1">
      <c r="A1645" s="149" t="s">
        <v>3625</v>
      </c>
    </row>
    <row r="1646" spans="1:1">
      <c r="A1646" s="149" t="s">
        <v>3626</v>
      </c>
    </row>
    <row r="1647" spans="1:1">
      <c r="A1647" s="149" t="s">
        <v>3627</v>
      </c>
    </row>
    <row r="1648" spans="1:1">
      <c r="A1648" s="149" t="s">
        <v>3628</v>
      </c>
    </row>
    <row r="1649" spans="1:1">
      <c r="A1649" s="149" t="s">
        <v>3629</v>
      </c>
    </row>
    <row r="1650" spans="1:1">
      <c r="A1650" s="149" t="s">
        <v>3630</v>
      </c>
    </row>
    <row r="1651" spans="1:1">
      <c r="A1651" s="149" t="s">
        <v>3631</v>
      </c>
    </row>
    <row r="1652" spans="1:1">
      <c r="A1652" s="149" t="s">
        <v>3632</v>
      </c>
    </row>
    <row r="1653" spans="1:1">
      <c r="A1653" s="149" t="s">
        <v>3633</v>
      </c>
    </row>
    <row r="1654" spans="1:1">
      <c r="A1654" s="149" t="s">
        <v>3634</v>
      </c>
    </row>
    <row r="1655" spans="1:1">
      <c r="A1655" s="149" t="s">
        <v>3635</v>
      </c>
    </row>
    <row r="1656" spans="1:1">
      <c r="A1656" s="149" t="s">
        <v>3636</v>
      </c>
    </row>
    <row r="1657" spans="1:1">
      <c r="A1657" s="149" t="s">
        <v>3637</v>
      </c>
    </row>
    <row r="1658" spans="1:1">
      <c r="A1658" s="149" t="s">
        <v>3638</v>
      </c>
    </row>
    <row r="1659" spans="1:1">
      <c r="A1659" s="149" t="s">
        <v>3639</v>
      </c>
    </row>
    <row r="1660" spans="1:1">
      <c r="A1660" s="149" t="s">
        <v>3640</v>
      </c>
    </row>
    <row r="1661" spans="1:1">
      <c r="A1661" s="149" t="s">
        <v>3641</v>
      </c>
    </row>
    <row r="1662" spans="1:1">
      <c r="A1662" s="149" t="s">
        <v>3642</v>
      </c>
    </row>
    <row r="1663" spans="1:1">
      <c r="A1663" s="149" t="s">
        <v>3643</v>
      </c>
    </row>
    <row r="1664" spans="1:1">
      <c r="A1664" s="149" t="s">
        <v>3644</v>
      </c>
    </row>
    <row r="1665" spans="1:1">
      <c r="A1665" s="149" t="s">
        <v>3645</v>
      </c>
    </row>
    <row r="1666" spans="1:1">
      <c r="A1666" s="149" t="s">
        <v>3646</v>
      </c>
    </row>
    <row r="1667" spans="1:1">
      <c r="A1667" s="149" t="s">
        <v>3647</v>
      </c>
    </row>
    <row r="1668" spans="1:1">
      <c r="A1668" s="149" t="s">
        <v>3648</v>
      </c>
    </row>
    <row r="1669" spans="1:1">
      <c r="A1669" s="149" t="s">
        <v>3649</v>
      </c>
    </row>
    <row r="1670" spans="1:1">
      <c r="A1670" s="149" t="s">
        <v>3650</v>
      </c>
    </row>
    <row r="1671" spans="1:1">
      <c r="A1671" s="149" t="s">
        <v>3651</v>
      </c>
    </row>
    <row r="1672" spans="1:1">
      <c r="A1672" s="149" t="s">
        <v>3652</v>
      </c>
    </row>
    <row r="1673" spans="1:1">
      <c r="A1673" s="149" t="s">
        <v>3653</v>
      </c>
    </row>
    <row r="1674" spans="1:1">
      <c r="A1674" s="149" t="s">
        <v>3654</v>
      </c>
    </row>
    <row r="1675" spans="1:1">
      <c r="A1675" s="149" t="s">
        <v>3655</v>
      </c>
    </row>
    <row r="1676" spans="1:1">
      <c r="A1676" s="149" t="s">
        <v>3656</v>
      </c>
    </row>
    <row r="1677" spans="1:1">
      <c r="A1677" s="149" t="s">
        <v>3657</v>
      </c>
    </row>
    <row r="1678" spans="1:1">
      <c r="A1678" s="149" t="s">
        <v>3658</v>
      </c>
    </row>
    <row r="1679" spans="1:1">
      <c r="A1679" s="149" t="s">
        <v>3659</v>
      </c>
    </row>
    <row r="1680" spans="1:1">
      <c r="A1680" s="149" t="s">
        <v>3660</v>
      </c>
    </row>
    <row r="1681" spans="1:1">
      <c r="A1681" s="149" t="s">
        <v>3661</v>
      </c>
    </row>
    <row r="1682" spans="1:1">
      <c r="A1682" s="149" t="s">
        <v>3662</v>
      </c>
    </row>
    <row r="1683" spans="1:1">
      <c r="A1683" s="149" t="s">
        <v>3663</v>
      </c>
    </row>
    <row r="1684" spans="1:1">
      <c r="A1684" s="149" t="s">
        <v>3664</v>
      </c>
    </row>
    <row r="1685" spans="1:1">
      <c r="A1685" s="149" t="s">
        <v>3665</v>
      </c>
    </row>
    <row r="1686" spans="1:1">
      <c r="A1686" s="149" t="s">
        <v>3666</v>
      </c>
    </row>
    <row r="1687" spans="1:1">
      <c r="A1687" s="149" t="s">
        <v>3667</v>
      </c>
    </row>
    <row r="1688" spans="1:1">
      <c r="A1688" s="149" t="s">
        <v>3668</v>
      </c>
    </row>
    <row r="1689" spans="1:1">
      <c r="A1689" s="149" t="s">
        <v>3669</v>
      </c>
    </row>
    <row r="1690" spans="1:1">
      <c r="A1690" s="149" t="s">
        <v>3670</v>
      </c>
    </row>
    <row r="1691" spans="1:1">
      <c r="A1691" s="149" t="s">
        <v>3671</v>
      </c>
    </row>
    <row r="1692" spans="1:1">
      <c r="A1692" s="149" t="s">
        <v>3672</v>
      </c>
    </row>
    <row r="1693" spans="1:1">
      <c r="A1693" s="149" t="s">
        <v>3673</v>
      </c>
    </row>
    <row r="1694" spans="1:1">
      <c r="A1694" s="149" t="s">
        <v>3674</v>
      </c>
    </row>
    <row r="1695" spans="1:1">
      <c r="A1695" s="149" t="s">
        <v>3675</v>
      </c>
    </row>
    <row r="1696" spans="1:1">
      <c r="A1696" s="149" t="s">
        <v>3676</v>
      </c>
    </row>
    <row r="1697" spans="1:1">
      <c r="A1697" s="149" t="s">
        <v>3677</v>
      </c>
    </row>
    <row r="1698" spans="1:1">
      <c r="A1698" s="149" t="s">
        <v>3678</v>
      </c>
    </row>
    <row r="1699" spans="1:1">
      <c r="A1699" s="149" t="s">
        <v>3679</v>
      </c>
    </row>
    <row r="1700" spans="1:1">
      <c r="A1700" s="149" t="s">
        <v>3680</v>
      </c>
    </row>
    <row r="1701" spans="1:1">
      <c r="A1701" s="149" t="s">
        <v>3681</v>
      </c>
    </row>
    <row r="1702" spans="1:1">
      <c r="A1702" s="149" t="s">
        <v>3682</v>
      </c>
    </row>
    <row r="1703" spans="1:1">
      <c r="A1703" s="149" t="s">
        <v>3683</v>
      </c>
    </row>
    <row r="1704" spans="1:1">
      <c r="A1704" s="149" t="s">
        <v>3684</v>
      </c>
    </row>
    <row r="1705" spans="1:1">
      <c r="A1705" s="149" t="s">
        <v>3685</v>
      </c>
    </row>
    <row r="1706" spans="1:1">
      <c r="A1706" s="149" t="s">
        <v>3686</v>
      </c>
    </row>
    <row r="1707" spans="1:1">
      <c r="A1707" s="149" t="s">
        <v>3687</v>
      </c>
    </row>
    <row r="1708" spans="1:1">
      <c r="A1708" s="149" t="s">
        <v>3688</v>
      </c>
    </row>
    <row r="1709" spans="1:1">
      <c r="A1709" s="149" t="s">
        <v>3689</v>
      </c>
    </row>
    <row r="1710" spans="1:1">
      <c r="A1710" s="149" t="s">
        <v>3690</v>
      </c>
    </row>
    <row r="1711" spans="1:1">
      <c r="A1711" s="149" t="s">
        <v>3691</v>
      </c>
    </row>
    <row r="1712" spans="1:1">
      <c r="A1712" s="149" t="s">
        <v>3692</v>
      </c>
    </row>
    <row r="1713" spans="1:1">
      <c r="A1713" s="149" t="s">
        <v>3693</v>
      </c>
    </row>
    <row r="1714" spans="1:1">
      <c r="A1714" s="149" t="s">
        <v>3694</v>
      </c>
    </row>
    <row r="1715" spans="1:1">
      <c r="A1715" s="149" t="s">
        <v>3695</v>
      </c>
    </row>
    <row r="1716" spans="1:1">
      <c r="A1716" s="149" t="s">
        <v>3696</v>
      </c>
    </row>
    <row r="1717" spans="1:1">
      <c r="A1717" s="149" t="s">
        <v>3697</v>
      </c>
    </row>
    <row r="1718" spans="1:1">
      <c r="A1718" s="149" t="s">
        <v>3698</v>
      </c>
    </row>
    <row r="1719" spans="1:1">
      <c r="A1719" s="149" t="s">
        <v>3699</v>
      </c>
    </row>
    <row r="1720" spans="1:1">
      <c r="A1720" s="149" t="s">
        <v>3700</v>
      </c>
    </row>
    <row r="1721" spans="1:1">
      <c r="A1721" s="149" t="s">
        <v>3701</v>
      </c>
    </row>
    <row r="1722" spans="1:1">
      <c r="A1722" s="149" t="s">
        <v>3702</v>
      </c>
    </row>
    <row r="1723" spans="1:1">
      <c r="A1723" s="149" t="s">
        <v>3703</v>
      </c>
    </row>
    <row r="1724" spans="1:1">
      <c r="A1724" s="149" t="s">
        <v>3704</v>
      </c>
    </row>
    <row r="1725" spans="1:1">
      <c r="A1725" s="149" t="s">
        <v>3705</v>
      </c>
    </row>
    <row r="1726" spans="1:1">
      <c r="A1726" s="149" t="s">
        <v>3706</v>
      </c>
    </row>
    <row r="1727" spans="1:1">
      <c r="A1727" s="149" t="s">
        <v>3707</v>
      </c>
    </row>
    <row r="1728" spans="1:1">
      <c r="A1728" s="149" t="s">
        <v>3708</v>
      </c>
    </row>
    <row r="1729" spans="1:1">
      <c r="A1729" s="149" t="s">
        <v>3709</v>
      </c>
    </row>
    <row r="1730" spans="1:1">
      <c r="A1730" s="149" t="s">
        <v>3710</v>
      </c>
    </row>
    <row r="1731" spans="1:1">
      <c r="A1731" s="149" t="s">
        <v>3711</v>
      </c>
    </row>
    <row r="1732" spans="1:1">
      <c r="A1732" s="149" t="s">
        <v>3712</v>
      </c>
    </row>
    <row r="1733" spans="1:1">
      <c r="A1733" s="149" t="s">
        <v>3713</v>
      </c>
    </row>
    <row r="1734" spans="1:1">
      <c r="A1734" s="149" t="s">
        <v>3714</v>
      </c>
    </row>
    <row r="1735" spans="1:1">
      <c r="A1735" s="149" t="s">
        <v>3715</v>
      </c>
    </row>
    <row r="1736" spans="1:1">
      <c r="A1736" s="149" t="s">
        <v>3716</v>
      </c>
    </row>
    <row r="1737" spans="1:1">
      <c r="A1737" s="149" t="s">
        <v>3717</v>
      </c>
    </row>
    <row r="1738" spans="1:1">
      <c r="A1738" s="149" t="s">
        <v>3718</v>
      </c>
    </row>
    <row r="1739" spans="1:1">
      <c r="A1739" s="149" t="s">
        <v>3719</v>
      </c>
    </row>
    <row r="1740" spans="1:1">
      <c r="A1740" s="149" t="s">
        <v>3720</v>
      </c>
    </row>
    <row r="1741" spans="1:1">
      <c r="A1741" s="149" t="s">
        <v>3721</v>
      </c>
    </row>
    <row r="1742" spans="1:1">
      <c r="A1742" s="149" t="s">
        <v>3722</v>
      </c>
    </row>
    <row r="1743" spans="1:1">
      <c r="A1743" s="149" t="s">
        <v>3723</v>
      </c>
    </row>
    <row r="1744" spans="1:1">
      <c r="A1744" s="149" t="s">
        <v>3724</v>
      </c>
    </row>
    <row r="1745" spans="1:1">
      <c r="A1745" s="149" t="s">
        <v>3725</v>
      </c>
    </row>
    <row r="1746" spans="1:1">
      <c r="A1746" s="149" t="s">
        <v>3726</v>
      </c>
    </row>
    <row r="1747" spans="1:1">
      <c r="A1747" s="149" t="s">
        <v>3727</v>
      </c>
    </row>
    <row r="1748" spans="1:1">
      <c r="A1748" s="149" t="s">
        <v>3728</v>
      </c>
    </row>
    <row r="1749" spans="1:1">
      <c r="A1749" s="149" t="s">
        <v>3729</v>
      </c>
    </row>
    <row r="1750" spans="1:1">
      <c r="A1750" s="149" t="s">
        <v>3730</v>
      </c>
    </row>
    <row r="1751" spans="1:1">
      <c r="A1751" s="149" t="s">
        <v>3731</v>
      </c>
    </row>
    <row r="1752" spans="1:1">
      <c r="A1752" s="149" t="s">
        <v>3732</v>
      </c>
    </row>
    <row r="1753" spans="1:1">
      <c r="A1753" s="149" t="s">
        <v>3733</v>
      </c>
    </row>
    <row r="1754" spans="1:1">
      <c r="A1754" s="149" t="s">
        <v>3734</v>
      </c>
    </row>
    <row r="1755" spans="1:1">
      <c r="A1755" s="149" t="s">
        <v>3735</v>
      </c>
    </row>
    <row r="1756" spans="1:1">
      <c r="A1756" s="149" t="s">
        <v>3736</v>
      </c>
    </row>
    <row r="1757" spans="1:1">
      <c r="A1757" s="149" t="s">
        <v>3737</v>
      </c>
    </row>
    <row r="1758" spans="1:1">
      <c r="A1758" s="149" t="s">
        <v>3738</v>
      </c>
    </row>
    <row r="1759" spans="1:1">
      <c r="A1759" s="149" t="s">
        <v>3739</v>
      </c>
    </row>
    <row r="1760" spans="1:1">
      <c r="A1760" s="149" t="s">
        <v>3740</v>
      </c>
    </row>
    <row r="1761" spans="1:1">
      <c r="A1761" s="149" t="s">
        <v>3741</v>
      </c>
    </row>
    <row r="1762" spans="1:1">
      <c r="A1762" s="149" t="s">
        <v>3742</v>
      </c>
    </row>
    <row r="1763" spans="1:1">
      <c r="A1763" s="149" t="s">
        <v>3743</v>
      </c>
    </row>
    <row r="1764" spans="1:1">
      <c r="A1764" s="149" t="s">
        <v>3744</v>
      </c>
    </row>
    <row r="1765" spans="1:1">
      <c r="A1765" s="149" t="s">
        <v>3745</v>
      </c>
    </row>
    <row r="1766" spans="1:1">
      <c r="A1766" s="149" t="s">
        <v>3746</v>
      </c>
    </row>
    <row r="1767" spans="1:1">
      <c r="A1767" s="149" t="s">
        <v>3747</v>
      </c>
    </row>
    <row r="1768" spans="1:1">
      <c r="A1768" s="149" t="s">
        <v>3748</v>
      </c>
    </row>
    <row r="1769" spans="1:1">
      <c r="A1769" s="149" t="s">
        <v>3749</v>
      </c>
    </row>
    <row r="1770" spans="1:1">
      <c r="A1770" s="149" t="s">
        <v>3750</v>
      </c>
    </row>
    <row r="1771" spans="1:1">
      <c r="A1771" s="149" t="s">
        <v>3751</v>
      </c>
    </row>
    <row r="1772" spans="1:1">
      <c r="A1772" s="149" t="s">
        <v>3752</v>
      </c>
    </row>
    <row r="1773" spans="1:1">
      <c r="A1773" s="149" t="s">
        <v>3753</v>
      </c>
    </row>
    <row r="1774" spans="1:1">
      <c r="A1774" s="149" t="s">
        <v>3754</v>
      </c>
    </row>
    <row r="1775" spans="1:1">
      <c r="A1775" s="149" t="s">
        <v>3755</v>
      </c>
    </row>
    <row r="1776" spans="1:1">
      <c r="A1776" s="149" t="s">
        <v>3756</v>
      </c>
    </row>
    <row r="1777" spans="1:1">
      <c r="A1777" s="149" t="s">
        <v>3757</v>
      </c>
    </row>
    <row r="1778" spans="1:1">
      <c r="A1778" s="149" t="s">
        <v>3758</v>
      </c>
    </row>
    <row r="1779" spans="1:1">
      <c r="A1779" s="149" t="s">
        <v>3759</v>
      </c>
    </row>
    <row r="1780" spans="1:1">
      <c r="A1780" s="149" t="s">
        <v>3760</v>
      </c>
    </row>
    <row r="1781" spans="1:1">
      <c r="A1781" s="149" t="s">
        <v>3761</v>
      </c>
    </row>
    <row r="1782" spans="1:1">
      <c r="A1782" s="149" t="s">
        <v>3762</v>
      </c>
    </row>
    <row r="1783" spans="1:1">
      <c r="A1783" s="149" t="s">
        <v>3763</v>
      </c>
    </row>
    <row r="1784" spans="1:1">
      <c r="A1784" s="149" t="s">
        <v>3764</v>
      </c>
    </row>
    <row r="1785" spans="1:1">
      <c r="A1785" s="149" t="s">
        <v>3765</v>
      </c>
    </row>
    <row r="1786" spans="1:1">
      <c r="A1786" s="149" t="s">
        <v>3766</v>
      </c>
    </row>
    <row r="1787" spans="1:1">
      <c r="A1787" s="149" t="s">
        <v>3767</v>
      </c>
    </row>
    <row r="1788" spans="1:1">
      <c r="A1788" s="149" t="s">
        <v>3768</v>
      </c>
    </row>
    <row r="1789" spans="1:1">
      <c r="A1789" s="149" t="s">
        <v>3769</v>
      </c>
    </row>
    <row r="1790" spans="1:1">
      <c r="A1790" s="149" t="s">
        <v>3770</v>
      </c>
    </row>
    <row r="1791" spans="1:1">
      <c r="A1791" s="149" t="s">
        <v>3771</v>
      </c>
    </row>
    <row r="1792" spans="1:1">
      <c r="A1792" s="149" t="s">
        <v>3772</v>
      </c>
    </row>
    <row r="1793" spans="1:1">
      <c r="A1793" s="149" t="s">
        <v>3773</v>
      </c>
    </row>
    <row r="1794" spans="1:1">
      <c r="A1794" s="149" t="s">
        <v>3774</v>
      </c>
    </row>
    <row r="1795" spans="1:1">
      <c r="A1795" s="149" t="s">
        <v>3775</v>
      </c>
    </row>
    <row r="1796" spans="1:1">
      <c r="A1796" s="149" t="s">
        <v>3776</v>
      </c>
    </row>
    <row r="1797" spans="1:1">
      <c r="A1797" s="149" t="s">
        <v>3777</v>
      </c>
    </row>
    <row r="1798" spans="1:1">
      <c r="A1798" s="149" t="s">
        <v>3778</v>
      </c>
    </row>
    <row r="1799" spans="1:1">
      <c r="A1799" s="149" t="s">
        <v>3779</v>
      </c>
    </row>
    <row r="1800" spans="1:1">
      <c r="A1800" s="149" t="s">
        <v>3780</v>
      </c>
    </row>
    <row r="1801" spans="1:1">
      <c r="A1801" s="149" t="s">
        <v>3781</v>
      </c>
    </row>
    <row r="1802" spans="1:1">
      <c r="A1802" s="149" t="s">
        <v>3782</v>
      </c>
    </row>
    <row r="1803" spans="1:1">
      <c r="A1803" s="149" t="s">
        <v>3783</v>
      </c>
    </row>
    <row r="1804" spans="1:1">
      <c r="A1804" s="149" t="s">
        <v>3784</v>
      </c>
    </row>
    <row r="1805" spans="1:1">
      <c r="A1805" s="149" t="s">
        <v>3785</v>
      </c>
    </row>
    <row r="1806" spans="1:1">
      <c r="A1806" s="149" t="s">
        <v>3786</v>
      </c>
    </row>
    <row r="1807" spans="1:1">
      <c r="A1807" s="149" t="s">
        <v>3787</v>
      </c>
    </row>
    <row r="1808" spans="1:1">
      <c r="A1808" s="149" t="s">
        <v>3788</v>
      </c>
    </row>
    <row r="1809" spans="1:1">
      <c r="A1809" s="149" t="s">
        <v>3789</v>
      </c>
    </row>
    <row r="1810" spans="1:1">
      <c r="A1810" s="149" t="s">
        <v>3790</v>
      </c>
    </row>
    <row r="1811" spans="1:1">
      <c r="A1811" s="149" t="s">
        <v>3791</v>
      </c>
    </row>
    <row r="1812" spans="1:1">
      <c r="A1812" s="149" t="s">
        <v>3792</v>
      </c>
    </row>
    <row r="1813" spans="1:1">
      <c r="A1813" s="149" t="s">
        <v>3793</v>
      </c>
    </row>
    <row r="1814" spans="1:1">
      <c r="A1814" s="149" t="s">
        <v>3794</v>
      </c>
    </row>
    <row r="1815" spans="1:1">
      <c r="A1815" s="149" t="s">
        <v>3795</v>
      </c>
    </row>
    <row r="1816" spans="1:1">
      <c r="A1816" s="149" t="s">
        <v>3796</v>
      </c>
    </row>
    <row r="1817" spans="1:1">
      <c r="A1817" s="149" t="s">
        <v>3797</v>
      </c>
    </row>
    <row r="1818" spans="1:1">
      <c r="A1818" s="149" t="s">
        <v>3798</v>
      </c>
    </row>
    <row r="1819" spans="1:1">
      <c r="A1819" s="149" t="s">
        <v>3799</v>
      </c>
    </row>
    <row r="1820" spans="1:1">
      <c r="A1820" s="149" t="s">
        <v>3800</v>
      </c>
    </row>
    <row r="1821" spans="1:1">
      <c r="A1821" s="149" t="s">
        <v>3801</v>
      </c>
    </row>
    <row r="1822" spans="1:1">
      <c r="A1822" s="149" t="s">
        <v>3802</v>
      </c>
    </row>
    <row r="1823" spans="1:1">
      <c r="A1823" s="149" t="s">
        <v>3803</v>
      </c>
    </row>
    <row r="1824" spans="1:1">
      <c r="A1824" s="149" t="s">
        <v>3804</v>
      </c>
    </row>
    <row r="1825" spans="1:1">
      <c r="A1825" s="149" t="s">
        <v>3805</v>
      </c>
    </row>
    <row r="1826" spans="1:1">
      <c r="A1826" s="149" t="s">
        <v>3806</v>
      </c>
    </row>
    <row r="1827" spans="1:1">
      <c r="A1827" s="149" t="s">
        <v>3807</v>
      </c>
    </row>
    <row r="1828" spans="1:1">
      <c r="A1828" s="149" t="s">
        <v>3808</v>
      </c>
    </row>
    <row r="1829" spans="1:1">
      <c r="A1829" s="149" t="s">
        <v>3809</v>
      </c>
    </row>
    <row r="1830" spans="1:1">
      <c r="A1830" s="149" t="s">
        <v>3810</v>
      </c>
    </row>
    <row r="1831" spans="1:1">
      <c r="A1831" s="149" t="s">
        <v>3811</v>
      </c>
    </row>
    <row r="1832" spans="1:1">
      <c r="A1832" s="149" t="s">
        <v>3812</v>
      </c>
    </row>
    <row r="1833" spans="1:1">
      <c r="A1833" s="149" t="s">
        <v>3813</v>
      </c>
    </row>
    <row r="1834" spans="1:1">
      <c r="A1834" s="149" t="s">
        <v>3814</v>
      </c>
    </row>
    <row r="1835" spans="1:1">
      <c r="A1835" s="149" t="s">
        <v>3815</v>
      </c>
    </row>
    <row r="1836" spans="1:1">
      <c r="A1836" s="149" t="s">
        <v>3816</v>
      </c>
    </row>
    <row r="1837" spans="1:1">
      <c r="A1837" s="149" t="s">
        <v>3817</v>
      </c>
    </row>
    <row r="1838" spans="1:1">
      <c r="A1838" s="149" t="s">
        <v>3818</v>
      </c>
    </row>
    <row r="1839" spans="1:1">
      <c r="A1839" s="149" t="s">
        <v>3819</v>
      </c>
    </row>
    <row r="1840" spans="1:1">
      <c r="A1840" s="149" t="s">
        <v>3820</v>
      </c>
    </row>
    <row r="1841" spans="1:1">
      <c r="A1841" s="149" t="s">
        <v>3821</v>
      </c>
    </row>
    <row r="1842" spans="1:1">
      <c r="A1842" s="149" t="s">
        <v>3822</v>
      </c>
    </row>
    <row r="1843" spans="1:1">
      <c r="A1843" s="149" t="s">
        <v>3823</v>
      </c>
    </row>
    <row r="1844" spans="1:1">
      <c r="A1844" s="149" t="s">
        <v>3824</v>
      </c>
    </row>
    <row r="1845" spans="1:1">
      <c r="A1845" s="149" t="s">
        <v>3825</v>
      </c>
    </row>
    <row r="1846" spans="1:1">
      <c r="A1846" s="149" t="s">
        <v>3826</v>
      </c>
    </row>
    <row r="1847" spans="1:1">
      <c r="A1847" s="149" t="s">
        <v>3827</v>
      </c>
    </row>
    <row r="1848" spans="1:1">
      <c r="A1848" s="149" t="s">
        <v>3828</v>
      </c>
    </row>
    <row r="1849" spans="1:1">
      <c r="A1849" s="149" t="s">
        <v>3829</v>
      </c>
    </row>
    <row r="1850" spans="1:1">
      <c r="A1850" s="149" t="s">
        <v>3830</v>
      </c>
    </row>
    <row r="1851" spans="1:1">
      <c r="A1851" s="149" t="s">
        <v>3831</v>
      </c>
    </row>
    <row r="1852" spans="1:1">
      <c r="A1852" s="149" t="s">
        <v>3832</v>
      </c>
    </row>
    <row r="1853" spans="1:1">
      <c r="A1853" s="149" t="s">
        <v>3833</v>
      </c>
    </row>
    <row r="1854" spans="1:1">
      <c r="A1854" s="149" t="s">
        <v>3834</v>
      </c>
    </row>
    <row r="1855" spans="1:1">
      <c r="A1855" s="149" t="s">
        <v>3835</v>
      </c>
    </row>
    <row r="1856" spans="1:1">
      <c r="A1856" s="149" t="s">
        <v>3836</v>
      </c>
    </row>
    <row r="1857" spans="1:1">
      <c r="A1857" s="149" t="s">
        <v>3837</v>
      </c>
    </row>
    <row r="1858" spans="1:1">
      <c r="A1858" s="149" t="s">
        <v>3838</v>
      </c>
    </row>
    <row r="1859" spans="1:1">
      <c r="A1859" s="149" t="s">
        <v>3839</v>
      </c>
    </row>
    <row r="1860" spans="1:1">
      <c r="A1860" s="149" t="s">
        <v>3840</v>
      </c>
    </row>
    <row r="1861" spans="1:1">
      <c r="A1861" s="149" t="s">
        <v>3841</v>
      </c>
    </row>
    <row r="1862" spans="1:1">
      <c r="A1862" s="149" t="s">
        <v>3842</v>
      </c>
    </row>
    <row r="1863" spans="1:1">
      <c r="A1863" s="149" t="s">
        <v>3843</v>
      </c>
    </row>
    <row r="1864" spans="1:1">
      <c r="A1864" s="149" t="s">
        <v>3844</v>
      </c>
    </row>
    <row r="1865" spans="1:1">
      <c r="A1865" s="149" t="s">
        <v>3845</v>
      </c>
    </row>
    <row r="1866" spans="1:1">
      <c r="A1866" s="149" t="s">
        <v>3846</v>
      </c>
    </row>
    <row r="1867" spans="1:1">
      <c r="A1867" s="149" t="s">
        <v>3847</v>
      </c>
    </row>
    <row r="1868" spans="1:1">
      <c r="A1868" s="149" t="s">
        <v>3848</v>
      </c>
    </row>
    <row r="1869" spans="1:1">
      <c r="A1869" s="149" t="s">
        <v>3849</v>
      </c>
    </row>
    <row r="1870" spans="1:1">
      <c r="A1870" s="149" t="s">
        <v>3850</v>
      </c>
    </row>
    <row r="1871" spans="1:1">
      <c r="A1871" s="149" t="s">
        <v>3851</v>
      </c>
    </row>
    <row r="1872" spans="1:1">
      <c r="A1872" s="149" t="s">
        <v>3852</v>
      </c>
    </row>
    <row r="1873" spans="1:1">
      <c r="A1873" s="149" t="s">
        <v>3853</v>
      </c>
    </row>
    <row r="1874" spans="1:1">
      <c r="A1874" s="149" t="s">
        <v>3854</v>
      </c>
    </row>
    <row r="1875" spans="1:1">
      <c r="A1875" s="149" t="s">
        <v>3855</v>
      </c>
    </row>
    <row r="1876" spans="1:1">
      <c r="A1876" s="149" t="s">
        <v>3856</v>
      </c>
    </row>
    <row r="1877" spans="1:1">
      <c r="A1877" s="149" t="s">
        <v>3857</v>
      </c>
    </row>
    <row r="1878" spans="1:1">
      <c r="A1878" s="149" t="s">
        <v>3858</v>
      </c>
    </row>
    <row r="1879" spans="1:1">
      <c r="A1879" s="149" t="s">
        <v>3859</v>
      </c>
    </row>
    <row r="1880" spans="1:1">
      <c r="A1880" s="149" t="s">
        <v>3860</v>
      </c>
    </row>
    <row r="1881" spans="1:1">
      <c r="A1881" s="149" t="s">
        <v>3861</v>
      </c>
    </row>
    <row r="1882" spans="1:1">
      <c r="A1882" s="149" t="s">
        <v>3862</v>
      </c>
    </row>
    <row r="1883" spans="1:1">
      <c r="A1883" s="149" t="s">
        <v>3863</v>
      </c>
    </row>
    <row r="1884" spans="1:1">
      <c r="A1884" s="149" t="s">
        <v>3864</v>
      </c>
    </row>
    <row r="1885" spans="1:1">
      <c r="A1885" s="149" t="s">
        <v>3865</v>
      </c>
    </row>
    <row r="1886" spans="1:1">
      <c r="A1886" s="149" t="s">
        <v>3866</v>
      </c>
    </row>
    <row r="1887" spans="1:1">
      <c r="A1887" s="149" t="s">
        <v>3867</v>
      </c>
    </row>
    <row r="1888" spans="1:1">
      <c r="A1888" s="149" t="s">
        <v>3868</v>
      </c>
    </row>
    <row r="1889" spans="1:1">
      <c r="A1889" s="149" t="s">
        <v>3869</v>
      </c>
    </row>
    <row r="1890" spans="1:1">
      <c r="A1890" s="149" t="s">
        <v>3870</v>
      </c>
    </row>
    <row r="1891" spans="1:1">
      <c r="A1891" s="149" t="s">
        <v>3871</v>
      </c>
    </row>
    <row r="1892" spans="1:1">
      <c r="A1892" s="149" t="s">
        <v>3872</v>
      </c>
    </row>
    <row r="1893" spans="1:1">
      <c r="A1893" s="149" t="s">
        <v>3873</v>
      </c>
    </row>
    <row r="1894" spans="1:1">
      <c r="A1894" s="149" t="s">
        <v>3874</v>
      </c>
    </row>
    <row r="1895" spans="1:1">
      <c r="A1895" s="149" t="s">
        <v>3875</v>
      </c>
    </row>
    <row r="1896" spans="1:1">
      <c r="A1896" s="149" t="s">
        <v>3876</v>
      </c>
    </row>
    <row r="1897" spans="1:1">
      <c r="A1897" s="149" t="s">
        <v>3877</v>
      </c>
    </row>
    <row r="1898" spans="1:1">
      <c r="A1898" s="149" t="s">
        <v>3878</v>
      </c>
    </row>
    <row r="1899" spans="1:1">
      <c r="A1899" s="149" t="s">
        <v>3879</v>
      </c>
    </row>
    <row r="1900" spans="1:1">
      <c r="A1900" s="149" t="s">
        <v>3880</v>
      </c>
    </row>
    <row r="1901" spans="1:1">
      <c r="A1901" s="149" t="s">
        <v>3881</v>
      </c>
    </row>
    <row r="1902" spans="1:1">
      <c r="A1902" s="149" t="s">
        <v>3882</v>
      </c>
    </row>
    <row r="1903" spans="1:1">
      <c r="A1903" s="149" t="s">
        <v>3883</v>
      </c>
    </row>
    <row r="1904" spans="1:1">
      <c r="A1904" s="149" t="s">
        <v>3884</v>
      </c>
    </row>
    <row r="1905" spans="1:1">
      <c r="A1905" s="149" t="s">
        <v>3885</v>
      </c>
    </row>
    <row r="1906" spans="1:1">
      <c r="A1906" s="149" t="s">
        <v>3886</v>
      </c>
    </row>
    <row r="1907" spans="1:1">
      <c r="A1907" s="149" t="s">
        <v>3887</v>
      </c>
    </row>
    <row r="1908" spans="1:1">
      <c r="A1908" s="149" t="s">
        <v>3888</v>
      </c>
    </row>
    <row r="1909" spans="1:1">
      <c r="A1909" s="149" t="s">
        <v>3889</v>
      </c>
    </row>
    <row r="1910" spans="1:1">
      <c r="A1910" s="149" t="s">
        <v>3890</v>
      </c>
    </row>
    <row r="1911" spans="1:1">
      <c r="A1911" s="149" t="s">
        <v>3891</v>
      </c>
    </row>
    <row r="1912" spans="1:1">
      <c r="A1912" s="149" t="s">
        <v>3892</v>
      </c>
    </row>
    <row r="1913" spans="1:1">
      <c r="A1913" s="149" t="s">
        <v>3893</v>
      </c>
    </row>
    <row r="1914" spans="1:1">
      <c r="A1914" s="149" t="s">
        <v>3894</v>
      </c>
    </row>
    <row r="1915" spans="1:1">
      <c r="A1915" s="149" t="s">
        <v>3895</v>
      </c>
    </row>
    <row r="1916" spans="1:1">
      <c r="A1916" s="149" t="s">
        <v>3896</v>
      </c>
    </row>
    <row r="1917" spans="1:1">
      <c r="A1917" s="149" t="s">
        <v>3897</v>
      </c>
    </row>
    <row r="1918" spans="1:1">
      <c r="A1918" s="149" t="s">
        <v>3898</v>
      </c>
    </row>
    <row r="1919" spans="1:1">
      <c r="A1919" s="149" t="s">
        <v>3899</v>
      </c>
    </row>
    <row r="1920" spans="1:1">
      <c r="A1920" s="149" t="s">
        <v>3900</v>
      </c>
    </row>
    <row r="1921" spans="1:1">
      <c r="A1921" s="149" t="s">
        <v>3901</v>
      </c>
    </row>
    <row r="1922" spans="1:1">
      <c r="A1922" s="149" t="s">
        <v>3902</v>
      </c>
    </row>
    <row r="1923" spans="1:1">
      <c r="A1923" s="149" t="s">
        <v>3903</v>
      </c>
    </row>
    <row r="1924" spans="1:1">
      <c r="A1924" s="149" t="s">
        <v>3904</v>
      </c>
    </row>
    <row r="1925" spans="1:1">
      <c r="A1925" s="149" t="s">
        <v>3905</v>
      </c>
    </row>
    <row r="1926" spans="1:1">
      <c r="A1926" s="149" t="s">
        <v>3906</v>
      </c>
    </row>
    <row r="1927" spans="1:1">
      <c r="A1927" s="149" t="s">
        <v>3907</v>
      </c>
    </row>
    <row r="1928" spans="1:1">
      <c r="A1928" s="149" t="s">
        <v>3908</v>
      </c>
    </row>
    <row r="1929" spans="1:1">
      <c r="A1929" s="149" t="s">
        <v>3909</v>
      </c>
    </row>
    <row r="1930" spans="1:1">
      <c r="A1930" s="149" t="s">
        <v>3910</v>
      </c>
    </row>
    <row r="1931" spans="1:1">
      <c r="A1931" s="149" t="s">
        <v>3911</v>
      </c>
    </row>
    <row r="1932" spans="1:1">
      <c r="A1932" s="149" t="s">
        <v>3912</v>
      </c>
    </row>
    <row r="1933" spans="1:1">
      <c r="A1933" s="149" t="s">
        <v>3913</v>
      </c>
    </row>
    <row r="1934" spans="1:1">
      <c r="A1934" s="149" t="s">
        <v>3914</v>
      </c>
    </row>
    <row r="1935" spans="1:1">
      <c r="A1935" s="149" t="s">
        <v>3915</v>
      </c>
    </row>
    <row r="1936" spans="1:1">
      <c r="A1936" s="149" t="s">
        <v>3916</v>
      </c>
    </row>
    <row r="1937" spans="1:1">
      <c r="A1937" s="149" t="s">
        <v>3917</v>
      </c>
    </row>
    <row r="1938" spans="1:1">
      <c r="A1938" s="149" t="s">
        <v>3918</v>
      </c>
    </row>
    <row r="1939" spans="1:1">
      <c r="A1939" s="149" t="s">
        <v>3919</v>
      </c>
    </row>
    <row r="1940" spans="1:1">
      <c r="A1940" s="149" t="s">
        <v>3920</v>
      </c>
    </row>
    <row r="1941" spans="1:1">
      <c r="A1941" s="149" t="s">
        <v>3921</v>
      </c>
    </row>
    <row r="1942" spans="1:1">
      <c r="A1942" s="149" t="s">
        <v>3922</v>
      </c>
    </row>
    <row r="1943" spans="1:1">
      <c r="A1943" s="149" t="s">
        <v>3923</v>
      </c>
    </row>
    <row r="1944" spans="1:1">
      <c r="A1944" s="149" t="s">
        <v>3924</v>
      </c>
    </row>
    <row r="1945" spans="1:1">
      <c r="A1945" s="149" t="s">
        <v>3925</v>
      </c>
    </row>
    <row r="1946" spans="1:1">
      <c r="A1946" s="149" t="s">
        <v>3926</v>
      </c>
    </row>
    <row r="1947" spans="1:1">
      <c r="A1947" s="149" t="s">
        <v>3927</v>
      </c>
    </row>
    <row r="1948" spans="1:1">
      <c r="A1948" s="149" t="s">
        <v>3928</v>
      </c>
    </row>
    <row r="1949" spans="1:1">
      <c r="A1949" s="149" t="s">
        <v>3929</v>
      </c>
    </row>
    <row r="1950" spans="1:1">
      <c r="A1950" s="149" t="s">
        <v>3930</v>
      </c>
    </row>
    <row r="1951" spans="1:1">
      <c r="A1951" s="149" t="s">
        <v>3931</v>
      </c>
    </row>
    <row r="1952" spans="1:1">
      <c r="A1952" s="149" t="s">
        <v>3932</v>
      </c>
    </row>
    <row r="1953" spans="1:1">
      <c r="A1953" s="149" t="s">
        <v>3933</v>
      </c>
    </row>
    <row r="1954" spans="1:1">
      <c r="A1954" s="149" t="s">
        <v>3934</v>
      </c>
    </row>
    <row r="1955" spans="1:1">
      <c r="A1955" s="149" t="s">
        <v>3935</v>
      </c>
    </row>
    <row r="1956" spans="1:1">
      <c r="A1956" s="149" t="s">
        <v>3936</v>
      </c>
    </row>
    <row r="1957" spans="1:1">
      <c r="A1957" s="149" t="s">
        <v>3937</v>
      </c>
    </row>
    <row r="1958" spans="1:1">
      <c r="A1958" s="149" t="s">
        <v>3938</v>
      </c>
    </row>
    <row r="1959" spans="1:1">
      <c r="A1959" s="149" t="s">
        <v>3939</v>
      </c>
    </row>
    <row r="1960" spans="1:1">
      <c r="A1960" s="149" t="s">
        <v>3940</v>
      </c>
    </row>
    <row r="1961" spans="1:1">
      <c r="A1961" s="149" t="s">
        <v>3941</v>
      </c>
    </row>
    <row r="1962" spans="1:1">
      <c r="A1962" s="149" t="s">
        <v>3942</v>
      </c>
    </row>
    <row r="1963" spans="1:1">
      <c r="A1963" s="149" t="s">
        <v>3943</v>
      </c>
    </row>
    <row r="1964" spans="1:1">
      <c r="A1964" s="149" t="s">
        <v>3944</v>
      </c>
    </row>
    <row r="1965" spans="1:1">
      <c r="A1965" s="149" t="s">
        <v>3945</v>
      </c>
    </row>
    <row r="1966" spans="1:1">
      <c r="A1966" s="149" t="s">
        <v>3946</v>
      </c>
    </row>
    <row r="1967" spans="1:1">
      <c r="A1967" s="149" t="s">
        <v>3947</v>
      </c>
    </row>
    <row r="1968" spans="1:1">
      <c r="A1968" s="149" t="s">
        <v>3948</v>
      </c>
    </row>
    <row r="1969" spans="1:1">
      <c r="A1969" s="149" t="s">
        <v>3949</v>
      </c>
    </row>
    <row r="1970" spans="1:1">
      <c r="A1970" s="149" t="s">
        <v>3950</v>
      </c>
    </row>
    <row r="1971" spans="1:1">
      <c r="A1971" s="149" t="s">
        <v>3951</v>
      </c>
    </row>
    <row r="1972" spans="1:1">
      <c r="A1972" s="149" t="s">
        <v>3952</v>
      </c>
    </row>
    <row r="1973" spans="1:1">
      <c r="A1973" s="149" t="s">
        <v>3953</v>
      </c>
    </row>
    <row r="1974" spans="1:1">
      <c r="A1974" s="149" t="s">
        <v>3954</v>
      </c>
    </row>
    <row r="1975" spans="1:1">
      <c r="A1975" s="149" t="s">
        <v>3955</v>
      </c>
    </row>
    <row r="1976" spans="1:1">
      <c r="A1976" s="149" t="s">
        <v>3956</v>
      </c>
    </row>
    <row r="1977" spans="1:1">
      <c r="A1977" s="149" t="s">
        <v>3957</v>
      </c>
    </row>
    <row r="1978" spans="1:1">
      <c r="A1978" s="149" t="s">
        <v>3958</v>
      </c>
    </row>
    <row r="1979" spans="1:1">
      <c r="A1979" s="149" t="s">
        <v>3959</v>
      </c>
    </row>
    <row r="1980" spans="1:1">
      <c r="A1980" s="149" t="s">
        <v>3960</v>
      </c>
    </row>
    <row r="1981" spans="1:1">
      <c r="A1981" s="149" t="s">
        <v>3961</v>
      </c>
    </row>
    <row r="1982" spans="1:1">
      <c r="A1982" s="149" t="s">
        <v>3962</v>
      </c>
    </row>
    <row r="1983" spans="1:1">
      <c r="A1983" s="149" t="s">
        <v>3963</v>
      </c>
    </row>
    <row r="1984" spans="1:1">
      <c r="A1984" s="149" t="s">
        <v>3964</v>
      </c>
    </row>
    <row r="1985" spans="1:1">
      <c r="A1985" s="149" t="s">
        <v>3965</v>
      </c>
    </row>
    <row r="1986" spans="1:1">
      <c r="A1986" s="149" t="s">
        <v>3966</v>
      </c>
    </row>
    <row r="1987" spans="1:1">
      <c r="A1987" s="149" t="s">
        <v>3967</v>
      </c>
    </row>
    <row r="1988" spans="1:1">
      <c r="A1988" s="149" t="s">
        <v>3968</v>
      </c>
    </row>
    <row r="1989" spans="1:1">
      <c r="A1989" s="149" t="s">
        <v>3969</v>
      </c>
    </row>
    <row r="1990" spans="1:1">
      <c r="A1990" s="149" t="s">
        <v>3970</v>
      </c>
    </row>
    <row r="1991" spans="1:1">
      <c r="A1991" s="149" t="s">
        <v>3971</v>
      </c>
    </row>
    <row r="1992" spans="1:1">
      <c r="A1992" s="149" t="s">
        <v>3972</v>
      </c>
    </row>
    <row r="1993" spans="1:1">
      <c r="A1993" s="149" t="s">
        <v>3973</v>
      </c>
    </row>
    <row r="1994" spans="1:1">
      <c r="A1994" s="149" t="s">
        <v>3974</v>
      </c>
    </row>
    <row r="1995" spans="1:1">
      <c r="A1995" s="149" t="s">
        <v>3975</v>
      </c>
    </row>
    <row r="1996" spans="1:1">
      <c r="A1996" s="149" t="s">
        <v>3976</v>
      </c>
    </row>
    <row r="1997" spans="1:1">
      <c r="A1997" s="149" t="s">
        <v>3977</v>
      </c>
    </row>
    <row r="1998" spans="1:1">
      <c r="A1998" s="149" t="s">
        <v>3978</v>
      </c>
    </row>
    <row r="1999" spans="1:1">
      <c r="A1999" s="149" t="s">
        <v>3979</v>
      </c>
    </row>
    <row r="2000" spans="1:1">
      <c r="A2000" s="149" t="s">
        <v>3980</v>
      </c>
    </row>
    <row r="2001" spans="1:1">
      <c r="A2001" s="149" t="s">
        <v>3981</v>
      </c>
    </row>
    <row r="2002" spans="1:1">
      <c r="A2002" s="149" t="s">
        <v>3982</v>
      </c>
    </row>
    <row r="2003" spans="1:1">
      <c r="A2003" s="149" t="s">
        <v>3983</v>
      </c>
    </row>
    <row r="2004" spans="1:1">
      <c r="A2004" s="149" t="s">
        <v>3984</v>
      </c>
    </row>
    <row r="2005" spans="1:1">
      <c r="A2005" s="149" t="s">
        <v>3985</v>
      </c>
    </row>
    <row r="2006" spans="1:1">
      <c r="A2006" s="149" t="s">
        <v>3986</v>
      </c>
    </row>
    <row r="2007" spans="1:1">
      <c r="A2007" s="149" t="s">
        <v>3987</v>
      </c>
    </row>
    <row r="2008" spans="1:1">
      <c r="A2008" s="149" t="s">
        <v>3988</v>
      </c>
    </row>
    <row r="2009" spans="1:1">
      <c r="A2009" s="149" t="s">
        <v>3989</v>
      </c>
    </row>
    <row r="2010" spans="1:1">
      <c r="A2010" s="149" t="s">
        <v>3990</v>
      </c>
    </row>
    <row r="2011" spans="1:1">
      <c r="A2011" s="149" t="s">
        <v>3991</v>
      </c>
    </row>
    <row r="2012" spans="1:1">
      <c r="A2012" s="149" t="s">
        <v>3992</v>
      </c>
    </row>
    <row r="2013" spans="1:1">
      <c r="A2013" s="149" t="s">
        <v>3993</v>
      </c>
    </row>
    <row r="2014" spans="1:1">
      <c r="A2014" s="149" t="s">
        <v>3994</v>
      </c>
    </row>
    <row r="2015" spans="1:1">
      <c r="A2015" s="149" t="s">
        <v>3995</v>
      </c>
    </row>
    <row r="2016" spans="1:1">
      <c r="A2016" s="149" t="s">
        <v>3996</v>
      </c>
    </row>
    <row r="2017" spans="1:1">
      <c r="A2017" s="149" t="s">
        <v>3997</v>
      </c>
    </row>
    <row r="2018" spans="1:1">
      <c r="A2018" s="149" t="s">
        <v>3998</v>
      </c>
    </row>
    <row r="2019" spans="1:1">
      <c r="A2019" s="149" t="s">
        <v>3999</v>
      </c>
    </row>
    <row r="2020" spans="1:1">
      <c r="A2020" s="149" t="s">
        <v>4000</v>
      </c>
    </row>
    <row r="2021" spans="1:1">
      <c r="A2021" s="149" t="s">
        <v>4001</v>
      </c>
    </row>
    <row r="2022" spans="1:1">
      <c r="A2022" s="149" t="s">
        <v>4002</v>
      </c>
    </row>
    <row r="2023" spans="1:1">
      <c r="A2023" s="149" t="s">
        <v>4003</v>
      </c>
    </row>
    <row r="2024" spans="1:1">
      <c r="A2024" s="149" t="s">
        <v>4004</v>
      </c>
    </row>
    <row r="2025" spans="1:1">
      <c r="A2025" s="149" t="s">
        <v>4005</v>
      </c>
    </row>
    <row r="2026" spans="1:1">
      <c r="A2026" s="149" t="s">
        <v>4006</v>
      </c>
    </row>
    <row r="2027" spans="1:1">
      <c r="A2027" s="149" t="s">
        <v>4007</v>
      </c>
    </row>
    <row r="2028" spans="1:1">
      <c r="A2028" s="149" t="s">
        <v>4008</v>
      </c>
    </row>
    <row r="2029" spans="1:1">
      <c r="A2029" s="149" t="s">
        <v>4009</v>
      </c>
    </row>
    <row r="2030" spans="1:1">
      <c r="A2030" s="149" t="s">
        <v>4010</v>
      </c>
    </row>
    <row r="2031" spans="1:1">
      <c r="A2031" s="149" t="s">
        <v>4011</v>
      </c>
    </row>
    <row r="2032" spans="1:1">
      <c r="A2032" s="149" t="s">
        <v>4012</v>
      </c>
    </row>
    <row r="2033" spans="1:1">
      <c r="A2033" s="149" t="s">
        <v>4013</v>
      </c>
    </row>
    <row r="2034" spans="1:1">
      <c r="A2034" s="149" t="s">
        <v>4014</v>
      </c>
    </row>
    <row r="2035" spans="1:1">
      <c r="A2035" s="149" t="s">
        <v>4015</v>
      </c>
    </row>
    <row r="2036" spans="1:1">
      <c r="A2036" s="149" t="s">
        <v>4016</v>
      </c>
    </row>
    <row r="2037" spans="1:1">
      <c r="A2037" s="149" t="s">
        <v>4017</v>
      </c>
    </row>
    <row r="2038" spans="1:1">
      <c r="A2038" s="149" t="s">
        <v>4018</v>
      </c>
    </row>
    <row r="2039" spans="1:1">
      <c r="A2039" s="149" t="s">
        <v>4019</v>
      </c>
    </row>
    <row r="2040" spans="1:1">
      <c r="A2040" s="149" t="s">
        <v>4020</v>
      </c>
    </row>
    <row r="2041" spans="1:1">
      <c r="A2041" s="149" t="s">
        <v>4021</v>
      </c>
    </row>
    <row r="2042" spans="1:1">
      <c r="A2042" s="149" t="s">
        <v>4022</v>
      </c>
    </row>
    <row r="2043" spans="1:1">
      <c r="A2043" s="149" t="s">
        <v>4023</v>
      </c>
    </row>
    <row r="2044" spans="1:1">
      <c r="A2044" s="149" t="s">
        <v>4024</v>
      </c>
    </row>
    <row r="2045" spans="1:1">
      <c r="A2045" s="149" t="s">
        <v>4025</v>
      </c>
    </row>
    <row r="2046" spans="1:1">
      <c r="A2046" s="149" t="s">
        <v>4026</v>
      </c>
    </row>
    <row r="2047" spans="1:1">
      <c r="A2047" s="149" t="s">
        <v>4027</v>
      </c>
    </row>
    <row r="2048" spans="1:1">
      <c r="A2048" s="149" t="s">
        <v>4028</v>
      </c>
    </row>
    <row r="2049" spans="1:1">
      <c r="A2049" s="149" t="s">
        <v>4029</v>
      </c>
    </row>
    <row r="2050" spans="1:1">
      <c r="A2050" s="149" t="s">
        <v>4030</v>
      </c>
    </row>
    <row r="2051" spans="1:1">
      <c r="A2051" s="149" t="s">
        <v>4031</v>
      </c>
    </row>
    <row r="2052" spans="1:1">
      <c r="A2052" s="149" t="s">
        <v>4032</v>
      </c>
    </row>
    <row r="2053" spans="1:1">
      <c r="A2053" s="149" t="s">
        <v>4033</v>
      </c>
    </row>
    <row r="2054" spans="1:1">
      <c r="A2054" s="149" t="s">
        <v>4034</v>
      </c>
    </row>
    <row r="2055" spans="1:1">
      <c r="A2055" s="149" t="s">
        <v>4035</v>
      </c>
    </row>
    <row r="2056" spans="1:1">
      <c r="A2056" s="149" t="s">
        <v>4036</v>
      </c>
    </row>
    <row r="2057" spans="1:1">
      <c r="A2057" s="149" t="s">
        <v>4037</v>
      </c>
    </row>
    <row r="2058" spans="1:1">
      <c r="A2058" s="149" t="s">
        <v>4038</v>
      </c>
    </row>
    <row r="2059" spans="1:1">
      <c r="A2059" s="149" t="s">
        <v>4039</v>
      </c>
    </row>
    <row r="2060" spans="1:1">
      <c r="A2060" s="149" t="s">
        <v>4040</v>
      </c>
    </row>
    <row r="2061" spans="1:1">
      <c r="A2061" s="149" t="s">
        <v>4041</v>
      </c>
    </row>
    <row r="2062" spans="1:1">
      <c r="A2062" s="149" t="s">
        <v>4042</v>
      </c>
    </row>
    <row r="2063" spans="1:1">
      <c r="A2063" s="149" t="s">
        <v>4043</v>
      </c>
    </row>
    <row r="2064" spans="1:1">
      <c r="A2064" s="149" t="s">
        <v>4044</v>
      </c>
    </row>
    <row r="2065" spans="1:1">
      <c r="A2065" s="149" t="s">
        <v>4045</v>
      </c>
    </row>
    <row r="2066" spans="1:1">
      <c r="A2066" s="149" t="s">
        <v>4046</v>
      </c>
    </row>
    <row r="2067" spans="1:1">
      <c r="A2067" s="149" t="s">
        <v>4047</v>
      </c>
    </row>
    <row r="2068" spans="1:1">
      <c r="A2068" s="149" t="s">
        <v>4048</v>
      </c>
    </row>
    <row r="2069" spans="1:1">
      <c r="A2069" s="149" t="s">
        <v>4049</v>
      </c>
    </row>
    <row r="2070" spans="1:1">
      <c r="A2070" s="149" t="s">
        <v>4050</v>
      </c>
    </row>
    <row r="2071" spans="1:1">
      <c r="A2071" s="149" t="s">
        <v>4051</v>
      </c>
    </row>
    <row r="2072" spans="1:1">
      <c r="A2072" s="149" t="s">
        <v>4052</v>
      </c>
    </row>
    <row r="2073" spans="1:1">
      <c r="A2073" s="149" t="s">
        <v>4053</v>
      </c>
    </row>
    <row r="2074" spans="1:1">
      <c r="A2074" s="149" t="s">
        <v>4054</v>
      </c>
    </row>
    <row r="2075" spans="1:1">
      <c r="A2075" s="149" t="s">
        <v>4055</v>
      </c>
    </row>
    <row r="2076" spans="1:1">
      <c r="A2076" s="149" t="s">
        <v>4056</v>
      </c>
    </row>
    <row r="2077" spans="1:1">
      <c r="A2077" s="149" t="s">
        <v>4057</v>
      </c>
    </row>
    <row r="2078" spans="1:1">
      <c r="A2078" s="149" t="s">
        <v>4058</v>
      </c>
    </row>
    <row r="2079" spans="1:1">
      <c r="A2079" s="149" t="s">
        <v>4059</v>
      </c>
    </row>
    <row r="2080" spans="1:1">
      <c r="A2080" s="149" t="s">
        <v>4060</v>
      </c>
    </row>
    <row r="2081" spans="1:1">
      <c r="A2081" s="149" t="s">
        <v>4061</v>
      </c>
    </row>
    <row r="2082" spans="1:1">
      <c r="A2082" s="149" t="s">
        <v>4062</v>
      </c>
    </row>
    <row r="2083" spans="1:1">
      <c r="A2083" s="149" t="s">
        <v>4063</v>
      </c>
    </row>
    <row r="2084" spans="1:1">
      <c r="A2084" s="149" t="s">
        <v>4064</v>
      </c>
    </row>
    <row r="2085" spans="1:1">
      <c r="A2085" s="149" t="s">
        <v>4065</v>
      </c>
    </row>
    <row r="2086" spans="1:1">
      <c r="A2086" s="149" t="s">
        <v>4066</v>
      </c>
    </row>
    <row r="2087" spans="1:1">
      <c r="A2087" s="149" t="s">
        <v>4067</v>
      </c>
    </row>
    <row r="2088" spans="1:1">
      <c r="A2088" s="149" t="s">
        <v>4068</v>
      </c>
    </row>
    <row r="2089" spans="1:1">
      <c r="A2089" s="149" t="s">
        <v>4069</v>
      </c>
    </row>
    <row r="2090" spans="1:1">
      <c r="A2090" s="149" t="s">
        <v>4070</v>
      </c>
    </row>
    <row r="2091" spans="1:1">
      <c r="A2091" s="149" t="s">
        <v>4071</v>
      </c>
    </row>
    <row r="2092" spans="1:1">
      <c r="A2092" s="149" t="s">
        <v>4072</v>
      </c>
    </row>
    <row r="2093" spans="1:1">
      <c r="A2093" s="149" t="s">
        <v>4073</v>
      </c>
    </row>
    <row r="2094" spans="1:1">
      <c r="A2094" s="149" t="s">
        <v>4074</v>
      </c>
    </row>
    <row r="2095" spans="1:1">
      <c r="A2095" s="149" t="s">
        <v>4075</v>
      </c>
    </row>
    <row r="2096" spans="1:1">
      <c r="A2096" s="149" t="s">
        <v>4076</v>
      </c>
    </row>
    <row r="2097" spans="1:1">
      <c r="A2097" s="149" t="s">
        <v>4077</v>
      </c>
    </row>
    <row r="2098" spans="1:1">
      <c r="A2098" s="149" t="s">
        <v>4078</v>
      </c>
    </row>
    <row r="2099" spans="1:1">
      <c r="A2099" s="149" t="s">
        <v>4079</v>
      </c>
    </row>
    <row r="2100" spans="1:1">
      <c r="A2100" s="149" t="s">
        <v>4080</v>
      </c>
    </row>
    <row r="2101" spans="1:1">
      <c r="A2101" s="149" t="s">
        <v>4081</v>
      </c>
    </row>
    <row r="2102" spans="1:1">
      <c r="A2102" s="149" t="s">
        <v>4082</v>
      </c>
    </row>
    <row r="2103" spans="1:1">
      <c r="A2103" s="149" t="s">
        <v>4083</v>
      </c>
    </row>
    <row r="2104" spans="1:1">
      <c r="A2104" s="149" t="s">
        <v>4084</v>
      </c>
    </row>
    <row r="2105" spans="1:1">
      <c r="A2105" s="149" t="s">
        <v>4085</v>
      </c>
    </row>
    <row r="2106" spans="1:1">
      <c r="A2106" s="149" t="s">
        <v>4086</v>
      </c>
    </row>
    <row r="2107" spans="1:1">
      <c r="A2107" s="149" t="s">
        <v>4087</v>
      </c>
    </row>
    <row r="2108" spans="1:1">
      <c r="A2108" s="149" t="s">
        <v>4088</v>
      </c>
    </row>
    <row r="2109" spans="1:1">
      <c r="A2109" s="149" t="s">
        <v>4089</v>
      </c>
    </row>
    <row r="2110" spans="1:1">
      <c r="A2110" s="149" t="s">
        <v>4090</v>
      </c>
    </row>
    <row r="2111" spans="1:1">
      <c r="A2111" s="149" t="s">
        <v>4091</v>
      </c>
    </row>
    <row r="2112" spans="1:1">
      <c r="A2112" s="149" t="s">
        <v>4092</v>
      </c>
    </row>
    <row r="2113" spans="1:1">
      <c r="A2113" s="149" t="s">
        <v>4093</v>
      </c>
    </row>
    <row r="2114" spans="1:1">
      <c r="A2114" s="149" t="s">
        <v>4094</v>
      </c>
    </row>
    <row r="2115" spans="1:1">
      <c r="A2115" s="149" t="s">
        <v>4095</v>
      </c>
    </row>
    <row r="2116" spans="1:1">
      <c r="A2116" s="149" t="s">
        <v>4096</v>
      </c>
    </row>
    <row r="2117" spans="1:1">
      <c r="A2117" s="149" t="s">
        <v>4097</v>
      </c>
    </row>
    <row r="2118" spans="1:1">
      <c r="A2118" s="149" t="s">
        <v>4098</v>
      </c>
    </row>
    <row r="2119" spans="1:1">
      <c r="A2119" s="149" t="s">
        <v>4099</v>
      </c>
    </row>
    <row r="2120" spans="1:1">
      <c r="A2120" s="149" t="s">
        <v>4100</v>
      </c>
    </row>
    <row r="2121" spans="1:1">
      <c r="A2121" s="149" t="s">
        <v>4101</v>
      </c>
    </row>
    <row r="2122" spans="1:1">
      <c r="A2122" s="149" t="s">
        <v>4102</v>
      </c>
    </row>
    <row r="2123" spans="1:1">
      <c r="A2123" s="149" t="s">
        <v>4103</v>
      </c>
    </row>
    <row r="2124" spans="1:1">
      <c r="A2124" s="149" t="s">
        <v>4104</v>
      </c>
    </row>
    <row r="2125" spans="1:1">
      <c r="A2125" s="149" t="s">
        <v>4105</v>
      </c>
    </row>
    <row r="2126" spans="1:1">
      <c r="A2126" s="149" t="s">
        <v>4106</v>
      </c>
    </row>
    <row r="2127" spans="1:1">
      <c r="A2127" s="149" t="s">
        <v>4107</v>
      </c>
    </row>
    <row r="2128" spans="1:1">
      <c r="A2128" s="149" t="s">
        <v>4108</v>
      </c>
    </row>
    <row r="2129" spans="1:1">
      <c r="A2129" s="149" t="s">
        <v>4109</v>
      </c>
    </row>
    <row r="2130" spans="1:1">
      <c r="A2130" s="149" t="s">
        <v>4110</v>
      </c>
    </row>
    <row r="2131" spans="1:1">
      <c r="A2131" s="149" t="s">
        <v>4111</v>
      </c>
    </row>
    <row r="2132" spans="1:1">
      <c r="A2132" s="149" t="s">
        <v>4112</v>
      </c>
    </row>
    <row r="2133" spans="1:1">
      <c r="A2133" s="149" t="s">
        <v>4113</v>
      </c>
    </row>
    <row r="2134" spans="1:1">
      <c r="A2134" s="149" t="s">
        <v>4114</v>
      </c>
    </row>
    <row r="2135" spans="1:1">
      <c r="A2135" s="149" t="s">
        <v>4115</v>
      </c>
    </row>
    <row r="2136" spans="1:1">
      <c r="A2136" s="149" t="s">
        <v>4116</v>
      </c>
    </row>
    <row r="2137" spans="1:1">
      <c r="A2137" s="149" t="s">
        <v>4117</v>
      </c>
    </row>
    <row r="2138" spans="1:1">
      <c r="A2138" s="149" t="s">
        <v>4118</v>
      </c>
    </row>
    <row r="2139" spans="1:1">
      <c r="A2139" s="149" t="s">
        <v>4119</v>
      </c>
    </row>
    <row r="2140" spans="1:1">
      <c r="A2140" s="149" t="s">
        <v>4120</v>
      </c>
    </row>
    <row r="2141" spans="1:1">
      <c r="A2141" s="149" t="s">
        <v>4121</v>
      </c>
    </row>
    <row r="2142" spans="1:1">
      <c r="A2142" s="149" t="s">
        <v>4122</v>
      </c>
    </row>
    <row r="2143" spans="1:1">
      <c r="A2143" s="149" t="s">
        <v>4123</v>
      </c>
    </row>
    <row r="2144" spans="1:1">
      <c r="A2144" s="149" t="s">
        <v>4124</v>
      </c>
    </row>
    <row r="2145" spans="1:1">
      <c r="A2145" s="149" t="s">
        <v>4125</v>
      </c>
    </row>
    <row r="2146" spans="1:1">
      <c r="A2146" s="149" t="s">
        <v>4126</v>
      </c>
    </row>
    <row r="2147" spans="1:1">
      <c r="A2147" s="149" t="s">
        <v>4127</v>
      </c>
    </row>
    <row r="2148" spans="1:1">
      <c r="A2148" s="149" t="s">
        <v>4128</v>
      </c>
    </row>
    <row r="2149" spans="1:1">
      <c r="A2149" s="149" t="s">
        <v>4129</v>
      </c>
    </row>
    <row r="2150" spans="1:1">
      <c r="A2150" s="149" t="s">
        <v>4130</v>
      </c>
    </row>
    <row r="2151" spans="1:1">
      <c r="A2151" s="149" t="s">
        <v>4131</v>
      </c>
    </row>
    <row r="2152" spans="1:1">
      <c r="A2152" s="149" t="s">
        <v>4132</v>
      </c>
    </row>
    <row r="2153" spans="1:1">
      <c r="A2153" s="149" t="s">
        <v>4133</v>
      </c>
    </row>
    <row r="2154" spans="1:1">
      <c r="A2154" s="149" t="s">
        <v>4134</v>
      </c>
    </row>
    <row r="2155" spans="1:1">
      <c r="A2155" s="149" t="s">
        <v>4135</v>
      </c>
    </row>
    <row r="2156" spans="1:1">
      <c r="A2156" s="149" t="s">
        <v>4136</v>
      </c>
    </row>
    <row r="2157" spans="1:1">
      <c r="A2157" s="149" t="s">
        <v>4137</v>
      </c>
    </row>
    <row r="2158" spans="1:1">
      <c r="A2158" s="149" t="s">
        <v>4138</v>
      </c>
    </row>
    <row r="2159" spans="1:1">
      <c r="A2159" s="149" t="s">
        <v>4139</v>
      </c>
    </row>
    <row r="2160" spans="1:1">
      <c r="A2160" s="149" t="s">
        <v>4140</v>
      </c>
    </row>
    <row r="2161" spans="1:1">
      <c r="A2161" s="149" t="s">
        <v>4141</v>
      </c>
    </row>
    <row r="2162" spans="1:1">
      <c r="A2162" s="149" t="s">
        <v>4142</v>
      </c>
    </row>
    <row r="2163" spans="1:1">
      <c r="A2163" s="149" t="s">
        <v>4143</v>
      </c>
    </row>
    <row r="2164" spans="1:1">
      <c r="A2164" s="149" t="s">
        <v>4144</v>
      </c>
    </row>
    <row r="2165" spans="1:1">
      <c r="A2165" s="149" t="s">
        <v>4145</v>
      </c>
    </row>
    <row r="2166" spans="1:1">
      <c r="A2166" s="149" t="s">
        <v>4146</v>
      </c>
    </row>
    <row r="2167" spans="1:1">
      <c r="A2167" s="149" t="s">
        <v>4147</v>
      </c>
    </row>
    <row r="2168" spans="1:1">
      <c r="A2168" s="149" t="s">
        <v>4148</v>
      </c>
    </row>
    <row r="2169" spans="1:1">
      <c r="A2169" s="149" t="s">
        <v>4149</v>
      </c>
    </row>
    <row r="2170" spans="1:1">
      <c r="A2170" s="149" t="s">
        <v>4150</v>
      </c>
    </row>
    <row r="2171" spans="1:1">
      <c r="A2171" s="149" t="s">
        <v>4151</v>
      </c>
    </row>
    <row r="2172" spans="1:1">
      <c r="A2172" s="149" t="s">
        <v>4152</v>
      </c>
    </row>
    <row r="2173" spans="1:1">
      <c r="A2173" s="149" t="s">
        <v>4153</v>
      </c>
    </row>
    <row r="2174" spans="1:1">
      <c r="A2174" s="149" t="s">
        <v>4154</v>
      </c>
    </row>
    <row r="2175" spans="1:1">
      <c r="A2175" s="149" t="s">
        <v>4155</v>
      </c>
    </row>
    <row r="2176" spans="1:1">
      <c r="A2176" s="149" t="s">
        <v>4156</v>
      </c>
    </row>
    <row r="2177" spans="1:1">
      <c r="A2177" s="149" t="s">
        <v>4157</v>
      </c>
    </row>
    <row r="2178" spans="1:1">
      <c r="A2178" s="149" t="s">
        <v>4158</v>
      </c>
    </row>
    <row r="2179" spans="1:1">
      <c r="A2179" s="149" t="s">
        <v>4159</v>
      </c>
    </row>
    <row r="2180" spans="1:1">
      <c r="A2180" s="149" t="s">
        <v>4160</v>
      </c>
    </row>
    <row r="2181" spans="1:1">
      <c r="A2181" s="149" t="s">
        <v>4161</v>
      </c>
    </row>
    <row r="2182" spans="1:1">
      <c r="A2182" s="149" t="s">
        <v>4162</v>
      </c>
    </row>
    <row r="2183" spans="1:1">
      <c r="A2183" s="149" t="s">
        <v>4163</v>
      </c>
    </row>
    <row r="2184" spans="1:1">
      <c r="A2184" s="149" t="s">
        <v>4164</v>
      </c>
    </row>
    <row r="2185" spans="1:1">
      <c r="A2185" s="149" t="s">
        <v>4165</v>
      </c>
    </row>
    <row r="2186" spans="1:1">
      <c r="A2186" s="149" t="s">
        <v>4166</v>
      </c>
    </row>
    <row r="2187" spans="1:1">
      <c r="A2187" s="149" t="s">
        <v>4167</v>
      </c>
    </row>
    <row r="2188" spans="1:1">
      <c r="A2188" s="149" t="s">
        <v>4168</v>
      </c>
    </row>
    <row r="2189" spans="1:1">
      <c r="A2189" s="149" t="s">
        <v>4169</v>
      </c>
    </row>
    <row r="2190" spans="1:1">
      <c r="A2190" s="149" t="s">
        <v>4170</v>
      </c>
    </row>
    <row r="2191" spans="1:1">
      <c r="A2191" s="149" t="s">
        <v>4171</v>
      </c>
    </row>
    <row r="2192" spans="1:1">
      <c r="A2192" s="149" t="s">
        <v>4172</v>
      </c>
    </row>
    <row r="2193" spans="1:1">
      <c r="A2193" s="149" t="s">
        <v>4173</v>
      </c>
    </row>
    <row r="2194" spans="1:1">
      <c r="A2194" s="149" t="s">
        <v>4174</v>
      </c>
    </row>
    <row r="2195" spans="1:1">
      <c r="A2195" s="149" t="s">
        <v>4175</v>
      </c>
    </row>
    <row r="2196" spans="1:1">
      <c r="A2196" s="149" t="s">
        <v>4176</v>
      </c>
    </row>
    <row r="2197" spans="1:1">
      <c r="A2197" s="149" t="s">
        <v>4177</v>
      </c>
    </row>
    <row r="2198" spans="1:1">
      <c r="A2198" s="149" t="s">
        <v>4178</v>
      </c>
    </row>
    <row r="2199" spans="1:1">
      <c r="A2199" s="149" t="s">
        <v>4179</v>
      </c>
    </row>
    <row r="2200" spans="1:1">
      <c r="A2200" s="149" t="s">
        <v>4180</v>
      </c>
    </row>
    <row r="2201" spans="1:1">
      <c r="A2201" s="149" t="s">
        <v>4181</v>
      </c>
    </row>
    <row r="2202" spans="1:1">
      <c r="A2202" s="149" t="s">
        <v>4182</v>
      </c>
    </row>
    <row r="2203" spans="1:1">
      <c r="A2203" s="149" t="s">
        <v>4183</v>
      </c>
    </row>
    <row r="2204" spans="1:1">
      <c r="A2204" s="149" t="s">
        <v>4184</v>
      </c>
    </row>
    <row r="2205" spans="1:1">
      <c r="A2205" s="149" t="s">
        <v>4185</v>
      </c>
    </row>
    <row r="2206" spans="1:1">
      <c r="A2206" s="149" t="s">
        <v>4186</v>
      </c>
    </row>
    <row r="2207" spans="1:1">
      <c r="A2207" s="149" t="s">
        <v>4187</v>
      </c>
    </row>
    <row r="2208" spans="1:1">
      <c r="A2208" s="149" t="s">
        <v>4188</v>
      </c>
    </row>
    <row r="2209" spans="1:1">
      <c r="A2209" s="149" t="s">
        <v>4189</v>
      </c>
    </row>
    <row r="2210" spans="1:1">
      <c r="A2210" s="149" t="s">
        <v>4190</v>
      </c>
    </row>
    <row r="2211" spans="1:1">
      <c r="A2211" s="149" t="s">
        <v>4191</v>
      </c>
    </row>
    <row r="2212" spans="1:1">
      <c r="A2212" s="149" t="s">
        <v>4192</v>
      </c>
    </row>
    <row r="2213" spans="1:1">
      <c r="A2213" s="149" t="s">
        <v>4193</v>
      </c>
    </row>
    <row r="2214" spans="1:1">
      <c r="A2214" s="149" t="s">
        <v>4194</v>
      </c>
    </row>
    <row r="2215" spans="1:1">
      <c r="A2215" s="149" t="s">
        <v>4195</v>
      </c>
    </row>
    <row r="2216" spans="1:1">
      <c r="A2216" s="149" t="s">
        <v>4196</v>
      </c>
    </row>
    <row r="2217" spans="1:1">
      <c r="A2217" s="149" t="s">
        <v>4197</v>
      </c>
    </row>
    <row r="2218" spans="1:1">
      <c r="A2218" s="149" t="s">
        <v>4198</v>
      </c>
    </row>
    <row r="2219" spans="1:1">
      <c r="A2219" s="149" t="s">
        <v>4199</v>
      </c>
    </row>
    <row r="2220" spans="1:1">
      <c r="A2220" s="149" t="s">
        <v>4200</v>
      </c>
    </row>
    <row r="2221" spans="1:1">
      <c r="A2221" s="149" t="s">
        <v>4201</v>
      </c>
    </row>
    <row r="2222" spans="1:1">
      <c r="A2222" s="149" t="s">
        <v>4202</v>
      </c>
    </row>
    <row r="2223" spans="1:1">
      <c r="A2223" s="149" t="s">
        <v>4203</v>
      </c>
    </row>
    <row r="2224" spans="1:1">
      <c r="A2224" s="149" t="s">
        <v>4204</v>
      </c>
    </row>
    <row r="2225" spans="1:1">
      <c r="A2225" s="149" t="s">
        <v>4205</v>
      </c>
    </row>
    <row r="2226" spans="1:1">
      <c r="A2226" s="149" t="s">
        <v>4206</v>
      </c>
    </row>
    <row r="2227" spans="1:1">
      <c r="A2227" s="149" t="s">
        <v>4207</v>
      </c>
    </row>
    <row r="2228" spans="1:1">
      <c r="A2228" s="149" t="s">
        <v>4208</v>
      </c>
    </row>
    <row r="2229" spans="1:1">
      <c r="A2229" s="149" t="s">
        <v>4209</v>
      </c>
    </row>
    <row r="2230" spans="1:1">
      <c r="A2230" s="149" t="s">
        <v>4210</v>
      </c>
    </row>
    <row r="2231" spans="1:1">
      <c r="A2231" s="149" t="s">
        <v>4211</v>
      </c>
    </row>
    <row r="2232" spans="1:1">
      <c r="A2232" s="149" t="s">
        <v>4212</v>
      </c>
    </row>
    <row r="2233" spans="1:1">
      <c r="A2233" s="149" t="s">
        <v>4213</v>
      </c>
    </row>
    <row r="2234" spans="1:1">
      <c r="A2234" s="149" t="s">
        <v>4214</v>
      </c>
    </row>
    <row r="2235" spans="1:1">
      <c r="A2235" s="149" t="s">
        <v>4215</v>
      </c>
    </row>
    <row r="2236" spans="1:1">
      <c r="A2236" s="149" t="s">
        <v>4216</v>
      </c>
    </row>
    <row r="2237" spans="1:1">
      <c r="A2237" s="149" t="s">
        <v>4217</v>
      </c>
    </row>
    <row r="2238" spans="1:1">
      <c r="A2238" s="149" t="s">
        <v>4218</v>
      </c>
    </row>
    <row r="2239" spans="1:1">
      <c r="A2239" s="149" t="s">
        <v>4219</v>
      </c>
    </row>
    <row r="2240" spans="1:1">
      <c r="A2240" s="149" t="s">
        <v>4220</v>
      </c>
    </row>
    <row r="2241" spans="1:1">
      <c r="A2241" s="149" t="s">
        <v>4221</v>
      </c>
    </row>
    <row r="2242" spans="1:1">
      <c r="A2242" s="149" t="s">
        <v>4222</v>
      </c>
    </row>
    <row r="2243" spans="1:1">
      <c r="A2243" s="149" t="s">
        <v>4223</v>
      </c>
    </row>
    <row r="2244" spans="1:1">
      <c r="A2244" s="149" t="s">
        <v>4224</v>
      </c>
    </row>
    <row r="2245" spans="1:1">
      <c r="A2245" s="149" t="s">
        <v>4225</v>
      </c>
    </row>
    <row r="2246" spans="1:1">
      <c r="A2246" s="149" t="s">
        <v>4226</v>
      </c>
    </row>
    <row r="2247" spans="1:1">
      <c r="A2247" s="149" t="s">
        <v>4227</v>
      </c>
    </row>
    <row r="2248" spans="1:1">
      <c r="A2248" s="149" t="s">
        <v>4228</v>
      </c>
    </row>
    <row r="2249" spans="1:1">
      <c r="A2249" s="149" t="s">
        <v>4229</v>
      </c>
    </row>
    <row r="2250" spans="1:1">
      <c r="A2250" s="149" t="s">
        <v>4230</v>
      </c>
    </row>
    <row r="2251" spans="1:1">
      <c r="A2251" s="149" t="s">
        <v>4231</v>
      </c>
    </row>
    <row r="2252" spans="1:1">
      <c r="A2252" s="149" t="s">
        <v>4232</v>
      </c>
    </row>
    <row r="2253" spans="1:1">
      <c r="A2253" s="149" t="s">
        <v>4233</v>
      </c>
    </row>
    <row r="2254" spans="1:1">
      <c r="A2254" s="149" t="s">
        <v>4234</v>
      </c>
    </row>
    <row r="2255" spans="1:1">
      <c r="A2255" s="149" t="s">
        <v>4235</v>
      </c>
    </row>
    <row r="2256" spans="1:1">
      <c r="A2256" s="149" t="s">
        <v>4236</v>
      </c>
    </row>
    <row r="2257" spans="1:1">
      <c r="A2257" s="149" t="s">
        <v>4237</v>
      </c>
    </row>
    <row r="2258" spans="1:1">
      <c r="A2258" s="149" t="s">
        <v>4238</v>
      </c>
    </row>
    <row r="2259" spans="1:1">
      <c r="A2259" s="149" t="s">
        <v>4239</v>
      </c>
    </row>
    <row r="2260" spans="1:1">
      <c r="A2260" s="149" t="s">
        <v>4240</v>
      </c>
    </row>
    <row r="2261" spans="1:1">
      <c r="A2261" s="149" t="s">
        <v>4241</v>
      </c>
    </row>
    <row r="2262" spans="1:1">
      <c r="A2262" s="149" t="s">
        <v>4242</v>
      </c>
    </row>
    <row r="2263" spans="1:1">
      <c r="A2263" s="149" t="s">
        <v>4243</v>
      </c>
    </row>
    <row r="2264" spans="1:1">
      <c r="A2264" s="149" t="s">
        <v>4244</v>
      </c>
    </row>
    <row r="2265" spans="1:1">
      <c r="A2265" s="149" t="s">
        <v>4245</v>
      </c>
    </row>
    <row r="2266" spans="1:1">
      <c r="A2266" s="149" t="s">
        <v>4246</v>
      </c>
    </row>
    <row r="2267" spans="1:1">
      <c r="A2267" s="149" t="s">
        <v>4247</v>
      </c>
    </row>
    <row r="2268" spans="1:1">
      <c r="A2268" s="149" t="s">
        <v>4248</v>
      </c>
    </row>
    <row r="2269" spans="1:1">
      <c r="A2269" s="149" t="s">
        <v>4249</v>
      </c>
    </row>
    <row r="2270" spans="1:1">
      <c r="A2270" s="149" t="s">
        <v>4250</v>
      </c>
    </row>
    <row r="2271" spans="1:1">
      <c r="A2271" s="149" t="s">
        <v>4251</v>
      </c>
    </row>
    <row r="2272" spans="1:1">
      <c r="A2272" s="149" t="s">
        <v>4252</v>
      </c>
    </row>
    <row r="2273" spans="1:1">
      <c r="A2273" s="149" t="s">
        <v>4253</v>
      </c>
    </row>
    <row r="2274" spans="1:1">
      <c r="A2274" s="149" t="s">
        <v>4254</v>
      </c>
    </row>
    <row r="2275" spans="1:1">
      <c r="A2275" s="149" t="s">
        <v>4255</v>
      </c>
    </row>
    <row r="2276" spans="1:1">
      <c r="A2276" s="149" t="s">
        <v>4256</v>
      </c>
    </row>
    <row r="2277" spans="1:1">
      <c r="A2277" s="149" t="s">
        <v>4257</v>
      </c>
    </row>
    <row r="2278" spans="1:1">
      <c r="A2278" s="149" t="s">
        <v>4258</v>
      </c>
    </row>
    <row r="2279" spans="1:1">
      <c r="A2279" s="149" t="s">
        <v>4259</v>
      </c>
    </row>
    <row r="2280" spans="1:1">
      <c r="A2280" s="149" t="s">
        <v>4260</v>
      </c>
    </row>
    <row r="2281" spans="1:1">
      <c r="A2281" s="149" t="s">
        <v>4261</v>
      </c>
    </row>
    <row r="2282" spans="1:1">
      <c r="A2282" s="149" t="s">
        <v>4262</v>
      </c>
    </row>
    <row r="2283" spans="1:1">
      <c r="A2283" s="149" t="s">
        <v>4263</v>
      </c>
    </row>
    <row r="2284" spans="1:1">
      <c r="A2284" s="149" t="s">
        <v>4264</v>
      </c>
    </row>
    <row r="2285" spans="1:1">
      <c r="A2285" s="149" t="s">
        <v>4265</v>
      </c>
    </row>
    <row r="2286" spans="1:1">
      <c r="A2286" s="149" t="s">
        <v>4266</v>
      </c>
    </row>
    <row r="2287" spans="1:1">
      <c r="A2287" s="149" t="s">
        <v>4267</v>
      </c>
    </row>
    <row r="2288" spans="1:1">
      <c r="A2288" s="149" t="s">
        <v>4268</v>
      </c>
    </row>
    <row r="2289" spans="1:1">
      <c r="A2289" s="149" t="s">
        <v>4269</v>
      </c>
    </row>
    <row r="2290" spans="1:1">
      <c r="A2290" s="149" t="s">
        <v>4270</v>
      </c>
    </row>
    <row r="2291" spans="1:1">
      <c r="A2291" s="149" t="s">
        <v>4271</v>
      </c>
    </row>
    <row r="2292" spans="1:1">
      <c r="A2292" s="149" t="s">
        <v>4272</v>
      </c>
    </row>
    <row r="2293" spans="1:1">
      <c r="A2293" s="149" t="s">
        <v>4273</v>
      </c>
    </row>
    <row r="2294" spans="1:1">
      <c r="A2294" s="149" t="s">
        <v>4274</v>
      </c>
    </row>
    <row r="2295" spans="1:1">
      <c r="A2295" s="149" t="s">
        <v>4275</v>
      </c>
    </row>
    <row r="2296" spans="1:1">
      <c r="A2296" s="149" t="s">
        <v>4276</v>
      </c>
    </row>
    <row r="2297" spans="1:1">
      <c r="A2297" s="149" t="s">
        <v>4277</v>
      </c>
    </row>
    <row r="2298" spans="1:1">
      <c r="A2298" s="149" t="s">
        <v>4278</v>
      </c>
    </row>
    <row r="2299" spans="1:1">
      <c r="A2299" s="149" t="s">
        <v>4279</v>
      </c>
    </row>
    <row r="2300" spans="1:1">
      <c r="A2300" s="149" t="s">
        <v>4280</v>
      </c>
    </row>
    <row r="2301" spans="1:1">
      <c r="A2301" s="149" t="s">
        <v>4281</v>
      </c>
    </row>
    <row r="2302" spans="1:1">
      <c r="A2302" s="149" t="s">
        <v>4282</v>
      </c>
    </row>
    <row r="2303" spans="1:1">
      <c r="A2303" s="149" t="s">
        <v>4283</v>
      </c>
    </row>
    <row r="2304" spans="1:1">
      <c r="A2304" s="149" t="s">
        <v>4284</v>
      </c>
    </row>
    <row r="2305" spans="1:1">
      <c r="A2305" s="149" t="s">
        <v>4285</v>
      </c>
    </row>
    <row r="2306" spans="1:1">
      <c r="A2306" s="149" t="s">
        <v>4286</v>
      </c>
    </row>
    <row r="2307" spans="1:1">
      <c r="A2307" s="149" t="s">
        <v>4287</v>
      </c>
    </row>
    <row r="2308" spans="1:1">
      <c r="A2308" s="149" t="s">
        <v>4288</v>
      </c>
    </row>
    <row r="2309" spans="1:1">
      <c r="A2309" s="149" t="s">
        <v>4289</v>
      </c>
    </row>
    <row r="2310" spans="1:1">
      <c r="A2310" s="149" t="s">
        <v>4290</v>
      </c>
    </row>
    <row r="2311" spans="1:1">
      <c r="A2311" s="149" t="s">
        <v>4291</v>
      </c>
    </row>
    <row r="2312" spans="1:1">
      <c r="A2312" s="149" t="s">
        <v>4292</v>
      </c>
    </row>
    <row r="2313" spans="1:1">
      <c r="A2313" s="149" t="s">
        <v>4293</v>
      </c>
    </row>
    <row r="2314" spans="1:1">
      <c r="A2314" s="149" t="s">
        <v>4294</v>
      </c>
    </row>
    <row r="2315" spans="1:1">
      <c r="A2315" s="149" t="s">
        <v>4295</v>
      </c>
    </row>
    <row r="2316" spans="1:1">
      <c r="A2316" s="149" t="s">
        <v>4296</v>
      </c>
    </row>
    <row r="2317" spans="1:1">
      <c r="A2317" s="149" t="s">
        <v>4297</v>
      </c>
    </row>
    <row r="2318" spans="1:1">
      <c r="A2318" s="149" t="s">
        <v>4298</v>
      </c>
    </row>
    <row r="2319" spans="1:1">
      <c r="A2319" s="149" t="s">
        <v>4299</v>
      </c>
    </row>
    <row r="2320" spans="1:1">
      <c r="A2320" s="149" t="s">
        <v>4300</v>
      </c>
    </row>
    <row r="2321" spans="1:1">
      <c r="A2321" s="149" t="s">
        <v>4301</v>
      </c>
    </row>
    <row r="2322" spans="1:1">
      <c r="A2322" s="149" t="s">
        <v>4302</v>
      </c>
    </row>
    <row r="2323" spans="1:1">
      <c r="A2323" s="149" t="s">
        <v>4303</v>
      </c>
    </row>
    <row r="2324" spans="1:1">
      <c r="A2324" s="149" t="s">
        <v>4304</v>
      </c>
    </row>
    <row r="2325" spans="1:1">
      <c r="A2325" s="149" t="s">
        <v>4305</v>
      </c>
    </row>
    <row r="2326" spans="1:1">
      <c r="A2326" s="149" t="s">
        <v>4306</v>
      </c>
    </row>
    <row r="2327" spans="1:1">
      <c r="A2327" s="149" t="s">
        <v>4307</v>
      </c>
    </row>
    <row r="2328" spans="1:1">
      <c r="A2328" s="149" t="s">
        <v>4308</v>
      </c>
    </row>
    <row r="2329" spans="1:1">
      <c r="A2329" s="149" t="s">
        <v>4309</v>
      </c>
    </row>
    <row r="2330" spans="1:1">
      <c r="A2330" s="149" t="s">
        <v>4310</v>
      </c>
    </row>
    <row r="2331" spans="1:1">
      <c r="A2331" s="149" t="s">
        <v>4311</v>
      </c>
    </row>
    <row r="2332" spans="1:1">
      <c r="A2332" s="149" t="s">
        <v>4312</v>
      </c>
    </row>
    <row r="2333" spans="1:1">
      <c r="A2333" s="149" t="s">
        <v>4313</v>
      </c>
    </row>
    <row r="2334" spans="1:1">
      <c r="A2334" s="149" t="s">
        <v>4314</v>
      </c>
    </row>
    <row r="2335" spans="1:1">
      <c r="A2335" s="149" t="s">
        <v>4315</v>
      </c>
    </row>
    <row r="2336" spans="1:1">
      <c r="A2336" s="149" t="s">
        <v>4316</v>
      </c>
    </row>
    <row r="2337" spans="1:1">
      <c r="A2337" s="149" t="s">
        <v>4317</v>
      </c>
    </row>
    <row r="2338" spans="1:1">
      <c r="A2338" s="149" t="s">
        <v>4318</v>
      </c>
    </row>
    <row r="2339" spans="1:1">
      <c r="A2339" s="149" t="s">
        <v>4319</v>
      </c>
    </row>
    <row r="2340" spans="1:1">
      <c r="A2340" s="149" t="s">
        <v>4320</v>
      </c>
    </row>
    <row r="2341" spans="1:1">
      <c r="A2341" s="149" t="s">
        <v>4321</v>
      </c>
    </row>
    <row r="2342" spans="1:1">
      <c r="A2342" s="149" t="s">
        <v>4322</v>
      </c>
    </row>
    <row r="2343" spans="1:1">
      <c r="A2343" s="149" t="s">
        <v>4323</v>
      </c>
    </row>
    <row r="2344" spans="1:1">
      <c r="A2344" s="149" t="s">
        <v>4324</v>
      </c>
    </row>
    <row r="2345" spans="1:1">
      <c r="A2345" s="149" t="s">
        <v>4325</v>
      </c>
    </row>
    <row r="2346" spans="1:1">
      <c r="A2346" s="149" t="s">
        <v>4326</v>
      </c>
    </row>
    <row r="2347" spans="1:1">
      <c r="A2347" s="149" t="s">
        <v>4327</v>
      </c>
    </row>
    <row r="2348" spans="1:1">
      <c r="A2348" s="149" t="s">
        <v>4328</v>
      </c>
    </row>
    <row r="2349" spans="1:1">
      <c r="A2349" s="149" t="s">
        <v>4329</v>
      </c>
    </row>
    <row r="2350" spans="1:1">
      <c r="A2350" s="149" t="s">
        <v>4330</v>
      </c>
    </row>
    <row r="2351" spans="1:1">
      <c r="A2351" s="149" t="s">
        <v>4331</v>
      </c>
    </row>
    <row r="2352" spans="1:1">
      <c r="A2352" s="149" t="s">
        <v>4332</v>
      </c>
    </row>
    <row r="2353" spans="1:1">
      <c r="A2353" s="149" t="s">
        <v>4333</v>
      </c>
    </row>
    <row r="2354" spans="1:1">
      <c r="A2354" s="149" t="s">
        <v>4334</v>
      </c>
    </row>
    <row r="2355" spans="1:1">
      <c r="A2355" s="149" t="s">
        <v>4335</v>
      </c>
    </row>
    <row r="2356" spans="1:1">
      <c r="A2356" s="149" t="s">
        <v>4336</v>
      </c>
    </row>
    <row r="2357" spans="1:1">
      <c r="A2357" s="149" t="s">
        <v>4337</v>
      </c>
    </row>
    <row r="2358" spans="1:1">
      <c r="A2358" s="149" t="s">
        <v>4338</v>
      </c>
    </row>
    <row r="2359" spans="1:1">
      <c r="A2359" s="149" t="s">
        <v>4339</v>
      </c>
    </row>
    <row r="2360" spans="1:1">
      <c r="A2360" s="149" t="s">
        <v>4340</v>
      </c>
    </row>
    <row r="2361" spans="1:1">
      <c r="A2361" s="149" t="s">
        <v>4341</v>
      </c>
    </row>
    <row r="2362" spans="1:1">
      <c r="A2362" s="149" t="s">
        <v>4342</v>
      </c>
    </row>
    <row r="2363" spans="1:1">
      <c r="A2363" s="149" t="s">
        <v>4343</v>
      </c>
    </row>
    <row r="2364" spans="1:1">
      <c r="A2364" s="149" t="s">
        <v>4344</v>
      </c>
    </row>
    <row r="2365" spans="1:1">
      <c r="A2365" s="149" t="s">
        <v>4345</v>
      </c>
    </row>
    <row r="2366" spans="1:1">
      <c r="A2366" s="149" t="s">
        <v>4346</v>
      </c>
    </row>
    <row r="2367" spans="1:1">
      <c r="A2367" s="149" t="s">
        <v>4347</v>
      </c>
    </row>
    <row r="2368" spans="1:1">
      <c r="A2368" s="149" t="s">
        <v>4348</v>
      </c>
    </row>
    <row r="2369" spans="1:1">
      <c r="A2369" s="149" t="s">
        <v>4349</v>
      </c>
    </row>
    <row r="2370" spans="1:1">
      <c r="A2370" s="149" t="s">
        <v>4350</v>
      </c>
    </row>
    <row r="2371" spans="1:1">
      <c r="A2371" s="149" t="s">
        <v>4351</v>
      </c>
    </row>
    <row r="2372" spans="1:1">
      <c r="A2372" s="149" t="s">
        <v>4352</v>
      </c>
    </row>
    <row r="2373" spans="1:1">
      <c r="A2373" s="149" t="s">
        <v>4353</v>
      </c>
    </row>
    <row r="2374" spans="1:1">
      <c r="A2374" s="149" t="s">
        <v>4354</v>
      </c>
    </row>
    <row r="2375" spans="1:1">
      <c r="A2375" s="149" t="s">
        <v>4355</v>
      </c>
    </row>
    <row r="2376" spans="1:1">
      <c r="A2376" s="149" t="s">
        <v>4356</v>
      </c>
    </row>
    <row r="2377" spans="1:1">
      <c r="A2377" s="149" t="s">
        <v>4357</v>
      </c>
    </row>
    <row r="2378" spans="1:1">
      <c r="A2378" s="149" t="s">
        <v>4358</v>
      </c>
    </row>
    <row r="2379" spans="1:1">
      <c r="A2379" s="149" t="s">
        <v>4359</v>
      </c>
    </row>
    <row r="2380" spans="1:1">
      <c r="A2380" s="149" t="s">
        <v>4360</v>
      </c>
    </row>
    <row r="2381" spans="1:1">
      <c r="A2381" s="149" t="s">
        <v>4361</v>
      </c>
    </row>
    <row r="2382" spans="1:1">
      <c r="A2382" s="149" t="s">
        <v>4362</v>
      </c>
    </row>
    <row r="2383" spans="1:1">
      <c r="A2383" s="149" t="s">
        <v>4363</v>
      </c>
    </row>
    <row r="2384" spans="1:1">
      <c r="A2384" s="149" t="s">
        <v>4364</v>
      </c>
    </row>
    <row r="2385" spans="1:1">
      <c r="A2385" s="149" t="s">
        <v>4365</v>
      </c>
    </row>
    <row r="2386" spans="1:1">
      <c r="A2386" s="149" t="s">
        <v>4366</v>
      </c>
    </row>
    <row r="2387" spans="1:1">
      <c r="A2387" s="149" t="s">
        <v>4367</v>
      </c>
    </row>
    <row r="2388" spans="1:1">
      <c r="A2388" s="149" t="s">
        <v>4368</v>
      </c>
    </row>
    <row r="2389" spans="1:1">
      <c r="A2389" s="149" t="s">
        <v>4369</v>
      </c>
    </row>
    <row r="2390" spans="1:1">
      <c r="A2390" s="149" t="s">
        <v>4370</v>
      </c>
    </row>
    <row r="2391" spans="1:1">
      <c r="A2391" s="149" t="s">
        <v>4371</v>
      </c>
    </row>
    <row r="2392" spans="1:1">
      <c r="A2392" s="149" t="s">
        <v>4372</v>
      </c>
    </row>
    <row r="2393" spans="1:1">
      <c r="A2393" s="149" t="s">
        <v>4373</v>
      </c>
    </row>
    <row r="2394" spans="1:1">
      <c r="A2394" s="149" t="s">
        <v>4374</v>
      </c>
    </row>
    <row r="2395" spans="1:1">
      <c r="A2395" s="149" t="s">
        <v>4375</v>
      </c>
    </row>
    <row r="2396" spans="1:1">
      <c r="A2396" s="149" t="s">
        <v>4376</v>
      </c>
    </row>
    <row r="2397" spans="1:1">
      <c r="A2397" s="149" t="s">
        <v>4377</v>
      </c>
    </row>
    <row r="2398" spans="1:1">
      <c r="A2398" s="149" t="s">
        <v>4378</v>
      </c>
    </row>
    <row r="2399" spans="1:1">
      <c r="A2399" s="149" t="s">
        <v>4379</v>
      </c>
    </row>
    <row r="2400" spans="1:1">
      <c r="A2400" s="149" t="s">
        <v>4380</v>
      </c>
    </row>
    <row r="2401" spans="1:1">
      <c r="A2401" s="149" t="s">
        <v>4381</v>
      </c>
    </row>
    <row r="2402" spans="1:1">
      <c r="A2402" s="149" t="s">
        <v>4382</v>
      </c>
    </row>
    <row r="2403" spans="1:1">
      <c r="A2403" s="149" t="s">
        <v>4383</v>
      </c>
    </row>
    <row r="2404" spans="1:1">
      <c r="A2404" s="149" t="s">
        <v>4384</v>
      </c>
    </row>
    <row r="2405" spans="1:1">
      <c r="A2405" s="149" t="s">
        <v>4385</v>
      </c>
    </row>
    <row r="2406" spans="1:1">
      <c r="A2406" s="149" t="s">
        <v>4386</v>
      </c>
    </row>
    <row r="2407" spans="1:1">
      <c r="A2407" s="149" t="s">
        <v>4387</v>
      </c>
    </row>
    <row r="2408" spans="1:1">
      <c r="A2408" s="149" t="s">
        <v>4388</v>
      </c>
    </row>
    <row r="2409" spans="1:1">
      <c r="A2409" s="149" t="s">
        <v>4389</v>
      </c>
    </row>
    <row r="2410" spans="1:1">
      <c r="A2410" s="149" t="s">
        <v>4390</v>
      </c>
    </row>
    <row r="2411" spans="1:1">
      <c r="A2411" s="149" t="s">
        <v>4391</v>
      </c>
    </row>
    <row r="2412" spans="1:1">
      <c r="A2412" s="149" t="s">
        <v>4392</v>
      </c>
    </row>
    <row r="2413" spans="1:1">
      <c r="A2413" s="149" t="s">
        <v>4393</v>
      </c>
    </row>
    <row r="2414" spans="1:1">
      <c r="A2414" s="149" t="s">
        <v>4394</v>
      </c>
    </row>
    <row r="2415" spans="1:1">
      <c r="A2415" s="149" t="s">
        <v>4395</v>
      </c>
    </row>
    <row r="2416" spans="1:1">
      <c r="A2416" s="149" t="s">
        <v>4396</v>
      </c>
    </row>
    <row r="2417" spans="1:1">
      <c r="A2417" s="149" t="s">
        <v>4397</v>
      </c>
    </row>
    <row r="2418" spans="1:1">
      <c r="A2418" s="149" t="s">
        <v>4398</v>
      </c>
    </row>
    <row r="2419" spans="1:1">
      <c r="A2419" s="149" t="s">
        <v>4399</v>
      </c>
    </row>
    <row r="2420" spans="1:1">
      <c r="A2420" s="149" t="s">
        <v>4400</v>
      </c>
    </row>
    <row r="2421" spans="1:1">
      <c r="A2421" s="149" t="s">
        <v>4401</v>
      </c>
    </row>
    <row r="2422" spans="1:1">
      <c r="A2422" s="149" t="s">
        <v>4402</v>
      </c>
    </row>
    <row r="2423" spans="1:1">
      <c r="A2423" s="149" t="s">
        <v>4403</v>
      </c>
    </row>
    <row r="2424" spans="1:1">
      <c r="A2424" s="149" t="s">
        <v>4404</v>
      </c>
    </row>
    <row r="2425" spans="1:1">
      <c r="A2425" s="149" t="s">
        <v>4405</v>
      </c>
    </row>
    <row r="2426" spans="1:1">
      <c r="A2426" s="149" t="s">
        <v>4406</v>
      </c>
    </row>
    <row r="2427" spans="1:1">
      <c r="A2427" s="149" t="s">
        <v>4407</v>
      </c>
    </row>
    <row r="2428" spans="1:1">
      <c r="A2428" s="149" t="s">
        <v>4408</v>
      </c>
    </row>
    <row r="2429" spans="1:1">
      <c r="A2429" s="149" t="s">
        <v>4409</v>
      </c>
    </row>
    <row r="2430" spans="1:1">
      <c r="A2430" s="149" t="s">
        <v>4410</v>
      </c>
    </row>
    <row r="2431" spans="1:1">
      <c r="A2431" s="149" t="s">
        <v>4411</v>
      </c>
    </row>
    <row r="2432" spans="1:1">
      <c r="A2432" s="149" t="s">
        <v>4412</v>
      </c>
    </row>
    <row r="2433" spans="1:1">
      <c r="A2433" s="149" t="s">
        <v>4413</v>
      </c>
    </row>
    <row r="2434" spans="1:1">
      <c r="A2434" s="149" t="s">
        <v>4414</v>
      </c>
    </row>
    <row r="2435" spans="1:1">
      <c r="A2435" s="149" t="s">
        <v>4415</v>
      </c>
    </row>
    <row r="2436" spans="1:1">
      <c r="A2436" s="149" t="s">
        <v>4416</v>
      </c>
    </row>
    <row r="2437" spans="1:1">
      <c r="A2437" s="149" t="s">
        <v>4417</v>
      </c>
    </row>
    <row r="2438" spans="1:1">
      <c r="A2438" s="149" t="s">
        <v>4418</v>
      </c>
    </row>
    <row r="2439" spans="1:1">
      <c r="A2439" s="149" t="s">
        <v>4419</v>
      </c>
    </row>
    <row r="2440" spans="1:1">
      <c r="A2440" s="149" t="s">
        <v>4420</v>
      </c>
    </row>
    <row r="2441" spans="1:1">
      <c r="A2441" s="149" t="s">
        <v>4421</v>
      </c>
    </row>
    <row r="2442" spans="1:1">
      <c r="A2442" s="149" t="s">
        <v>4422</v>
      </c>
    </row>
    <row r="2443" spans="1:1">
      <c r="A2443" s="149" t="s">
        <v>4423</v>
      </c>
    </row>
    <row r="2444" spans="1:1">
      <c r="A2444" s="149" t="s">
        <v>4424</v>
      </c>
    </row>
    <row r="2445" spans="1:1">
      <c r="A2445" s="149" t="s">
        <v>4425</v>
      </c>
    </row>
    <row r="2446" spans="1:1">
      <c r="A2446" s="149" t="s">
        <v>4426</v>
      </c>
    </row>
    <row r="2447" spans="1:1">
      <c r="A2447" s="149" t="s">
        <v>4427</v>
      </c>
    </row>
    <row r="2448" spans="1:1">
      <c r="A2448" s="149" t="s">
        <v>4428</v>
      </c>
    </row>
    <row r="2449" spans="1:1">
      <c r="A2449" s="149" t="s">
        <v>4429</v>
      </c>
    </row>
    <row r="2450" spans="1:1">
      <c r="A2450" s="149" t="s">
        <v>4430</v>
      </c>
    </row>
    <row r="2451" spans="1:1">
      <c r="A2451" s="149" t="s">
        <v>4431</v>
      </c>
    </row>
    <row r="2452" spans="1:1">
      <c r="A2452" s="149" t="s">
        <v>4432</v>
      </c>
    </row>
    <row r="2453" spans="1:1">
      <c r="A2453" s="149" t="s">
        <v>4433</v>
      </c>
    </row>
    <row r="2454" spans="1:1">
      <c r="A2454" s="149" t="s">
        <v>4434</v>
      </c>
    </row>
    <row r="2455" spans="1:1">
      <c r="A2455" s="149" t="s">
        <v>4435</v>
      </c>
    </row>
    <row r="2456" spans="1:1">
      <c r="A2456" s="149" t="s">
        <v>4436</v>
      </c>
    </row>
    <row r="2457" spans="1:1">
      <c r="A2457" s="149" t="s">
        <v>4437</v>
      </c>
    </row>
    <row r="2458" spans="1:1">
      <c r="A2458" s="149" t="s">
        <v>4438</v>
      </c>
    </row>
    <row r="2459" spans="1:1">
      <c r="A2459" s="149" t="s">
        <v>4439</v>
      </c>
    </row>
    <row r="2460" spans="1:1">
      <c r="A2460" s="149" t="s">
        <v>4440</v>
      </c>
    </row>
    <row r="2461" spans="1:1">
      <c r="A2461" s="149" t="s">
        <v>4441</v>
      </c>
    </row>
    <row r="2462" spans="1:1">
      <c r="A2462" s="149" t="s">
        <v>4442</v>
      </c>
    </row>
    <row r="2463" spans="1:1">
      <c r="A2463" s="149" t="s">
        <v>4443</v>
      </c>
    </row>
    <row r="2464" spans="1:1">
      <c r="A2464" s="149" t="s">
        <v>4444</v>
      </c>
    </row>
    <row r="2465" spans="1:1">
      <c r="A2465" s="149" t="s">
        <v>4445</v>
      </c>
    </row>
    <row r="2466" spans="1:1">
      <c r="A2466" s="149" t="s">
        <v>4446</v>
      </c>
    </row>
    <row r="2467" spans="1:1">
      <c r="A2467" s="149" t="s">
        <v>4447</v>
      </c>
    </row>
    <row r="2468" spans="1:1">
      <c r="A2468" s="149" t="s">
        <v>4448</v>
      </c>
    </row>
    <row r="2469" spans="1:1">
      <c r="A2469" s="149" t="s">
        <v>4449</v>
      </c>
    </row>
    <row r="2470" spans="1:1">
      <c r="A2470" s="149" t="s">
        <v>4450</v>
      </c>
    </row>
    <row r="2471" spans="1:1">
      <c r="A2471" s="149" t="s">
        <v>4451</v>
      </c>
    </row>
    <row r="2472" spans="1:1">
      <c r="A2472" s="149" t="s">
        <v>4452</v>
      </c>
    </row>
    <row r="2473" spans="1:1">
      <c r="A2473" s="149" t="s">
        <v>4453</v>
      </c>
    </row>
    <row r="2474" spans="1:1">
      <c r="A2474" s="149" t="s">
        <v>4454</v>
      </c>
    </row>
    <row r="2475" spans="1:1">
      <c r="A2475" s="149" t="s">
        <v>4455</v>
      </c>
    </row>
    <row r="2476" spans="1:1">
      <c r="A2476" s="149" t="s">
        <v>4456</v>
      </c>
    </row>
    <row r="2477" spans="1:1">
      <c r="A2477" s="149" t="s">
        <v>4457</v>
      </c>
    </row>
    <row r="2478" spans="1:1">
      <c r="A2478" s="149" t="s">
        <v>4458</v>
      </c>
    </row>
    <row r="2479" spans="1:1">
      <c r="A2479" s="149" t="s">
        <v>4459</v>
      </c>
    </row>
    <row r="2480" spans="1:1">
      <c r="A2480" s="149" t="s">
        <v>4460</v>
      </c>
    </row>
    <row r="2481" spans="1:1">
      <c r="A2481" s="149" t="s">
        <v>4461</v>
      </c>
    </row>
    <row r="2482" spans="1:1">
      <c r="A2482" s="149" t="s">
        <v>4462</v>
      </c>
    </row>
    <row r="2483" spans="1:1">
      <c r="A2483" s="149" t="s">
        <v>4463</v>
      </c>
    </row>
    <row r="2484" spans="1:1">
      <c r="A2484" s="149" t="s">
        <v>4464</v>
      </c>
    </row>
    <row r="2485" spans="1:1">
      <c r="A2485" s="149" t="s">
        <v>4465</v>
      </c>
    </row>
    <row r="2486" spans="1:1">
      <c r="A2486" s="149" t="s">
        <v>4466</v>
      </c>
    </row>
    <row r="2487" spans="1:1">
      <c r="A2487" s="149" t="s">
        <v>4467</v>
      </c>
    </row>
    <row r="2488" spans="1:1">
      <c r="A2488" s="149" t="s">
        <v>4468</v>
      </c>
    </row>
    <row r="2489" spans="1:1">
      <c r="A2489" s="149" t="s">
        <v>4469</v>
      </c>
    </row>
    <row r="2490" spans="1:1">
      <c r="A2490" s="149" t="s">
        <v>4470</v>
      </c>
    </row>
    <row r="2491" spans="1:1">
      <c r="A2491" s="149" t="s">
        <v>4471</v>
      </c>
    </row>
    <row r="2492" spans="1:1">
      <c r="A2492" s="149" t="s">
        <v>4472</v>
      </c>
    </row>
    <row r="2493" spans="1:1">
      <c r="A2493" s="149" t="s">
        <v>4473</v>
      </c>
    </row>
    <row r="2494" spans="1:1">
      <c r="A2494" s="149" t="s">
        <v>4474</v>
      </c>
    </row>
    <row r="2495" spans="1:1">
      <c r="A2495" s="149" t="s">
        <v>4475</v>
      </c>
    </row>
    <row r="2496" spans="1:1">
      <c r="A2496" s="149" t="s">
        <v>4476</v>
      </c>
    </row>
    <row r="2497" spans="1:1">
      <c r="A2497" s="149" t="s">
        <v>4477</v>
      </c>
    </row>
    <row r="2498" spans="1:1">
      <c r="A2498" s="149" t="s">
        <v>4478</v>
      </c>
    </row>
    <row r="2499" spans="1:1">
      <c r="A2499" s="149" t="s">
        <v>4479</v>
      </c>
    </row>
    <row r="2500" spans="1:1">
      <c r="A2500" s="149" t="s">
        <v>4480</v>
      </c>
    </row>
    <row r="2501" spans="1:1">
      <c r="A2501" s="149" t="s">
        <v>4481</v>
      </c>
    </row>
    <row r="2502" spans="1:1">
      <c r="A2502" s="149" t="s">
        <v>4482</v>
      </c>
    </row>
    <row r="2503" spans="1:1">
      <c r="A2503" s="149" t="s">
        <v>4483</v>
      </c>
    </row>
    <row r="2504" spans="1:1">
      <c r="A2504" s="149" t="s">
        <v>4484</v>
      </c>
    </row>
    <row r="2505" spans="1:1">
      <c r="A2505" s="149" t="s">
        <v>4485</v>
      </c>
    </row>
    <row r="2506" spans="1:1">
      <c r="A2506" s="149" t="s">
        <v>4486</v>
      </c>
    </row>
    <row r="2507" spans="1:1">
      <c r="A2507" s="149" t="s">
        <v>4487</v>
      </c>
    </row>
    <row r="2508" spans="1:1">
      <c r="A2508" s="149" t="s">
        <v>4488</v>
      </c>
    </row>
    <row r="2509" spans="1:1">
      <c r="A2509" s="149" t="s">
        <v>4489</v>
      </c>
    </row>
    <row r="2510" spans="1:1">
      <c r="A2510" s="149" t="s">
        <v>4490</v>
      </c>
    </row>
    <row r="2511" spans="1:1">
      <c r="A2511" s="149" t="s">
        <v>4491</v>
      </c>
    </row>
    <row r="2512" spans="1:1">
      <c r="A2512" s="149" t="s">
        <v>4492</v>
      </c>
    </row>
    <row r="2513" spans="1:1">
      <c r="A2513" s="149" t="s">
        <v>4493</v>
      </c>
    </row>
    <row r="2514" spans="1:1">
      <c r="A2514" s="149" t="s">
        <v>4494</v>
      </c>
    </row>
    <row r="2515" spans="1:1">
      <c r="A2515" s="149" t="s">
        <v>4495</v>
      </c>
    </row>
    <row r="2516" spans="1:1">
      <c r="A2516" s="149" t="s">
        <v>4496</v>
      </c>
    </row>
    <row r="2517" spans="1:1">
      <c r="A2517" s="149" t="s">
        <v>4497</v>
      </c>
    </row>
    <row r="2518" spans="1:1">
      <c r="A2518" s="149" t="s">
        <v>4498</v>
      </c>
    </row>
    <row r="2519" spans="1:1">
      <c r="A2519" s="149" t="s">
        <v>4499</v>
      </c>
    </row>
    <row r="2520" spans="1:1">
      <c r="A2520" s="149" t="s">
        <v>4500</v>
      </c>
    </row>
    <row r="2521" spans="1:1">
      <c r="A2521" s="149" t="s">
        <v>4501</v>
      </c>
    </row>
    <row r="2522" spans="1:1">
      <c r="A2522" s="149" t="s">
        <v>4502</v>
      </c>
    </row>
    <row r="2523" spans="1:1">
      <c r="A2523" s="149" t="s">
        <v>4503</v>
      </c>
    </row>
    <row r="2524" spans="1:1">
      <c r="A2524" s="149" t="s">
        <v>4504</v>
      </c>
    </row>
    <row r="2525" spans="1:1">
      <c r="A2525" s="149" t="s">
        <v>4505</v>
      </c>
    </row>
    <row r="2526" spans="1:1">
      <c r="A2526" s="149" t="s">
        <v>4506</v>
      </c>
    </row>
    <row r="2527" spans="1:1">
      <c r="A2527" s="149" t="s">
        <v>4507</v>
      </c>
    </row>
    <row r="2528" spans="1:1">
      <c r="A2528" s="149" t="s">
        <v>4508</v>
      </c>
    </row>
    <row r="2529" spans="1:1">
      <c r="A2529" s="149" t="s">
        <v>4509</v>
      </c>
    </row>
    <row r="2530" spans="1:1">
      <c r="A2530" s="149" t="s">
        <v>4510</v>
      </c>
    </row>
    <row r="2531" spans="1:1">
      <c r="A2531" s="149" t="s">
        <v>4511</v>
      </c>
    </row>
    <row r="2532" spans="1:1">
      <c r="A2532" s="149" t="s">
        <v>4512</v>
      </c>
    </row>
    <row r="2533" spans="1:1">
      <c r="A2533" s="149" t="s">
        <v>4513</v>
      </c>
    </row>
    <row r="2534" spans="1:1">
      <c r="A2534" s="149" t="s">
        <v>4514</v>
      </c>
    </row>
    <row r="2535" spans="1:1">
      <c r="A2535" s="149" t="s">
        <v>4515</v>
      </c>
    </row>
    <row r="2536" spans="1:1">
      <c r="A2536" s="149" t="s">
        <v>4516</v>
      </c>
    </row>
    <row r="2537" spans="1:1">
      <c r="A2537" s="149" t="s">
        <v>4517</v>
      </c>
    </row>
    <row r="2538" spans="1:1">
      <c r="A2538" s="149" t="s">
        <v>4518</v>
      </c>
    </row>
    <row r="2539" spans="1:1">
      <c r="A2539" s="149" t="s">
        <v>4519</v>
      </c>
    </row>
    <row r="2540" spans="1:1">
      <c r="A2540" s="149" t="s">
        <v>4520</v>
      </c>
    </row>
    <row r="2541" spans="1:1">
      <c r="A2541" s="149" t="s">
        <v>4521</v>
      </c>
    </row>
    <row r="2542" spans="1:1">
      <c r="A2542" s="149" t="s">
        <v>4522</v>
      </c>
    </row>
    <row r="2543" spans="1:1">
      <c r="A2543" s="149" t="s">
        <v>4523</v>
      </c>
    </row>
    <row r="2544" spans="1:1">
      <c r="A2544" s="149" t="s">
        <v>4524</v>
      </c>
    </row>
    <row r="2545" spans="1:1">
      <c r="A2545" s="149" t="s">
        <v>4525</v>
      </c>
    </row>
    <row r="2546" spans="1:1">
      <c r="A2546" s="149" t="s">
        <v>4526</v>
      </c>
    </row>
    <row r="2547" spans="1:1">
      <c r="A2547" s="149" t="s">
        <v>4527</v>
      </c>
    </row>
    <row r="2548" spans="1:1">
      <c r="A2548" s="149" t="s">
        <v>4528</v>
      </c>
    </row>
    <row r="2549" spans="1:1">
      <c r="A2549" s="149" t="s">
        <v>4529</v>
      </c>
    </row>
    <row r="2550" spans="1:1">
      <c r="A2550" s="149" t="s">
        <v>4530</v>
      </c>
    </row>
    <row r="2551" spans="1:1">
      <c r="A2551" s="149" t="s">
        <v>4531</v>
      </c>
    </row>
    <row r="2552" spans="1:1">
      <c r="A2552" s="149" t="s">
        <v>4532</v>
      </c>
    </row>
    <row r="2553" spans="1:1">
      <c r="A2553" s="149" t="s">
        <v>4533</v>
      </c>
    </row>
    <row r="2554" spans="1:1">
      <c r="A2554" s="149" t="s">
        <v>4534</v>
      </c>
    </row>
    <row r="2555" spans="1:1">
      <c r="A2555" s="149" t="s">
        <v>4535</v>
      </c>
    </row>
    <row r="2556" spans="1:1">
      <c r="A2556" s="149" t="s">
        <v>4536</v>
      </c>
    </row>
    <row r="2557" spans="1:1">
      <c r="A2557" s="149" t="s">
        <v>4537</v>
      </c>
    </row>
    <row r="2558" spans="1:1">
      <c r="A2558" s="149" t="s">
        <v>4538</v>
      </c>
    </row>
    <row r="2559" spans="1:1">
      <c r="A2559" s="149" t="s">
        <v>4539</v>
      </c>
    </row>
    <row r="2560" spans="1:1">
      <c r="A2560" s="149" t="s">
        <v>4540</v>
      </c>
    </row>
    <row r="2561" spans="1:1">
      <c r="A2561" s="149" t="s">
        <v>4541</v>
      </c>
    </row>
    <row r="2562" spans="1:1">
      <c r="A2562" s="149" t="s">
        <v>4542</v>
      </c>
    </row>
    <row r="2563" spans="1:1">
      <c r="A2563" s="149" t="s">
        <v>4543</v>
      </c>
    </row>
    <row r="2564" spans="1:1">
      <c r="A2564" s="149" t="s">
        <v>4544</v>
      </c>
    </row>
    <row r="2565" spans="1:1">
      <c r="A2565" s="149" t="s">
        <v>4545</v>
      </c>
    </row>
    <row r="2566" spans="1:1">
      <c r="A2566" s="149" t="s">
        <v>4546</v>
      </c>
    </row>
    <row r="2567" spans="1:1">
      <c r="A2567" s="149" t="s">
        <v>4547</v>
      </c>
    </row>
    <row r="2568" spans="1:1">
      <c r="A2568" s="149" t="s">
        <v>4548</v>
      </c>
    </row>
    <row r="2569" spans="1:1">
      <c r="A2569" s="149" t="s">
        <v>4549</v>
      </c>
    </row>
    <row r="2570" spans="1:1">
      <c r="A2570" s="149" t="s">
        <v>4550</v>
      </c>
    </row>
    <row r="2571" spans="1:1">
      <c r="A2571" s="149" t="s">
        <v>4551</v>
      </c>
    </row>
    <row r="2572" spans="1:1">
      <c r="A2572" s="149" t="s">
        <v>4552</v>
      </c>
    </row>
    <row r="2573" spans="1:1">
      <c r="A2573" s="149" t="s">
        <v>4553</v>
      </c>
    </row>
    <row r="2574" spans="1:1">
      <c r="A2574" s="149" t="s">
        <v>4554</v>
      </c>
    </row>
    <row r="2575" spans="1:1">
      <c r="A2575" s="149" t="s">
        <v>4555</v>
      </c>
    </row>
    <row r="2576" spans="1:1">
      <c r="A2576" s="149" t="s">
        <v>4556</v>
      </c>
    </row>
    <row r="2577" spans="1:1">
      <c r="A2577" s="149" t="s">
        <v>4557</v>
      </c>
    </row>
    <row r="2578" spans="1:1">
      <c r="A2578" s="149" t="s">
        <v>4558</v>
      </c>
    </row>
    <row r="2579" spans="1:1">
      <c r="A2579" s="149" t="s">
        <v>4559</v>
      </c>
    </row>
    <row r="2580" spans="1:1">
      <c r="A2580" s="149" t="s">
        <v>4560</v>
      </c>
    </row>
    <row r="2581" spans="1:1">
      <c r="A2581" s="149" t="s">
        <v>4561</v>
      </c>
    </row>
    <row r="2582" spans="1:1">
      <c r="A2582" s="149" t="s">
        <v>4562</v>
      </c>
    </row>
    <row r="2583" spans="1:1">
      <c r="A2583" s="149" t="s">
        <v>4563</v>
      </c>
    </row>
    <row r="2584" spans="1:1">
      <c r="A2584" s="149" t="s">
        <v>4564</v>
      </c>
    </row>
    <row r="2585" spans="1:1">
      <c r="A2585" s="149" t="s">
        <v>4565</v>
      </c>
    </row>
    <row r="2586" spans="1:1">
      <c r="A2586" s="149" t="s">
        <v>4566</v>
      </c>
    </row>
    <row r="2587" spans="1:1">
      <c r="A2587" s="149" t="s">
        <v>4567</v>
      </c>
    </row>
    <row r="2588" spans="1:1">
      <c r="A2588" s="149" t="s">
        <v>4568</v>
      </c>
    </row>
    <row r="2589" spans="1:1">
      <c r="A2589" s="149" t="s">
        <v>4569</v>
      </c>
    </row>
    <row r="2590" spans="1:1">
      <c r="A2590" s="149" t="s">
        <v>4570</v>
      </c>
    </row>
    <row r="2591" spans="1:1">
      <c r="A2591" s="149" t="s">
        <v>4571</v>
      </c>
    </row>
    <row r="2592" spans="1:1">
      <c r="A2592" s="149" t="s">
        <v>4572</v>
      </c>
    </row>
    <row r="2593" spans="1:1">
      <c r="A2593" s="149" t="s">
        <v>4573</v>
      </c>
    </row>
    <row r="2594" spans="1:1">
      <c r="A2594" s="149" t="s">
        <v>4574</v>
      </c>
    </row>
    <row r="2595" spans="1:1">
      <c r="A2595" s="149" t="s">
        <v>4575</v>
      </c>
    </row>
    <row r="2596" spans="1:1">
      <c r="A2596" s="149" t="s">
        <v>4576</v>
      </c>
    </row>
    <row r="2597" spans="1:1">
      <c r="A2597" s="149" t="s">
        <v>4577</v>
      </c>
    </row>
    <row r="2598" spans="1:1">
      <c r="A2598" s="149" t="s">
        <v>4578</v>
      </c>
    </row>
    <row r="2599" spans="1:1">
      <c r="A2599" s="149" t="s">
        <v>4579</v>
      </c>
    </row>
    <row r="2600" spans="1:1">
      <c r="A2600" s="149" t="s">
        <v>4580</v>
      </c>
    </row>
    <row r="2601" spans="1:1">
      <c r="A2601" s="149" t="s">
        <v>4581</v>
      </c>
    </row>
    <row r="2602" spans="1:1">
      <c r="A2602" s="149" t="s">
        <v>4582</v>
      </c>
    </row>
    <row r="2603" spans="1:1">
      <c r="A2603" s="149" t="s">
        <v>4583</v>
      </c>
    </row>
    <row r="2604" spans="1:1">
      <c r="A2604" s="149" t="s">
        <v>4584</v>
      </c>
    </row>
    <row r="2605" spans="1:1">
      <c r="A2605" s="149" t="s">
        <v>4585</v>
      </c>
    </row>
    <row r="2606" spans="1:1">
      <c r="A2606" s="149" t="s">
        <v>4586</v>
      </c>
    </row>
    <row r="2607" spans="1:1">
      <c r="A2607" s="149" t="s">
        <v>4587</v>
      </c>
    </row>
    <row r="2608" spans="1:1">
      <c r="A2608" s="149" t="s">
        <v>4588</v>
      </c>
    </row>
    <row r="2609" spans="1:1">
      <c r="A2609" s="149" t="s">
        <v>4589</v>
      </c>
    </row>
    <row r="2610" spans="1:1">
      <c r="A2610" s="149" t="s">
        <v>4590</v>
      </c>
    </row>
    <row r="2611" spans="1:1">
      <c r="A2611" s="149" t="s">
        <v>4591</v>
      </c>
    </row>
    <row r="2612" spans="1:1">
      <c r="A2612" s="149" t="s">
        <v>4592</v>
      </c>
    </row>
    <row r="2613" spans="1:1">
      <c r="A2613" s="149" t="s">
        <v>4593</v>
      </c>
    </row>
    <row r="2614" spans="1:1">
      <c r="A2614" s="149" t="s">
        <v>4594</v>
      </c>
    </row>
    <row r="2615" spans="1:1">
      <c r="A2615" s="149" t="s">
        <v>4595</v>
      </c>
    </row>
    <row r="2616" spans="1:1">
      <c r="A2616" s="149" t="s">
        <v>4596</v>
      </c>
    </row>
    <row r="2617" spans="1:1">
      <c r="A2617" s="149" t="s">
        <v>4597</v>
      </c>
    </row>
    <row r="2618" spans="1:1">
      <c r="A2618" s="149" t="s">
        <v>4598</v>
      </c>
    </row>
    <row r="2619" spans="1:1">
      <c r="A2619" s="149" t="s">
        <v>4599</v>
      </c>
    </row>
    <row r="2620" spans="1:1">
      <c r="A2620" s="149" t="s">
        <v>4600</v>
      </c>
    </row>
    <row r="2621" spans="1:1">
      <c r="A2621" s="149" t="s">
        <v>4601</v>
      </c>
    </row>
    <row r="2622" spans="1:1">
      <c r="A2622" s="149" t="s">
        <v>4602</v>
      </c>
    </row>
    <row r="2623" spans="1:1">
      <c r="A2623" s="149" t="s">
        <v>4603</v>
      </c>
    </row>
    <row r="2624" spans="1:1">
      <c r="A2624" s="149" t="s">
        <v>4604</v>
      </c>
    </row>
    <row r="2625" spans="1:1">
      <c r="A2625" s="149" t="s">
        <v>4605</v>
      </c>
    </row>
    <row r="2626" spans="1:1">
      <c r="A2626" s="149" t="s">
        <v>4606</v>
      </c>
    </row>
    <row r="2627" spans="1:1">
      <c r="A2627" s="149" t="s">
        <v>4607</v>
      </c>
    </row>
    <row r="2628" spans="1:1">
      <c r="A2628" s="149" t="s">
        <v>4608</v>
      </c>
    </row>
    <row r="2629" spans="1:1">
      <c r="A2629" s="149" t="s">
        <v>4609</v>
      </c>
    </row>
    <row r="2630" spans="1:1">
      <c r="A2630" s="149" t="s">
        <v>4610</v>
      </c>
    </row>
    <row r="2631" spans="1:1">
      <c r="A2631" s="149" t="s">
        <v>4611</v>
      </c>
    </row>
    <row r="2632" spans="1:1">
      <c r="A2632" s="149" t="s">
        <v>4612</v>
      </c>
    </row>
    <row r="2633" spans="1:1">
      <c r="A2633" s="149" t="s">
        <v>4613</v>
      </c>
    </row>
    <row r="2634" spans="1:1">
      <c r="A2634" s="149" t="s">
        <v>4614</v>
      </c>
    </row>
    <row r="2635" spans="1:1">
      <c r="A2635" s="149" t="s">
        <v>4615</v>
      </c>
    </row>
    <row r="2636" spans="1:1">
      <c r="A2636" s="149" t="s">
        <v>4616</v>
      </c>
    </row>
    <row r="2637" spans="1:1">
      <c r="A2637" s="149" t="s">
        <v>4617</v>
      </c>
    </row>
    <row r="2638" spans="1:1">
      <c r="A2638" s="149" t="s">
        <v>4618</v>
      </c>
    </row>
    <row r="2639" spans="1:1">
      <c r="A2639" s="149" t="s">
        <v>4619</v>
      </c>
    </row>
    <row r="2640" spans="1:1">
      <c r="A2640" s="149" t="s">
        <v>4620</v>
      </c>
    </row>
    <row r="2641" spans="1:1">
      <c r="A2641" s="149" t="s">
        <v>4621</v>
      </c>
    </row>
    <row r="2642" spans="1:1">
      <c r="A2642" s="149" t="s">
        <v>4622</v>
      </c>
    </row>
    <row r="2643" spans="1:1">
      <c r="A2643" s="149" t="s">
        <v>4623</v>
      </c>
    </row>
    <row r="2644" spans="1:1">
      <c r="A2644" s="149" t="s">
        <v>4624</v>
      </c>
    </row>
    <row r="2645" spans="1:1">
      <c r="A2645" s="149" t="s">
        <v>4625</v>
      </c>
    </row>
    <row r="2646" spans="1:1">
      <c r="A2646" s="149" t="s">
        <v>4626</v>
      </c>
    </row>
    <row r="2647" spans="1:1">
      <c r="A2647" s="149" t="s">
        <v>4627</v>
      </c>
    </row>
    <row r="2648" spans="1:1">
      <c r="A2648" s="149" t="s">
        <v>4628</v>
      </c>
    </row>
    <row r="2649" spans="1:1">
      <c r="A2649" s="149" t="s">
        <v>4629</v>
      </c>
    </row>
    <row r="2650" spans="1:1">
      <c r="A2650" s="149" t="s">
        <v>4630</v>
      </c>
    </row>
    <row r="2651" spans="1:1">
      <c r="A2651" s="149" t="s">
        <v>4631</v>
      </c>
    </row>
    <row r="2652" spans="1:1">
      <c r="A2652" s="149" t="s">
        <v>4632</v>
      </c>
    </row>
    <row r="2653" spans="1:1">
      <c r="A2653" s="149" t="s">
        <v>4633</v>
      </c>
    </row>
    <row r="2654" spans="1:1">
      <c r="A2654" s="149" t="s">
        <v>4634</v>
      </c>
    </row>
    <row r="2655" spans="1:1">
      <c r="A2655" s="149" t="s">
        <v>4635</v>
      </c>
    </row>
    <row r="2656" spans="1:1">
      <c r="A2656" s="149" t="s">
        <v>4636</v>
      </c>
    </row>
    <row r="2657" spans="1:1">
      <c r="A2657" s="149" t="s">
        <v>4637</v>
      </c>
    </row>
    <row r="2658" spans="1:1">
      <c r="A2658" s="149" t="s">
        <v>4638</v>
      </c>
    </row>
    <row r="2659" spans="1:1">
      <c r="A2659" s="149" t="s">
        <v>4639</v>
      </c>
    </row>
    <row r="2660" spans="1:1">
      <c r="A2660" s="149" t="s">
        <v>4640</v>
      </c>
    </row>
    <row r="2661" spans="1:1">
      <c r="A2661" s="149" t="s">
        <v>4641</v>
      </c>
    </row>
    <row r="2662" spans="1:1">
      <c r="A2662" s="149" t="s">
        <v>4642</v>
      </c>
    </row>
    <row r="2663" spans="1:1">
      <c r="A2663" s="149" t="s">
        <v>4643</v>
      </c>
    </row>
    <row r="2664" spans="1:1">
      <c r="A2664" s="149" t="s">
        <v>4644</v>
      </c>
    </row>
    <row r="2665" spans="1:1">
      <c r="A2665" s="149" t="s">
        <v>4645</v>
      </c>
    </row>
    <row r="2666" spans="1:1">
      <c r="A2666" s="149" t="s">
        <v>4646</v>
      </c>
    </row>
    <row r="2667" spans="1:1">
      <c r="A2667" s="149" t="s">
        <v>4647</v>
      </c>
    </row>
    <row r="2668" spans="1:1">
      <c r="A2668" s="149" t="s">
        <v>4648</v>
      </c>
    </row>
    <row r="2669" spans="1:1">
      <c r="A2669" s="149" t="s">
        <v>4649</v>
      </c>
    </row>
    <row r="2670" spans="1:1">
      <c r="A2670" s="149" t="s">
        <v>4650</v>
      </c>
    </row>
    <row r="2671" spans="1:1">
      <c r="A2671" s="149" t="s">
        <v>4651</v>
      </c>
    </row>
    <row r="2672" spans="1:1">
      <c r="A2672" s="149" t="s">
        <v>4652</v>
      </c>
    </row>
    <row r="2673" spans="1:1">
      <c r="A2673" s="149" t="s">
        <v>4653</v>
      </c>
    </row>
    <row r="2674" spans="1:1">
      <c r="A2674" s="149" t="s">
        <v>4654</v>
      </c>
    </row>
    <row r="2675" spans="1:1">
      <c r="A2675" s="149" t="s">
        <v>4655</v>
      </c>
    </row>
    <row r="2676" spans="1:1">
      <c r="A2676" s="149" t="s">
        <v>4656</v>
      </c>
    </row>
    <row r="2677" spans="1:1">
      <c r="A2677" s="149" t="s">
        <v>4657</v>
      </c>
    </row>
    <row r="2678" spans="1:1">
      <c r="A2678" s="149" t="s">
        <v>4658</v>
      </c>
    </row>
    <row r="2679" spans="1:1">
      <c r="A2679" s="149" t="s">
        <v>4659</v>
      </c>
    </row>
    <row r="2680" spans="1:1">
      <c r="A2680" s="149" t="s">
        <v>4660</v>
      </c>
    </row>
    <row r="2681" spans="1:1">
      <c r="A2681" s="149" t="s">
        <v>4661</v>
      </c>
    </row>
    <row r="2682" spans="1:1">
      <c r="A2682" s="149" t="s">
        <v>4662</v>
      </c>
    </row>
    <row r="2683" spans="1:1">
      <c r="A2683" s="149" t="s">
        <v>4663</v>
      </c>
    </row>
    <row r="2684" spans="1:1">
      <c r="A2684" s="149" t="s">
        <v>4664</v>
      </c>
    </row>
    <row r="2685" spans="1:1">
      <c r="A2685" s="149" t="s">
        <v>4665</v>
      </c>
    </row>
    <row r="2686" spans="1:1">
      <c r="A2686" s="149" t="s">
        <v>4666</v>
      </c>
    </row>
    <row r="2687" spans="1:1">
      <c r="A2687" s="149" t="s">
        <v>4667</v>
      </c>
    </row>
    <row r="2688" spans="1:1">
      <c r="A2688" s="149" t="s">
        <v>4668</v>
      </c>
    </row>
    <row r="2689" spans="1:1">
      <c r="A2689" s="149" t="s">
        <v>4669</v>
      </c>
    </row>
    <row r="2690" spans="1:1">
      <c r="A2690" s="149" t="s">
        <v>4670</v>
      </c>
    </row>
    <row r="2691" spans="1:1">
      <c r="A2691" s="149" t="s">
        <v>4671</v>
      </c>
    </row>
    <row r="2692" spans="1:1">
      <c r="A2692" s="149" t="s">
        <v>4672</v>
      </c>
    </row>
    <row r="2693" spans="1:1">
      <c r="A2693" s="149" t="s">
        <v>4673</v>
      </c>
    </row>
    <row r="2694" spans="1:1">
      <c r="A2694" s="149" t="s">
        <v>4674</v>
      </c>
    </row>
    <row r="2695" spans="1:1">
      <c r="A2695" s="149" t="s">
        <v>4675</v>
      </c>
    </row>
    <row r="2696" spans="1:1">
      <c r="A2696" s="149" t="s">
        <v>4676</v>
      </c>
    </row>
    <row r="2697" spans="1:1">
      <c r="A2697" s="149" t="s">
        <v>4677</v>
      </c>
    </row>
    <row r="2698" spans="1:1">
      <c r="A2698" s="149" t="s">
        <v>4678</v>
      </c>
    </row>
    <row r="2699" spans="1:1">
      <c r="A2699" s="149" t="s">
        <v>4679</v>
      </c>
    </row>
    <row r="2700" spans="1:1">
      <c r="A2700" s="149" t="s">
        <v>4680</v>
      </c>
    </row>
    <row r="2701" spans="1:1">
      <c r="A2701" s="149" t="s">
        <v>4681</v>
      </c>
    </row>
    <row r="2702" spans="1:1">
      <c r="A2702" s="149" t="s">
        <v>4682</v>
      </c>
    </row>
    <row r="2703" spans="1:1">
      <c r="A2703" s="149" t="s">
        <v>4683</v>
      </c>
    </row>
    <row r="2704" spans="1:1">
      <c r="A2704" s="149" t="s">
        <v>4684</v>
      </c>
    </row>
    <row r="2705" spans="1:1">
      <c r="A2705" s="149" t="s">
        <v>4685</v>
      </c>
    </row>
    <row r="2706" spans="1:1">
      <c r="A2706" s="149" t="s">
        <v>4686</v>
      </c>
    </row>
    <row r="2707" spans="1:1">
      <c r="A2707" s="149" t="s">
        <v>4687</v>
      </c>
    </row>
    <row r="2708" spans="1:1">
      <c r="A2708" s="149" t="s">
        <v>4688</v>
      </c>
    </row>
    <row r="2709" spans="1:1">
      <c r="A2709" s="149" t="s">
        <v>4689</v>
      </c>
    </row>
    <row r="2710" spans="1:1">
      <c r="A2710" s="149" t="s">
        <v>4690</v>
      </c>
    </row>
    <row r="2711" spans="1:1">
      <c r="A2711" s="149" t="s">
        <v>4691</v>
      </c>
    </row>
    <row r="2712" spans="1:1">
      <c r="A2712" s="149" t="s">
        <v>4692</v>
      </c>
    </row>
    <row r="2713" spans="1:1">
      <c r="A2713" s="149" t="s">
        <v>4693</v>
      </c>
    </row>
    <row r="2714" spans="1:1">
      <c r="A2714" s="149" t="s">
        <v>4694</v>
      </c>
    </row>
    <row r="2715" spans="1:1">
      <c r="A2715" s="149" t="s">
        <v>4695</v>
      </c>
    </row>
    <row r="2716" spans="1:1">
      <c r="A2716" s="149" t="s">
        <v>4696</v>
      </c>
    </row>
    <row r="2717" spans="1:1">
      <c r="A2717" s="149" t="s">
        <v>4697</v>
      </c>
    </row>
    <row r="2718" spans="1:1">
      <c r="A2718" s="149" t="s">
        <v>4698</v>
      </c>
    </row>
    <row r="2719" spans="1:1">
      <c r="A2719" s="149" t="s">
        <v>4699</v>
      </c>
    </row>
    <row r="2720" spans="1:1">
      <c r="A2720" s="149" t="s">
        <v>4700</v>
      </c>
    </row>
    <row r="2721" spans="1:1">
      <c r="A2721" s="149" t="s">
        <v>4701</v>
      </c>
    </row>
    <row r="2722" spans="1:1">
      <c r="A2722" s="149" t="s">
        <v>4702</v>
      </c>
    </row>
    <row r="2723" spans="1:1">
      <c r="A2723" s="149" t="s">
        <v>4703</v>
      </c>
    </row>
    <row r="2724" spans="1:1">
      <c r="A2724" s="149" t="s">
        <v>4704</v>
      </c>
    </row>
    <row r="2725" spans="1:1">
      <c r="A2725" s="149" t="s">
        <v>4705</v>
      </c>
    </row>
    <row r="2726" spans="1:1">
      <c r="A2726" s="149" t="s">
        <v>4706</v>
      </c>
    </row>
    <row r="2727" spans="1:1">
      <c r="A2727" s="149" t="s">
        <v>4707</v>
      </c>
    </row>
    <row r="2728" spans="1:1">
      <c r="A2728" s="149" t="s">
        <v>4708</v>
      </c>
    </row>
    <row r="2729" spans="1:1">
      <c r="A2729" s="149" t="s">
        <v>4709</v>
      </c>
    </row>
    <row r="2730" spans="1:1">
      <c r="A2730" s="149" t="s">
        <v>4710</v>
      </c>
    </row>
    <row r="2731" spans="1:1">
      <c r="A2731" s="149" t="s">
        <v>4711</v>
      </c>
    </row>
    <row r="2732" spans="1:1">
      <c r="A2732" s="149" t="s">
        <v>4712</v>
      </c>
    </row>
    <row r="2733" spans="1:1">
      <c r="A2733" s="149" t="s">
        <v>4713</v>
      </c>
    </row>
    <row r="2734" spans="1:1">
      <c r="A2734" s="149" t="s">
        <v>4714</v>
      </c>
    </row>
    <row r="2735" spans="1:1">
      <c r="A2735" s="149" t="s">
        <v>4715</v>
      </c>
    </row>
    <row r="2736" spans="1:1">
      <c r="A2736" s="149" t="s">
        <v>4716</v>
      </c>
    </row>
    <row r="2737" spans="1:1">
      <c r="A2737" s="149" t="s">
        <v>4717</v>
      </c>
    </row>
    <row r="2738" spans="1:1">
      <c r="A2738" s="149" t="s">
        <v>4718</v>
      </c>
    </row>
    <row r="2739" spans="1:1">
      <c r="A2739" s="149" t="s">
        <v>4719</v>
      </c>
    </row>
    <row r="2740" spans="1:1">
      <c r="A2740" s="149" t="s">
        <v>4720</v>
      </c>
    </row>
    <row r="2741" spans="1:1">
      <c r="A2741" s="149" t="s">
        <v>4721</v>
      </c>
    </row>
    <row r="2742" spans="1:1">
      <c r="A2742" s="149" t="s">
        <v>4722</v>
      </c>
    </row>
    <row r="2743" spans="1:1">
      <c r="A2743" s="149" t="s">
        <v>4723</v>
      </c>
    </row>
    <row r="2744" spans="1:1">
      <c r="A2744" s="149" t="s">
        <v>4724</v>
      </c>
    </row>
    <row r="2745" spans="1:1">
      <c r="A2745" s="149" t="s">
        <v>4725</v>
      </c>
    </row>
    <row r="2746" spans="1:1">
      <c r="A2746" s="149" t="s">
        <v>4726</v>
      </c>
    </row>
    <row r="2747" spans="1:1">
      <c r="A2747" s="149" t="s">
        <v>4727</v>
      </c>
    </row>
    <row r="2748" spans="1:1">
      <c r="A2748" s="149" t="s">
        <v>4728</v>
      </c>
    </row>
    <row r="2749" spans="1:1">
      <c r="A2749" s="149" t="s">
        <v>4729</v>
      </c>
    </row>
    <row r="2750" spans="1:1">
      <c r="A2750" s="149" t="s">
        <v>4730</v>
      </c>
    </row>
    <row r="2751" spans="1:1">
      <c r="A2751" s="149" t="s">
        <v>4731</v>
      </c>
    </row>
    <row r="2752" spans="1:1">
      <c r="A2752" s="149" t="s">
        <v>4732</v>
      </c>
    </row>
    <row r="2753" spans="1:1">
      <c r="A2753" s="149" t="s">
        <v>4733</v>
      </c>
    </row>
    <row r="2754" spans="1:1">
      <c r="A2754" s="149" t="s">
        <v>4734</v>
      </c>
    </row>
    <row r="2755" spans="1:1">
      <c r="A2755" s="149" t="s">
        <v>4735</v>
      </c>
    </row>
    <row r="2756" spans="1:1">
      <c r="A2756" s="149" t="s">
        <v>4736</v>
      </c>
    </row>
    <row r="2757" spans="1:1">
      <c r="A2757" s="149" t="s">
        <v>4737</v>
      </c>
    </row>
    <row r="2758" spans="1:1">
      <c r="A2758" s="149" t="s">
        <v>4738</v>
      </c>
    </row>
    <row r="2759" spans="1:1">
      <c r="A2759" s="149" t="s">
        <v>4739</v>
      </c>
    </row>
    <row r="2760" spans="1:1">
      <c r="A2760" s="149" t="s">
        <v>4740</v>
      </c>
    </row>
    <row r="2761" spans="1:1">
      <c r="A2761" s="149" t="s">
        <v>4741</v>
      </c>
    </row>
    <row r="2762" spans="1:1">
      <c r="A2762" s="149" t="s">
        <v>4742</v>
      </c>
    </row>
    <row r="2763" spans="1:1">
      <c r="A2763" s="149" t="s">
        <v>4743</v>
      </c>
    </row>
    <row r="2764" spans="1:1">
      <c r="A2764" s="149" t="s">
        <v>4744</v>
      </c>
    </row>
    <row r="2765" spans="1:1">
      <c r="A2765" s="149" t="s">
        <v>4745</v>
      </c>
    </row>
    <row r="2766" spans="1:1">
      <c r="A2766" s="149" t="s">
        <v>4746</v>
      </c>
    </row>
    <row r="2767" spans="1:1">
      <c r="A2767" s="149" t="s">
        <v>4747</v>
      </c>
    </row>
    <row r="2768" spans="1:1">
      <c r="A2768" s="149" t="s">
        <v>4748</v>
      </c>
    </row>
    <row r="2769" spans="1:1">
      <c r="A2769" s="149" t="s">
        <v>4749</v>
      </c>
    </row>
    <row r="2770" spans="1:1">
      <c r="A2770" s="149" t="s">
        <v>4750</v>
      </c>
    </row>
    <row r="2771" spans="1:1">
      <c r="A2771" s="149" t="s">
        <v>4751</v>
      </c>
    </row>
    <row r="2772" spans="1:1">
      <c r="A2772" s="149" t="s">
        <v>4752</v>
      </c>
    </row>
    <row r="2773" spans="1:1">
      <c r="A2773" s="149" t="s">
        <v>4753</v>
      </c>
    </row>
    <row r="2774" spans="1:1">
      <c r="A2774" s="149" t="s">
        <v>4754</v>
      </c>
    </row>
    <row r="2775" spans="1:1">
      <c r="A2775" s="149" t="s">
        <v>4755</v>
      </c>
    </row>
    <row r="2776" spans="1:1">
      <c r="A2776" s="149" t="s">
        <v>4756</v>
      </c>
    </row>
    <row r="2777" spans="1:1">
      <c r="A2777" s="149" t="s">
        <v>4757</v>
      </c>
    </row>
    <row r="2778" spans="1:1">
      <c r="A2778" s="149" t="s">
        <v>4758</v>
      </c>
    </row>
    <row r="2779" spans="1:1">
      <c r="A2779" s="149" t="s">
        <v>4759</v>
      </c>
    </row>
    <row r="2780" spans="1:1">
      <c r="A2780" s="149" t="s">
        <v>4760</v>
      </c>
    </row>
    <row r="2781" spans="1:1">
      <c r="A2781" s="149" t="s">
        <v>4761</v>
      </c>
    </row>
    <row r="2782" spans="1:1">
      <c r="A2782" s="149" t="s">
        <v>4762</v>
      </c>
    </row>
    <row r="2783" spans="1:1">
      <c r="A2783" s="149" t="s">
        <v>4763</v>
      </c>
    </row>
    <row r="2784" spans="1:1">
      <c r="A2784" s="149" t="s">
        <v>4764</v>
      </c>
    </row>
    <row r="2785" spans="1:1">
      <c r="A2785" s="149" t="s">
        <v>4765</v>
      </c>
    </row>
    <row r="2786" spans="1:1">
      <c r="A2786" s="149" t="s">
        <v>4766</v>
      </c>
    </row>
    <row r="2787" spans="1:1">
      <c r="A2787" s="149" t="s">
        <v>4767</v>
      </c>
    </row>
    <row r="2788" spans="1:1">
      <c r="A2788" s="149" t="s">
        <v>4768</v>
      </c>
    </row>
    <row r="2789" spans="1:1">
      <c r="A2789" s="149" t="s">
        <v>4769</v>
      </c>
    </row>
    <row r="2790" spans="1:1">
      <c r="A2790" s="149" t="s">
        <v>4770</v>
      </c>
    </row>
    <row r="2791" spans="1:1">
      <c r="A2791" s="149" t="s">
        <v>4771</v>
      </c>
    </row>
    <row r="2792" spans="1:1">
      <c r="A2792" s="149" t="s">
        <v>4772</v>
      </c>
    </row>
    <row r="2793" spans="1:1">
      <c r="A2793" s="149" t="s">
        <v>4773</v>
      </c>
    </row>
    <row r="2794" spans="1:1">
      <c r="A2794" s="149" t="s">
        <v>4774</v>
      </c>
    </row>
    <row r="2795" spans="1:1">
      <c r="A2795" s="149" t="s">
        <v>4775</v>
      </c>
    </row>
    <row r="2796" spans="1:1">
      <c r="A2796" s="149" t="s">
        <v>4776</v>
      </c>
    </row>
    <row r="2797" spans="1:1">
      <c r="A2797" s="149" t="s">
        <v>4777</v>
      </c>
    </row>
    <row r="2798" spans="1:1">
      <c r="A2798" s="149" t="s">
        <v>4778</v>
      </c>
    </row>
    <row r="2799" spans="1:1">
      <c r="A2799" s="149" t="s">
        <v>4779</v>
      </c>
    </row>
    <row r="2800" spans="1:1">
      <c r="A2800" s="149" t="s">
        <v>4780</v>
      </c>
    </row>
    <row r="2801" spans="1:1">
      <c r="A2801" s="149" t="s">
        <v>4781</v>
      </c>
    </row>
    <row r="2802" spans="1:1">
      <c r="A2802" s="149" t="s">
        <v>4782</v>
      </c>
    </row>
    <row r="2803" spans="1:1">
      <c r="A2803" s="149" t="s">
        <v>4783</v>
      </c>
    </row>
    <row r="2804" spans="1:1">
      <c r="A2804" s="149" t="s">
        <v>4784</v>
      </c>
    </row>
    <row r="2805" spans="1:1">
      <c r="A2805" s="149" t="s">
        <v>4785</v>
      </c>
    </row>
    <row r="2806" spans="1:1">
      <c r="A2806" s="149" t="s">
        <v>4786</v>
      </c>
    </row>
    <row r="2807" spans="1:1">
      <c r="A2807" s="149" t="s">
        <v>4787</v>
      </c>
    </row>
    <row r="2808" spans="1:1">
      <c r="A2808" s="149" t="s">
        <v>4788</v>
      </c>
    </row>
    <row r="2809" spans="1:1">
      <c r="A2809" s="149" t="s">
        <v>4789</v>
      </c>
    </row>
    <row r="2810" spans="1:1">
      <c r="A2810" s="149" t="s">
        <v>4790</v>
      </c>
    </row>
    <row r="2811" spans="1:1">
      <c r="A2811" s="149" t="s">
        <v>4791</v>
      </c>
    </row>
    <row r="2812" spans="1:1">
      <c r="A2812" s="149" t="s">
        <v>4792</v>
      </c>
    </row>
    <row r="2813" spans="1:1">
      <c r="A2813" s="149" t="s">
        <v>4793</v>
      </c>
    </row>
    <row r="2814" spans="1:1">
      <c r="A2814" s="149" t="s">
        <v>4794</v>
      </c>
    </row>
    <row r="2815" spans="1:1">
      <c r="A2815" s="149" t="s">
        <v>4795</v>
      </c>
    </row>
    <row r="2816" spans="1:1">
      <c r="A2816" s="149" t="s">
        <v>4796</v>
      </c>
    </row>
    <row r="2817" spans="1:1">
      <c r="A2817" s="149" t="s">
        <v>4797</v>
      </c>
    </row>
    <row r="2818" spans="1:1">
      <c r="A2818" s="149" t="s">
        <v>4798</v>
      </c>
    </row>
    <row r="2819" spans="1:1">
      <c r="A2819" s="149" t="s">
        <v>4799</v>
      </c>
    </row>
    <row r="2820" spans="1:1">
      <c r="A2820" s="149" t="s">
        <v>4800</v>
      </c>
    </row>
    <row r="2821" spans="1:1">
      <c r="A2821" s="149" t="s">
        <v>4801</v>
      </c>
    </row>
    <row r="2822" spans="1:1">
      <c r="A2822" s="149" t="s">
        <v>4802</v>
      </c>
    </row>
    <row r="2823" spans="1:1">
      <c r="A2823" s="149" t="s">
        <v>4803</v>
      </c>
    </row>
    <row r="2824" spans="1:1">
      <c r="A2824" s="149" t="s">
        <v>4804</v>
      </c>
    </row>
    <row r="2825" spans="1:1">
      <c r="A2825" s="149" t="s">
        <v>4805</v>
      </c>
    </row>
    <row r="2826" spans="1:1">
      <c r="A2826" s="149" t="s">
        <v>4806</v>
      </c>
    </row>
    <row r="2827" spans="1:1">
      <c r="A2827" s="149" t="s">
        <v>4807</v>
      </c>
    </row>
    <row r="2828" spans="1:1">
      <c r="A2828" s="149" t="s">
        <v>4808</v>
      </c>
    </row>
    <row r="2829" spans="1:1">
      <c r="A2829" s="149" t="s">
        <v>4809</v>
      </c>
    </row>
    <row r="2830" spans="1:1">
      <c r="A2830" s="149" t="s">
        <v>4810</v>
      </c>
    </row>
    <row r="2831" spans="1:1">
      <c r="A2831" s="149" t="s">
        <v>4811</v>
      </c>
    </row>
    <row r="2832" spans="1:1">
      <c r="A2832" s="149" t="s">
        <v>4812</v>
      </c>
    </row>
    <row r="2833" spans="1:1">
      <c r="A2833" s="149" t="s">
        <v>4813</v>
      </c>
    </row>
    <row r="2834" spans="1:1">
      <c r="A2834" s="149" t="s">
        <v>4814</v>
      </c>
    </row>
    <row r="2835" spans="1:1">
      <c r="A2835" s="149" t="s">
        <v>4815</v>
      </c>
    </row>
    <row r="2836" spans="1:1">
      <c r="A2836" s="149" t="s">
        <v>4816</v>
      </c>
    </row>
    <row r="2837" spans="1:1">
      <c r="A2837" s="149" t="s">
        <v>4817</v>
      </c>
    </row>
    <row r="2838" spans="1:1">
      <c r="A2838" s="149" t="s">
        <v>4818</v>
      </c>
    </row>
    <row r="2839" spans="1:1">
      <c r="A2839" s="149" t="s">
        <v>4819</v>
      </c>
    </row>
    <row r="2840" spans="1:1">
      <c r="A2840" s="149" t="s">
        <v>4820</v>
      </c>
    </row>
    <row r="2841" spans="1:1">
      <c r="A2841" s="149" t="s">
        <v>4821</v>
      </c>
    </row>
    <row r="2842" spans="1:1">
      <c r="A2842" s="149" t="s">
        <v>4822</v>
      </c>
    </row>
    <row r="2843" spans="1:1">
      <c r="A2843" s="149" t="s">
        <v>4823</v>
      </c>
    </row>
    <row r="2844" spans="1:1">
      <c r="A2844" s="149" t="s">
        <v>4824</v>
      </c>
    </row>
    <row r="2845" spans="1:1">
      <c r="A2845" s="149" t="s">
        <v>4825</v>
      </c>
    </row>
    <row r="2846" spans="1:1">
      <c r="A2846" s="149" t="s">
        <v>4826</v>
      </c>
    </row>
    <row r="2847" spans="1:1">
      <c r="A2847" s="149" t="s">
        <v>4827</v>
      </c>
    </row>
    <row r="2848" spans="1:1">
      <c r="A2848" s="149" t="s">
        <v>4828</v>
      </c>
    </row>
    <row r="2849" spans="1:1">
      <c r="A2849" s="149" t="s">
        <v>4829</v>
      </c>
    </row>
    <row r="2850" spans="1:1">
      <c r="A2850" s="149" t="s">
        <v>4830</v>
      </c>
    </row>
    <row r="2851" spans="1:1">
      <c r="A2851" s="149" t="s">
        <v>4831</v>
      </c>
    </row>
    <row r="2852" spans="1:1">
      <c r="A2852" s="149" t="s">
        <v>4832</v>
      </c>
    </row>
    <row r="2853" spans="1:1">
      <c r="A2853" s="149" t="s">
        <v>4833</v>
      </c>
    </row>
    <row r="2854" spans="1:1">
      <c r="A2854" s="149" t="s">
        <v>4834</v>
      </c>
    </row>
    <row r="2855" spans="1:1">
      <c r="A2855" s="149" t="s">
        <v>4835</v>
      </c>
    </row>
    <row r="2856" spans="1:1">
      <c r="A2856" s="149" t="s">
        <v>4836</v>
      </c>
    </row>
    <row r="2857" spans="1:1">
      <c r="A2857" s="149" t="s">
        <v>4837</v>
      </c>
    </row>
    <row r="2858" spans="1:1">
      <c r="A2858" s="149" t="s">
        <v>4838</v>
      </c>
    </row>
    <row r="2859" spans="1:1">
      <c r="A2859" s="149" t="s">
        <v>4839</v>
      </c>
    </row>
    <row r="2860" spans="1:1">
      <c r="A2860" s="149" t="s">
        <v>4840</v>
      </c>
    </row>
    <row r="2861" spans="1:1">
      <c r="A2861" s="149" t="s">
        <v>4841</v>
      </c>
    </row>
    <row r="2862" spans="1:1">
      <c r="A2862" s="149" t="s">
        <v>4842</v>
      </c>
    </row>
    <row r="2863" spans="1:1">
      <c r="A2863" s="149" t="s">
        <v>4843</v>
      </c>
    </row>
    <row r="2864" spans="1:1">
      <c r="A2864" s="149" t="s">
        <v>4844</v>
      </c>
    </row>
    <row r="2865" spans="1:1">
      <c r="A2865" s="149" t="s">
        <v>4845</v>
      </c>
    </row>
    <row r="2866" spans="1:1">
      <c r="A2866" s="149" t="s">
        <v>4846</v>
      </c>
    </row>
    <row r="2867" spans="1:1">
      <c r="A2867" s="149" t="s">
        <v>4847</v>
      </c>
    </row>
    <row r="2868" spans="1:1">
      <c r="A2868" s="149" t="s">
        <v>4848</v>
      </c>
    </row>
    <row r="2869" spans="1:1">
      <c r="A2869" s="149" t="s">
        <v>4849</v>
      </c>
    </row>
    <row r="2870" spans="1:1">
      <c r="A2870" s="149" t="s">
        <v>4850</v>
      </c>
    </row>
    <row r="2871" spans="1:1">
      <c r="A2871" s="149" t="s">
        <v>4851</v>
      </c>
    </row>
    <row r="2872" spans="1:1">
      <c r="A2872" s="149" t="s">
        <v>4852</v>
      </c>
    </row>
    <row r="2873" spans="1:1">
      <c r="A2873" s="149" t="s">
        <v>4853</v>
      </c>
    </row>
    <row r="2874" spans="1:1">
      <c r="A2874" s="149" t="s">
        <v>4854</v>
      </c>
    </row>
    <row r="2875" spans="1:1">
      <c r="A2875" s="149" t="s">
        <v>4855</v>
      </c>
    </row>
    <row r="2876" spans="1:1">
      <c r="A2876" s="149" t="s">
        <v>4856</v>
      </c>
    </row>
    <row r="2877" spans="1:1">
      <c r="A2877" s="149" t="s">
        <v>4857</v>
      </c>
    </row>
    <row r="2878" spans="1:1">
      <c r="A2878" s="149" t="s">
        <v>4858</v>
      </c>
    </row>
    <row r="2879" spans="1:1">
      <c r="A2879" s="149" t="s">
        <v>4859</v>
      </c>
    </row>
    <row r="2880" spans="1:1">
      <c r="A2880" s="149" t="s">
        <v>4860</v>
      </c>
    </row>
    <row r="2881" spans="1:1">
      <c r="A2881" s="149" t="s">
        <v>4861</v>
      </c>
    </row>
    <row r="2882" spans="1:1">
      <c r="A2882" s="149" t="s">
        <v>4862</v>
      </c>
    </row>
    <row r="2883" spans="1:1">
      <c r="A2883" s="149" t="s">
        <v>4863</v>
      </c>
    </row>
    <row r="2884" spans="1:1">
      <c r="A2884" s="149" t="s">
        <v>4864</v>
      </c>
    </row>
    <row r="2885" spans="1:1">
      <c r="A2885" s="149" t="s">
        <v>4865</v>
      </c>
    </row>
    <row r="2886" spans="1:1">
      <c r="A2886" s="149" t="s">
        <v>4866</v>
      </c>
    </row>
    <row r="2887" spans="1:1">
      <c r="A2887" s="149" t="s">
        <v>4867</v>
      </c>
    </row>
    <row r="2888" spans="1:1">
      <c r="A2888" s="149" t="s">
        <v>4868</v>
      </c>
    </row>
    <row r="2889" spans="1:1">
      <c r="A2889" s="149" t="s">
        <v>4869</v>
      </c>
    </row>
    <row r="2890" spans="1:1">
      <c r="A2890" s="149" t="s">
        <v>4870</v>
      </c>
    </row>
    <row r="2891" spans="1:1">
      <c r="A2891" s="149" t="s">
        <v>4871</v>
      </c>
    </row>
    <row r="2892" spans="1:1">
      <c r="A2892" s="149" t="s">
        <v>4872</v>
      </c>
    </row>
    <row r="2893" spans="1:1">
      <c r="A2893" s="149" t="s">
        <v>4873</v>
      </c>
    </row>
    <row r="2894" spans="1:1">
      <c r="A2894" s="149" t="s">
        <v>4874</v>
      </c>
    </row>
    <row r="2895" spans="1:1">
      <c r="A2895" s="149" t="s">
        <v>4875</v>
      </c>
    </row>
    <row r="2896" spans="1:1">
      <c r="A2896" s="149" t="s">
        <v>4876</v>
      </c>
    </row>
    <row r="2897" spans="1:1">
      <c r="A2897" s="149" t="s">
        <v>4877</v>
      </c>
    </row>
    <row r="2898" spans="1:1">
      <c r="A2898" s="149" t="s">
        <v>4878</v>
      </c>
    </row>
    <row r="2899" spans="1:1">
      <c r="A2899" s="149" t="s">
        <v>4879</v>
      </c>
    </row>
    <row r="2900" spans="1:1">
      <c r="A2900" s="149" t="s">
        <v>4880</v>
      </c>
    </row>
    <row r="2901" spans="1:1">
      <c r="A2901" s="149" t="s">
        <v>4881</v>
      </c>
    </row>
    <row r="2902" spans="1:1">
      <c r="A2902" s="149" t="s">
        <v>4882</v>
      </c>
    </row>
    <row r="2903" spans="1:1">
      <c r="A2903" s="149" t="s">
        <v>4883</v>
      </c>
    </row>
    <row r="2904" spans="1:1">
      <c r="A2904" s="149" t="s">
        <v>4884</v>
      </c>
    </row>
    <row r="2905" spans="1:1">
      <c r="A2905" s="149" t="s">
        <v>4885</v>
      </c>
    </row>
    <row r="2906" spans="1:1">
      <c r="A2906" s="149" t="s">
        <v>4886</v>
      </c>
    </row>
    <row r="2907" spans="1:1">
      <c r="A2907" s="149" t="s">
        <v>4887</v>
      </c>
    </row>
    <row r="2908" spans="1:1">
      <c r="A2908" s="149" t="s">
        <v>4888</v>
      </c>
    </row>
    <row r="2909" spans="1:1">
      <c r="A2909" s="149" t="s">
        <v>4889</v>
      </c>
    </row>
    <row r="2910" spans="1:1">
      <c r="A2910" s="149" t="s">
        <v>4890</v>
      </c>
    </row>
    <row r="2911" spans="1:1">
      <c r="A2911" s="149" t="s">
        <v>4891</v>
      </c>
    </row>
    <row r="2912" spans="1:1">
      <c r="A2912" s="149" t="s">
        <v>4892</v>
      </c>
    </row>
    <row r="2913" spans="1:1">
      <c r="A2913" s="149" t="s">
        <v>4893</v>
      </c>
    </row>
    <row r="2914" spans="1:1">
      <c r="A2914" s="149" t="s">
        <v>4894</v>
      </c>
    </row>
    <row r="2915" spans="1:1">
      <c r="A2915" s="149" t="s">
        <v>4895</v>
      </c>
    </row>
    <row r="2916" spans="1:1">
      <c r="A2916" s="149" t="s">
        <v>4896</v>
      </c>
    </row>
    <row r="2917" spans="1:1">
      <c r="A2917" s="149" t="s">
        <v>4897</v>
      </c>
    </row>
    <row r="2918" spans="1:1">
      <c r="A2918" s="149" t="s">
        <v>4898</v>
      </c>
    </row>
    <row r="2919" spans="1:1">
      <c r="A2919" s="149" t="s">
        <v>4899</v>
      </c>
    </row>
    <row r="2920" spans="1:1">
      <c r="A2920" s="149" t="s">
        <v>4900</v>
      </c>
    </row>
    <row r="2921" spans="1:1">
      <c r="A2921" s="149" t="s">
        <v>4901</v>
      </c>
    </row>
    <row r="2922" spans="1:1">
      <c r="A2922" s="149" t="s">
        <v>4902</v>
      </c>
    </row>
    <row r="2923" spans="1:1">
      <c r="A2923" s="149" t="s">
        <v>4903</v>
      </c>
    </row>
    <row r="2924" spans="1:1">
      <c r="A2924" s="149" t="s">
        <v>4904</v>
      </c>
    </row>
    <row r="2925" spans="1:1">
      <c r="A2925" s="149" t="s">
        <v>4905</v>
      </c>
    </row>
    <row r="2926" spans="1:1">
      <c r="A2926" s="149" t="s">
        <v>4906</v>
      </c>
    </row>
    <row r="2927" spans="1:1">
      <c r="A2927" s="149" t="s">
        <v>4907</v>
      </c>
    </row>
    <row r="2928" spans="1:1">
      <c r="A2928" s="149" t="s">
        <v>4908</v>
      </c>
    </row>
    <row r="2929" spans="1:1">
      <c r="A2929" s="149" t="s">
        <v>4909</v>
      </c>
    </row>
    <row r="2930" spans="1:1">
      <c r="A2930" s="149" t="s">
        <v>4910</v>
      </c>
    </row>
    <row r="2931" spans="1:1">
      <c r="A2931" s="149" t="s">
        <v>4911</v>
      </c>
    </row>
    <row r="2932" spans="1:1">
      <c r="A2932" s="149" t="s">
        <v>4912</v>
      </c>
    </row>
    <row r="2933" spans="1:1">
      <c r="A2933" s="149" t="s">
        <v>4913</v>
      </c>
    </row>
    <row r="2934" spans="1:1">
      <c r="A2934" s="149" t="s">
        <v>4914</v>
      </c>
    </row>
    <row r="2935" spans="1:1">
      <c r="A2935" s="149" t="s">
        <v>4915</v>
      </c>
    </row>
    <row r="2936" spans="1:1">
      <c r="A2936" s="149" t="s">
        <v>4916</v>
      </c>
    </row>
    <row r="2937" spans="1:1">
      <c r="A2937" s="149" t="s">
        <v>4917</v>
      </c>
    </row>
    <row r="2938" spans="1:1">
      <c r="A2938" s="149" t="s">
        <v>4918</v>
      </c>
    </row>
    <row r="2939" spans="1:1">
      <c r="A2939" s="149" t="s">
        <v>4919</v>
      </c>
    </row>
    <row r="2940" spans="1:1">
      <c r="A2940" s="149" t="s">
        <v>4920</v>
      </c>
    </row>
    <row r="2941" spans="1:1">
      <c r="A2941" s="149" t="s">
        <v>4921</v>
      </c>
    </row>
    <row r="2942" spans="1:1">
      <c r="A2942" s="149" t="s">
        <v>4922</v>
      </c>
    </row>
    <row r="2943" spans="1:1">
      <c r="A2943" s="149" t="s">
        <v>4923</v>
      </c>
    </row>
    <row r="2944" spans="1:1">
      <c r="A2944" s="149" t="s">
        <v>4924</v>
      </c>
    </row>
    <row r="2945" spans="1:1">
      <c r="A2945" s="149" t="s">
        <v>4925</v>
      </c>
    </row>
    <row r="2946" spans="1:1">
      <c r="A2946" s="149" t="s">
        <v>4926</v>
      </c>
    </row>
    <row r="2947" spans="1:1">
      <c r="A2947" s="149" t="s">
        <v>4927</v>
      </c>
    </row>
    <row r="2948" spans="1:1">
      <c r="A2948" s="149" t="s">
        <v>4928</v>
      </c>
    </row>
    <row r="2949" spans="1:1">
      <c r="A2949" s="149" t="s">
        <v>4929</v>
      </c>
    </row>
    <row r="2950" spans="1:1">
      <c r="A2950" s="149" t="s">
        <v>4930</v>
      </c>
    </row>
    <row r="2951" spans="1:1">
      <c r="A2951" s="149" t="s">
        <v>4931</v>
      </c>
    </row>
    <row r="2952" spans="1:1">
      <c r="A2952" s="149" t="s">
        <v>4932</v>
      </c>
    </row>
    <row r="2953" spans="1:1">
      <c r="A2953" s="149" t="s">
        <v>4933</v>
      </c>
    </row>
    <row r="2954" spans="1:1">
      <c r="A2954" s="149" t="s">
        <v>4934</v>
      </c>
    </row>
    <row r="2955" spans="1:1">
      <c r="A2955" s="149" t="s">
        <v>4935</v>
      </c>
    </row>
    <row r="2956" spans="1:1">
      <c r="A2956" s="149" t="s">
        <v>4936</v>
      </c>
    </row>
    <row r="2957" spans="1:1">
      <c r="A2957" s="149" t="s">
        <v>4937</v>
      </c>
    </row>
    <row r="2958" spans="1:1">
      <c r="A2958" s="149" t="s">
        <v>4938</v>
      </c>
    </row>
    <row r="2959" spans="1:1">
      <c r="A2959" s="149" t="s">
        <v>4939</v>
      </c>
    </row>
    <row r="2960" spans="1:1">
      <c r="A2960" s="149" t="s">
        <v>4940</v>
      </c>
    </row>
    <row r="2961" spans="1:1">
      <c r="A2961" s="149" t="s">
        <v>4941</v>
      </c>
    </row>
    <row r="2962" spans="1:1">
      <c r="A2962" s="149" t="s">
        <v>4942</v>
      </c>
    </row>
    <row r="2963" spans="1:1">
      <c r="A2963" s="149" t="s">
        <v>4943</v>
      </c>
    </row>
    <row r="2964" spans="1:1">
      <c r="A2964" s="149" t="s">
        <v>4944</v>
      </c>
    </row>
    <row r="2965" spans="1:1">
      <c r="A2965" s="149" t="s">
        <v>4945</v>
      </c>
    </row>
    <row r="2966" spans="1:1">
      <c r="A2966" s="149" t="s">
        <v>4946</v>
      </c>
    </row>
    <row r="2967" spans="1:1">
      <c r="A2967" s="149" t="s">
        <v>4947</v>
      </c>
    </row>
    <row r="2968" spans="1:1">
      <c r="A2968" s="149" t="s">
        <v>4948</v>
      </c>
    </row>
    <row r="2969" spans="1:1">
      <c r="A2969" s="149" t="s">
        <v>4949</v>
      </c>
    </row>
    <row r="2970" spans="1:1">
      <c r="A2970" s="149" t="s">
        <v>4950</v>
      </c>
    </row>
    <row r="2971" spans="1:1">
      <c r="A2971" s="149" t="s">
        <v>4951</v>
      </c>
    </row>
    <row r="2972" spans="1:1">
      <c r="A2972" s="149" t="s">
        <v>4952</v>
      </c>
    </row>
    <row r="2973" spans="1:1">
      <c r="A2973" s="149" t="s">
        <v>4953</v>
      </c>
    </row>
    <row r="2974" spans="1:1">
      <c r="A2974" s="149" t="s">
        <v>4954</v>
      </c>
    </row>
    <row r="2975" spans="1:1">
      <c r="A2975" s="149" t="s">
        <v>4955</v>
      </c>
    </row>
    <row r="2976" spans="1:1">
      <c r="A2976" s="149" t="s">
        <v>4956</v>
      </c>
    </row>
    <row r="2977" spans="1:1">
      <c r="A2977" s="149" t="s">
        <v>4957</v>
      </c>
    </row>
    <row r="2978" spans="1:1">
      <c r="A2978" s="149" t="s">
        <v>4958</v>
      </c>
    </row>
    <row r="2979" spans="1:1">
      <c r="A2979" s="149" t="s">
        <v>4959</v>
      </c>
    </row>
    <row r="2980" spans="1:1">
      <c r="A2980" s="149" t="s">
        <v>4960</v>
      </c>
    </row>
    <row r="2981" spans="1:1">
      <c r="A2981" s="149" t="s">
        <v>4961</v>
      </c>
    </row>
    <row r="2982" spans="1:1">
      <c r="A2982" s="149" t="s">
        <v>4962</v>
      </c>
    </row>
    <row r="2983" spans="1:1">
      <c r="A2983" s="149" t="s">
        <v>4963</v>
      </c>
    </row>
    <row r="2984" spans="1:1">
      <c r="A2984" s="149" t="s">
        <v>4964</v>
      </c>
    </row>
    <row r="2985" spans="1:1">
      <c r="A2985" s="149" t="s">
        <v>4965</v>
      </c>
    </row>
    <row r="2986" spans="1:1">
      <c r="A2986" s="149" t="s">
        <v>4966</v>
      </c>
    </row>
    <row r="2987" spans="1:1">
      <c r="A2987" s="149" t="s">
        <v>4967</v>
      </c>
    </row>
    <row r="2988" spans="1:1">
      <c r="A2988" s="149" t="s">
        <v>4968</v>
      </c>
    </row>
    <row r="2989" spans="1:1">
      <c r="A2989" s="149" t="s">
        <v>4969</v>
      </c>
    </row>
    <row r="2990" spans="1:1">
      <c r="A2990" s="149" t="s">
        <v>4970</v>
      </c>
    </row>
    <row r="2991" spans="1:1">
      <c r="A2991" s="149" t="s">
        <v>4971</v>
      </c>
    </row>
    <row r="2992" spans="1:1">
      <c r="A2992" s="149" t="s">
        <v>4972</v>
      </c>
    </row>
    <row r="2993" spans="1:1">
      <c r="A2993" s="149" t="s">
        <v>4973</v>
      </c>
    </row>
    <row r="2994" spans="1:1">
      <c r="A2994" s="149" t="s">
        <v>4974</v>
      </c>
    </row>
    <row r="2995" spans="1:1">
      <c r="A2995" s="149" t="s">
        <v>4975</v>
      </c>
    </row>
    <row r="2996" spans="1:1">
      <c r="A2996" s="149" t="s">
        <v>4976</v>
      </c>
    </row>
    <row r="2997" spans="1:1">
      <c r="A2997" s="149" t="s">
        <v>4977</v>
      </c>
    </row>
    <row r="2998" spans="1:1">
      <c r="A2998" s="149" t="s">
        <v>4978</v>
      </c>
    </row>
    <row r="2999" spans="1:1">
      <c r="A2999" s="149" t="s">
        <v>4979</v>
      </c>
    </row>
    <row r="3000" spans="1:1">
      <c r="A3000" s="149" t="s">
        <v>4980</v>
      </c>
    </row>
    <row r="3001" spans="1:1">
      <c r="A3001" s="149" t="s">
        <v>4981</v>
      </c>
    </row>
    <row r="3002" spans="1:1">
      <c r="A3002" s="149" t="s">
        <v>4982</v>
      </c>
    </row>
    <row r="3003" spans="1:1">
      <c r="A3003" s="149" t="s">
        <v>4983</v>
      </c>
    </row>
    <row r="3004" spans="1:1">
      <c r="A3004" s="149" t="s">
        <v>4984</v>
      </c>
    </row>
    <row r="3005" spans="1:1">
      <c r="A3005" s="149" t="s">
        <v>4985</v>
      </c>
    </row>
    <row r="3006" spans="1:1">
      <c r="A3006" s="149" t="s">
        <v>4986</v>
      </c>
    </row>
    <row r="3007" spans="1:1">
      <c r="A3007" s="149" t="s">
        <v>4987</v>
      </c>
    </row>
    <row r="3008" spans="1:1">
      <c r="A3008" s="149" t="s">
        <v>4988</v>
      </c>
    </row>
    <row r="3009" spans="1:1">
      <c r="A3009" s="149" t="s">
        <v>4989</v>
      </c>
    </row>
    <row r="3010" spans="1:1">
      <c r="A3010" s="149" t="s">
        <v>4990</v>
      </c>
    </row>
    <row r="3011" spans="1:1">
      <c r="A3011" s="149" t="s">
        <v>4991</v>
      </c>
    </row>
    <row r="3012" spans="1:1">
      <c r="A3012" s="149" t="s">
        <v>4992</v>
      </c>
    </row>
    <row r="3013" spans="1:1">
      <c r="A3013" s="149" t="s">
        <v>4993</v>
      </c>
    </row>
    <row r="3014" spans="1:1">
      <c r="A3014" s="149" t="s">
        <v>4994</v>
      </c>
    </row>
    <row r="3015" spans="1:1">
      <c r="A3015" s="149" t="s">
        <v>4995</v>
      </c>
    </row>
    <row r="3016" spans="1:1">
      <c r="A3016" s="149" t="s">
        <v>4996</v>
      </c>
    </row>
    <row r="3017" spans="1:1">
      <c r="A3017" s="149" t="s">
        <v>4997</v>
      </c>
    </row>
    <row r="3018" spans="1:1">
      <c r="A3018" s="149" t="s">
        <v>4998</v>
      </c>
    </row>
    <row r="3019" spans="1:1">
      <c r="A3019" s="149" t="s">
        <v>4999</v>
      </c>
    </row>
    <row r="3020" spans="1:1">
      <c r="A3020" s="149" t="s">
        <v>5000</v>
      </c>
    </row>
    <row r="3021" spans="1:1">
      <c r="A3021" s="149" t="s">
        <v>5001</v>
      </c>
    </row>
    <row r="3022" spans="1:1">
      <c r="A3022" s="149" t="s">
        <v>5002</v>
      </c>
    </row>
    <row r="3023" spans="1:1">
      <c r="A3023" s="149" t="s">
        <v>5003</v>
      </c>
    </row>
    <row r="3024" spans="1:1">
      <c r="A3024" s="149" t="s">
        <v>5004</v>
      </c>
    </row>
    <row r="3025" spans="1:1">
      <c r="A3025" s="149" t="s">
        <v>5005</v>
      </c>
    </row>
    <row r="3026" spans="1:1">
      <c r="A3026" s="149" t="s">
        <v>5006</v>
      </c>
    </row>
    <row r="3027" spans="1:1">
      <c r="A3027" s="149" t="s">
        <v>5007</v>
      </c>
    </row>
    <row r="3028" spans="1:1">
      <c r="A3028" s="149" t="s">
        <v>5008</v>
      </c>
    </row>
    <row r="3029" spans="1:1">
      <c r="A3029" s="149" t="s">
        <v>5009</v>
      </c>
    </row>
    <row r="3030" spans="1:1">
      <c r="A3030" s="149" t="s">
        <v>5010</v>
      </c>
    </row>
    <row r="3031" spans="1:1">
      <c r="A3031" s="149" t="s">
        <v>5011</v>
      </c>
    </row>
    <row r="3032" spans="1:1">
      <c r="A3032" s="149" t="s">
        <v>5012</v>
      </c>
    </row>
    <row r="3033" spans="1:1">
      <c r="A3033" s="149" t="s">
        <v>5013</v>
      </c>
    </row>
    <row r="3034" spans="1:1">
      <c r="A3034" s="149" t="s">
        <v>5014</v>
      </c>
    </row>
    <row r="3035" spans="1:1">
      <c r="A3035" s="149" t="s">
        <v>5015</v>
      </c>
    </row>
    <row r="3036" spans="1:1">
      <c r="A3036" s="149" t="s">
        <v>5016</v>
      </c>
    </row>
    <row r="3037" spans="1:1">
      <c r="A3037" s="149" t="s">
        <v>5017</v>
      </c>
    </row>
    <row r="3038" spans="1:1">
      <c r="A3038" s="149" t="s">
        <v>5018</v>
      </c>
    </row>
    <row r="3039" spans="1:1">
      <c r="A3039" s="149" t="s">
        <v>5019</v>
      </c>
    </row>
    <row r="3040" spans="1:1">
      <c r="A3040" s="149" t="s">
        <v>5020</v>
      </c>
    </row>
    <row r="3041" spans="1:1">
      <c r="A3041" s="149" t="s">
        <v>5021</v>
      </c>
    </row>
    <row r="3042" spans="1:1">
      <c r="A3042" s="149" t="s">
        <v>5022</v>
      </c>
    </row>
    <row r="3043" spans="1:1">
      <c r="A3043" s="149" t="s">
        <v>5023</v>
      </c>
    </row>
    <row r="3044" spans="1:1">
      <c r="A3044" s="149" t="s">
        <v>5024</v>
      </c>
    </row>
    <row r="3045" spans="1:1">
      <c r="A3045" s="149" t="s">
        <v>5025</v>
      </c>
    </row>
    <row r="3046" spans="1:1">
      <c r="A3046" s="149" t="s">
        <v>5026</v>
      </c>
    </row>
    <row r="3047" spans="1:1">
      <c r="A3047" s="149" t="s">
        <v>5027</v>
      </c>
    </row>
    <row r="3048" spans="1:1">
      <c r="A3048" s="149" t="s">
        <v>5028</v>
      </c>
    </row>
    <row r="3049" spans="1:1">
      <c r="A3049" s="149" t="s">
        <v>5029</v>
      </c>
    </row>
    <row r="3050" spans="1:1">
      <c r="A3050" s="149" t="s">
        <v>5030</v>
      </c>
    </row>
    <row r="3051" spans="1:1">
      <c r="A3051" s="149" t="s">
        <v>5031</v>
      </c>
    </row>
    <row r="3052" spans="1:1">
      <c r="A3052" s="149" t="s">
        <v>5032</v>
      </c>
    </row>
    <row r="3053" spans="1:1">
      <c r="A3053" s="149" t="s">
        <v>5033</v>
      </c>
    </row>
    <row r="3054" spans="1:1">
      <c r="A3054" s="149" t="s">
        <v>5034</v>
      </c>
    </row>
    <row r="3055" spans="1:1">
      <c r="A3055" s="149" t="s">
        <v>5035</v>
      </c>
    </row>
    <row r="3056" spans="1:1">
      <c r="A3056" s="149" t="s">
        <v>5036</v>
      </c>
    </row>
    <row r="3057" spans="1:1">
      <c r="A3057" s="149" t="s">
        <v>5037</v>
      </c>
    </row>
    <row r="3058" spans="1:1">
      <c r="A3058" s="149" t="s">
        <v>5038</v>
      </c>
    </row>
    <row r="3059" spans="1:1">
      <c r="A3059" s="149" t="s">
        <v>5039</v>
      </c>
    </row>
    <row r="3060" spans="1:1">
      <c r="A3060" s="149" t="s">
        <v>5040</v>
      </c>
    </row>
    <row r="3061" spans="1:1">
      <c r="A3061" s="149" t="s">
        <v>5041</v>
      </c>
    </row>
    <row r="3062" spans="1:1">
      <c r="A3062" s="149" t="s">
        <v>5042</v>
      </c>
    </row>
    <row r="3063" spans="1:1">
      <c r="A3063" s="149" t="s">
        <v>5043</v>
      </c>
    </row>
    <row r="3064" spans="1:1">
      <c r="A3064" s="149" t="s">
        <v>5044</v>
      </c>
    </row>
    <row r="3065" spans="1:1">
      <c r="A3065" s="149" t="s">
        <v>5045</v>
      </c>
    </row>
    <row r="3066" spans="1:1">
      <c r="A3066" s="149" t="s">
        <v>5046</v>
      </c>
    </row>
    <row r="3067" spans="1:1">
      <c r="A3067" s="149" t="s">
        <v>5047</v>
      </c>
    </row>
    <row r="3068" spans="1:1">
      <c r="A3068" s="149" t="s">
        <v>5048</v>
      </c>
    </row>
    <row r="3069" spans="1:1">
      <c r="A3069" s="149" t="s">
        <v>5049</v>
      </c>
    </row>
    <row r="3070" spans="1:1">
      <c r="A3070" s="149" t="s">
        <v>5050</v>
      </c>
    </row>
    <row r="3071" spans="1:1">
      <c r="A3071" s="149" t="s">
        <v>5051</v>
      </c>
    </row>
    <row r="3072" spans="1:1">
      <c r="A3072" s="149" t="s">
        <v>5052</v>
      </c>
    </row>
    <row r="3073" spans="1:1">
      <c r="A3073" s="149" t="s">
        <v>5053</v>
      </c>
    </row>
    <row r="3074" spans="1:1">
      <c r="A3074" s="149" t="s">
        <v>5054</v>
      </c>
    </row>
    <row r="3075" spans="1:1">
      <c r="A3075" s="149" t="s">
        <v>5055</v>
      </c>
    </row>
    <row r="3076" spans="1:1">
      <c r="A3076" s="149" t="s">
        <v>5056</v>
      </c>
    </row>
    <row r="3077" spans="1:1">
      <c r="A3077" s="149" t="s">
        <v>5057</v>
      </c>
    </row>
    <row r="3078" spans="1:1">
      <c r="A3078" s="149" t="s">
        <v>5058</v>
      </c>
    </row>
    <row r="3079" spans="1:1">
      <c r="A3079" s="149" t="s">
        <v>5059</v>
      </c>
    </row>
    <row r="3080" spans="1:1">
      <c r="A3080" s="149" t="s">
        <v>5060</v>
      </c>
    </row>
    <row r="3081" spans="1:1">
      <c r="A3081" s="149" t="s">
        <v>5061</v>
      </c>
    </row>
    <row r="3082" spans="1:1">
      <c r="A3082" s="149" t="s">
        <v>5062</v>
      </c>
    </row>
    <row r="3083" spans="1:1">
      <c r="A3083" s="149" t="s">
        <v>5063</v>
      </c>
    </row>
    <row r="3084" spans="1:1">
      <c r="A3084" s="149" t="s">
        <v>5064</v>
      </c>
    </row>
    <row r="3085" spans="1:1">
      <c r="A3085" s="149" t="s">
        <v>5065</v>
      </c>
    </row>
    <row r="3086" spans="1:1">
      <c r="A3086" s="149" t="s">
        <v>5066</v>
      </c>
    </row>
    <row r="3087" spans="1:1">
      <c r="A3087" s="149" t="s">
        <v>5067</v>
      </c>
    </row>
    <row r="3088" spans="1:1">
      <c r="A3088" s="149" t="s">
        <v>5068</v>
      </c>
    </row>
    <row r="3089" spans="1:1">
      <c r="A3089" s="149" t="s">
        <v>5069</v>
      </c>
    </row>
    <row r="3090" spans="1:1">
      <c r="A3090" s="149" t="s">
        <v>5070</v>
      </c>
    </row>
    <row r="3091" spans="1:1">
      <c r="A3091" s="149" t="s">
        <v>5071</v>
      </c>
    </row>
    <row r="3092" spans="1:1">
      <c r="A3092" s="149" t="s">
        <v>5072</v>
      </c>
    </row>
    <row r="3093" spans="1:1">
      <c r="A3093" s="149" t="s">
        <v>5073</v>
      </c>
    </row>
    <row r="3094" spans="1:1">
      <c r="A3094" s="149" t="s">
        <v>5074</v>
      </c>
    </row>
    <row r="3095" spans="1:1">
      <c r="A3095" s="149" t="s">
        <v>5075</v>
      </c>
    </row>
    <row r="3096" spans="1:1">
      <c r="A3096" s="149" t="s">
        <v>5076</v>
      </c>
    </row>
    <row r="3097" spans="1:1">
      <c r="A3097" s="149" t="s">
        <v>5077</v>
      </c>
    </row>
    <row r="3098" spans="1:1">
      <c r="A3098" s="149" t="s">
        <v>5078</v>
      </c>
    </row>
    <row r="3099" spans="1:1">
      <c r="A3099" s="149" t="s">
        <v>5079</v>
      </c>
    </row>
    <row r="3100" spans="1:1">
      <c r="A3100" s="149" t="s">
        <v>5080</v>
      </c>
    </row>
    <row r="3101" spans="1:1">
      <c r="A3101" s="149" t="s">
        <v>5081</v>
      </c>
    </row>
    <row r="3102" spans="1:1">
      <c r="A3102" s="149" t="s">
        <v>5082</v>
      </c>
    </row>
    <row r="3103" spans="1:1">
      <c r="A3103" s="149" t="s">
        <v>5083</v>
      </c>
    </row>
    <row r="3104" spans="1:1">
      <c r="A3104" s="149" t="s">
        <v>5084</v>
      </c>
    </row>
    <row r="3105" spans="1:1">
      <c r="A3105" s="149" t="s">
        <v>5085</v>
      </c>
    </row>
    <row r="3106" spans="1:1">
      <c r="A3106" s="149" t="s">
        <v>5086</v>
      </c>
    </row>
    <row r="3107" spans="1:1">
      <c r="A3107" s="149" t="s">
        <v>5087</v>
      </c>
    </row>
    <row r="3108" spans="1:1">
      <c r="A3108" s="149" t="s">
        <v>5088</v>
      </c>
    </row>
    <row r="3109" spans="1:1">
      <c r="A3109" s="149" t="s">
        <v>5089</v>
      </c>
    </row>
    <row r="3110" spans="1:1">
      <c r="A3110" s="149" t="s">
        <v>5090</v>
      </c>
    </row>
    <row r="3111" spans="1:1">
      <c r="A3111" s="149" t="s">
        <v>5091</v>
      </c>
    </row>
    <row r="3112" spans="1:1">
      <c r="A3112" s="149" t="s">
        <v>5092</v>
      </c>
    </row>
    <row r="3113" spans="1:1">
      <c r="A3113" s="149" t="s">
        <v>5093</v>
      </c>
    </row>
    <row r="3114" spans="1:1">
      <c r="A3114" s="149" t="s">
        <v>5094</v>
      </c>
    </row>
    <row r="3115" spans="1:1">
      <c r="A3115" s="149" t="s">
        <v>5095</v>
      </c>
    </row>
    <row r="3116" spans="1:1">
      <c r="A3116" s="149" t="s">
        <v>5096</v>
      </c>
    </row>
    <row r="3117" spans="1:1">
      <c r="A3117" s="149" t="s">
        <v>5097</v>
      </c>
    </row>
    <row r="3118" spans="1:1">
      <c r="A3118" s="149" t="s">
        <v>5098</v>
      </c>
    </row>
    <row r="3119" spans="1:1">
      <c r="A3119" s="149" t="s">
        <v>5099</v>
      </c>
    </row>
    <row r="3120" spans="1:1">
      <c r="A3120" s="149" t="s">
        <v>5100</v>
      </c>
    </row>
    <row r="3121" spans="1:1">
      <c r="A3121" s="149" t="s">
        <v>5101</v>
      </c>
    </row>
    <row r="3122" spans="1:1">
      <c r="A3122" s="149" t="s">
        <v>5102</v>
      </c>
    </row>
    <row r="3123" spans="1:1">
      <c r="A3123" s="149" t="s">
        <v>5103</v>
      </c>
    </row>
    <row r="3124" spans="1:1">
      <c r="A3124" s="149" t="s">
        <v>5104</v>
      </c>
    </row>
    <row r="3125" spans="1:1">
      <c r="A3125" s="149" t="s">
        <v>5105</v>
      </c>
    </row>
    <row r="3126" spans="1:1">
      <c r="A3126" s="149" t="s">
        <v>5106</v>
      </c>
    </row>
    <row r="3127" spans="1:1">
      <c r="A3127" s="149" t="s">
        <v>5107</v>
      </c>
    </row>
    <row r="3128" spans="1:1">
      <c r="A3128" s="149" t="s">
        <v>5108</v>
      </c>
    </row>
    <row r="3129" spans="1:1">
      <c r="A3129" s="149" t="s">
        <v>5109</v>
      </c>
    </row>
    <row r="3130" spans="1:1">
      <c r="A3130" s="149" t="s">
        <v>5110</v>
      </c>
    </row>
    <row r="3131" spans="1:1">
      <c r="A3131" s="149" t="s">
        <v>5111</v>
      </c>
    </row>
    <row r="3132" spans="1:1">
      <c r="A3132" s="149" t="s">
        <v>5112</v>
      </c>
    </row>
    <row r="3133" spans="1:1">
      <c r="A3133" s="149" t="s">
        <v>5113</v>
      </c>
    </row>
    <row r="3134" spans="1:1">
      <c r="A3134" s="149" t="s">
        <v>5114</v>
      </c>
    </row>
    <row r="3135" spans="1:1">
      <c r="A3135" s="149" t="s">
        <v>5115</v>
      </c>
    </row>
    <row r="3136" spans="1:1">
      <c r="A3136" s="149" t="s">
        <v>5116</v>
      </c>
    </row>
    <row r="3137" spans="1:1">
      <c r="A3137" s="149" t="s">
        <v>5117</v>
      </c>
    </row>
    <row r="3138" spans="1:1">
      <c r="A3138" s="149" t="s">
        <v>5118</v>
      </c>
    </row>
    <row r="3139" spans="1:1">
      <c r="A3139" s="149" t="s">
        <v>5119</v>
      </c>
    </row>
    <row r="3140" spans="1:1">
      <c r="A3140" s="149" t="s">
        <v>5120</v>
      </c>
    </row>
    <row r="3141" spans="1:1">
      <c r="A3141" s="149" t="s">
        <v>5121</v>
      </c>
    </row>
    <row r="3142" spans="1:1">
      <c r="A3142" s="149" t="s">
        <v>5122</v>
      </c>
    </row>
    <row r="3143" spans="1:1">
      <c r="A3143" s="149" t="s">
        <v>5123</v>
      </c>
    </row>
    <row r="3144" spans="1:1">
      <c r="A3144" s="149" t="s">
        <v>5124</v>
      </c>
    </row>
    <row r="3145" spans="1:1">
      <c r="A3145" s="149" t="s">
        <v>5125</v>
      </c>
    </row>
    <row r="3146" spans="1:1">
      <c r="A3146" s="149" t="s">
        <v>5126</v>
      </c>
    </row>
    <row r="3147" spans="1:1">
      <c r="A3147" s="149" t="s">
        <v>5127</v>
      </c>
    </row>
    <row r="3148" spans="1:1">
      <c r="A3148" s="149" t="s">
        <v>5128</v>
      </c>
    </row>
    <row r="3149" spans="1:1">
      <c r="A3149" s="149" t="s">
        <v>5129</v>
      </c>
    </row>
    <row r="3150" spans="1:1">
      <c r="A3150" s="149" t="s">
        <v>5130</v>
      </c>
    </row>
    <row r="3151" spans="1:1">
      <c r="A3151" s="149" t="s">
        <v>5131</v>
      </c>
    </row>
    <row r="3152" spans="1:1">
      <c r="A3152" s="149" t="s">
        <v>5132</v>
      </c>
    </row>
    <row r="3153" spans="1:1">
      <c r="A3153" s="149" t="s">
        <v>5133</v>
      </c>
    </row>
    <row r="3154" spans="1:1">
      <c r="A3154" s="149" t="s">
        <v>5134</v>
      </c>
    </row>
    <row r="3155" spans="1:1">
      <c r="A3155" s="149" t="s">
        <v>5135</v>
      </c>
    </row>
    <row r="3156" spans="1:1">
      <c r="A3156" s="149" t="s">
        <v>5136</v>
      </c>
    </row>
    <row r="3157" spans="1:1">
      <c r="A3157" s="149" t="s">
        <v>5137</v>
      </c>
    </row>
    <row r="3158" spans="1:1">
      <c r="A3158" s="149" t="s">
        <v>5138</v>
      </c>
    </row>
    <row r="3159" spans="1:1">
      <c r="A3159" s="149" t="s">
        <v>5139</v>
      </c>
    </row>
    <row r="3160" spans="1:1">
      <c r="A3160" s="149" t="s">
        <v>5140</v>
      </c>
    </row>
    <row r="3161" spans="1:1">
      <c r="A3161" s="149" t="s">
        <v>5141</v>
      </c>
    </row>
    <row r="3162" spans="1:1">
      <c r="A3162" s="149" t="s">
        <v>5142</v>
      </c>
    </row>
    <row r="3163" spans="1:1">
      <c r="A3163" s="149" t="s">
        <v>5143</v>
      </c>
    </row>
    <row r="3164" spans="1:1">
      <c r="A3164" s="149" t="s">
        <v>5144</v>
      </c>
    </row>
    <row r="3165" spans="1:1">
      <c r="A3165" s="149" t="s">
        <v>5145</v>
      </c>
    </row>
    <row r="3166" spans="1:1">
      <c r="A3166" s="149" t="s">
        <v>5146</v>
      </c>
    </row>
    <row r="3167" spans="1:1">
      <c r="A3167" s="149" t="s">
        <v>5147</v>
      </c>
    </row>
    <row r="3168" spans="1:1">
      <c r="A3168" s="149" t="s">
        <v>5148</v>
      </c>
    </row>
    <row r="3169" spans="1:1">
      <c r="A3169" s="149" t="s">
        <v>5149</v>
      </c>
    </row>
    <row r="3170" spans="1:1">
      <c r="A3170" s="149" t="s">
        <v>5150</v>
      </c>
    </row>
    <row r="3171" spans="1:1">
      <c r="A3171" s="149" t="s">
        <v>5151</v>
      </c>
    </row>
    <row r="3172" spans="1:1">
      <c r="A3172" s="149" t="s">
        <v>5152</v>
      </c>
    </row>
    <row r="3173" spans="1:1">
      <c r="A3173" s="149" t="s">
        <v>5153</v>
      </c>
    </row>
    <row r="3174" spans="1:1">
      <c r="A3174" s="149" t="s">
        <v>5154</v>
      </c>
    </row>
    <row r="3175" spans="1:1">
      <c r="A3175" s="149" t="s">
        <v>5155</v>
      </c>
    </row>
    <row r="3176" spans="1:1">
      <c r="A3176" s="149" t="s">
        <v>5156</v>
      </c>
    </row>
    <row r="3177" spans="1:1">
      <c r="A3177" s="149" t="s">
        <v>5157</v>
      </c>
    </row>
    <row r="3178" spans="1:1">
      <c r="A3178" s="149" t="s">
        <v>5158</v>
      </c>
    </row>
    <row r="3179" spans="1:1">
      <c r="A3179" s="149" t="s">
        <v>5159</v>
      </c>
    </row>
    <row r="3180" spans="1:1">
      <c r="A3180" s="149" t="s">
        <v>5160</v>
      </c>
    </row>
    <row r="3181" spans="1:1">
      <c r="A3181" s="149" t="s">
        <v>5161</v>
      </c>
    </row>
    <row r="3182" spans="1:1">
      <c r="A3182" s="149" t="s">
        <v>5162</v>
      </c>
    </row>
    <row r="3183" spans="1:1">
      <c r="A3183" s="149" t="s">
        <v>5163</v>
      </c>
    </row>
    <row r="3184" spans="1:1">
      <c r="A3184" s="149" t="s">
        <v>5164</v>
      </c>
    </row>
    <row r="3185" spans="1:1">
      <c r="A3185" s="149" t="s">
        <v>5165</v>
      </c>
    </row>
    <row r="3186" spans="1:1">
      <c r="A3186" s="149" t="s">
        <v>5166</v>
      </c>
    </row>
    <row r="3187" spans="1:1">
      <c r="A3187" s="149" t="s">
        <v>5167</v>
      </c>
    </row>
    <row r="3188" spans="1:1">
      <c r="A3188" s="149" t="s">
        <v>5168</v>
      </c>
    </row>
    <row r="3189" spans="1:1">
      <c r="A3189" s="149" t="s">
        <v>5169</v>
      </c>
    </row>
    <row r="3190" spans="1:1">
      <c r="A3190" s="149" t="s">
        <v>5170</v>
      </c>
    </row>
    <row r="3191" spans="1:1">
      <c r="A3191" s="149" t="s">
        <v>5171</v>
      </c>
    </row>
    <row r="3192" spans="1:1">
      <c r="A3192" s="149" t="s">
        <v>5172</v>
      </c>
    </row>
    <row r="3193" spans="1:1">
      <c r="A3193" s="149" t="s">
        <v>5173</v>
      </c>
    </row>
    <row r="3194" spans="1:1">
      <c r="A3194" s="149" t="s">
        <v>5174</v>
      </c>
    </row>
    <row r="3195" spans="1:1">
      <c r="A3195" s="149" t="s">
        <v>5175</v>
      </c>
    </row>
    <row r="3196" spans="1:1">
      <c r="A3196" s="149" t="s">
        <v>5176</v>
      </c>
    </row>
    <row r="3197" spans="1:1">
      <c r="A3197" s="149" t="s">
        <v>5177</v>
      </c>
    </row>
    <row r="3198" spans="1:1">
      <c r="A3198" s="149" t="s">
        <v>5178</v>
      </c>
    </row>
    <row r="3199" spans="1:1">
      <c r="A3199" s="149" t="s">
        <v>5179</v>
      </c>
    </row>
    <row r="3200" spans="1:1">
      <c r="A3200" s="149" t="s">
        <v>5180</v>
      </c>
    </row>
    <row r="3201" spans="1:1">
      <c r="A3201" s="149" t="s">
        <v>5181</v>
      </c>
    </row>
    <row r="3202" spans="1:1">
      <c r="A3202" s="149" t="s">
        <v>5182</v>
      </c>
    </row>
    <row r="3203" spans="1:1">
      <c r="A3203" s="149" t="s">
        <v>5183</v>
      </c>
    </row>
    <row r="3204" spans="1:1">
      <c r="A3204" s="149" t="s">
        <v>5184</v>
      </c>
    </row>
    <row r="3205" spans="1:1">
      <c r="A3205" s="149" t="s">
        <v>5185</v>
      </c>
    </row>
    <row r="3206" spans="1:1">
      <c r="A3206" s="149" t="s">
        <v>5186</v>
      </c>
    </row>
    <row r="3207" spans="1:1">
      <c r="A3207" s="149" t="s">
        <v>5187</v>
      </c>
    </row>
    <row r="3208" spans="1:1">
      <c r="A3208" s="149" t="s">
        <v>5188</v>
      </c>
    </row>
    <row r="3209" spans="1:1">
      <c r="A3209" s="149" t="s">
        <v>5189</v>
      </c>
    </row>
    <row r="3210" spans="1:1">
      <c r="A3210" s="149" t="s">
        <v>5190</v>
      </c>
    </row>
    <row r="3211" spans="1:1">
      <c r="A3211" s="149" t="s">
        <v>5191</v>
      </c>
    </row>
    <row r="3212" spans="1:1">
      <c r="A3212" s="149" t="s">
        <v>5192</v>
      </c>
    </row>
    <row r="3213" spans="1:1">
      <c r="A3213" s="149" t="s">
        <v>5193</v>
      </c>
    </row>
    <row r="3214" spans="1:1">
      <c r="A3214" s="149" t="s">
        <v>5194</v>
      </c>
    </row>
    <row r="3215" spans="1:1">
      <c r="A3215" s="149" t="s">
        <v>5195</v>
      </c>
    </row>
    <row r="3216" spans="1:1">
      <c r="A3216" s="149" t="s">
        <v>5196</v>
      </c>
    </row>
    <row r="3217" spans="1:1">
      <c r="A3217" s="149" t="s">
        <v>5197</v>
      </c>
    </row>
    <row r="3218" spans="1:1">
      <c r="A3218" s="149" t="s">
        <v>5198</v>
      </c>
    </row>
    <row r="3219" spans="1:1">
      <c r="A3219" s="149" t="s">
        <v>5199</v>
      </c>
    </row>
    <row r="3220" spans="1:1">
      <c r="A3220" s="149" t="s">
        <v>5200</v>
      </c>
    </row>
    <row r="3221" spans="1:1">
      <c r="A3221" s="149" t="s">
        <v>5201</v>
      </c>
    </row>
    <row r="3222" spans="1:1">
      <c r="A3222" s="149" t="s">
        <v>5202</v>
      </c>
    </row>
    <row r="3223" spans="1:1">
      <c r="A3223" s="149" t="s">
        <v>5203</v>
      </c>
    </row>
    <row r="3224" spans="1:1">
      <c r="A3224" s="149" t="s">
        <v>5204</v>
      </c>
    </row>
    <row r="3225" spans="1:1">
      <c r="A3225" s="149" t="s">
        <v>5205</v>
      </c>
    </row>
    <row r="3226" spans="1:1">
      <c r="A3226" s="149" t="s">
        <v>5206</v>
      </c>
    </row>
    <row r="3227" spans="1:1">
      <c r="A3227" s="149" t="s">
        <v>5207</v>
      </c>
    </row>
    <row r="3228" spans="1:1">
      <c r="A3228" s="149" t="s">
        <v>5208</v>
      </c>
    </row>
    <row r="3229" spans="1:1">
      <c r="A3229" s="149" t="s">
        <v>5209</v>
      </c>
    </row>
    <row r="3230" spans="1:1">
      <c r="A3230" s="149" t="s">
        <v>5210</v>
      </c>
    </row>
    <row r="3231" spans="1:1">
      <c r="A3231" s="149" t="s">
        <v>5211</v>
      </c>
    </row>
    <row r="3232" spans="1:1">
      <c r="A3232" s="149" t="s">
        <v>5212</v>
      </c>
    </row>
    <row r="3233" spans="1:1">
      <c r="A3233" s="149" t="s">
        <v>5213</v>
      </c>
    </row>
    <row r="3234" spans="1:1">
      <c r="A3234" s="149" t="s">
        <v>5214</v>
      </c>
    </row>
    <row r="3235" spans="1:1">
      <c r="A3235" s="149" t="s">
        <v>5215</v>
      </c>
    </row>
    <row r="3236" spans="1:1">
      <c r="A3236" s="149" t="s">
        <v>5216</v>
      </c>
    </row>
    <row r="3237" spans="1:1">
      <c r="A3237" s="149" t="s">
        <v>5217</v>
      </c>
    </row>
    <row r="3238" spans="1:1">
      <c r="A3238" s="149" t="s">
        <v>5218</v>
      </c>
    </row>
    <row r="3239" spans="1:1">
      <c r="A3239" s="149" t="s">
        <v>5219</v>
      </c>
    </row>
    <row r="3240" spans="1:1">
      <c r="A3240" s="149" t="s">
        <v>5220</v>
      </c>
    </row>
    <row r="3241" spans="1:1">
      <c r="A3241" s="149" t="s">
        <v>5221</v>
      </c>
    </row>
    <row r="3242" spans="1:1">
      <c r="A3242" s="149" t="s">
        <v>5222</v>
      </c>
    </row>
    <row r="3243" spans="1:1">
      <c r="A3243" s="149" t="s">
        <v>5223</v>
      </c>
    </row>
    <row r="3244" spans="1:1">
      <c r="A3244" s="149" t="s">
        <v>5224</v>
      </c>
    </row>
    <row r="3245" spans="1:1">
      <c r="A3245" s="149" t="s">
        <v>5225</v>
      </c>
    </row>
    <row r="3246" spans="1:1">
      <c r="A3246" s="149" t="s">
        <v>5226</v>
      </c>
    </row>
    <row r="3247" spans="1:1">
      <c r="A3247" s="149" t="s">
        <v>5227</v>
      </c>
    </row>
    <row r="3248" spans="1:1">
      <c r="A3248" s="149" t="s">
        <v>5228</v>
      </c>
    </row>
    <row r="3249" spans="1:1">
      <c r="A3249" s="149" t="s">
        <v>5229</v>
      </c>
    </row>
    <row r="3250" spans="1:1">
      <c r="A3250" s="149" t="s">
        <v>5230</v>
      </c>
    </row>
    <row r="3251" spans="1:1">
      <c r="A3251" s="149" t="s">
        <v>5231</v>
      </c>
    </row>
    <row r="3252" spans="1:1">
      <c r="A3252" s="149" t="s">
        <v>5232</v>
      </c>
    </row>
    <row r="3253" spans="1:1">
      <c r="A3253" s="149" t="s">
        <v>5233</v>
      </c>
    </row>
    <row r="3254" spans="1:1">
      <c r="A3254" s="149" t="s">
        <v>5234</v>
      </c>
    </row>
    <row r="3255" spans="1:1">
      <c r="A3255" s="149" t="s">
        <v>5235</v>
      </c>
    </row>
    <row r="3256" spans="1:1">
      <c r="A3256" s="149" t="s">
        <v>5236</v>
      </c>
    </row>
    <row r="3257" spans="1:1">
      <c r="A3257" s="149" t="s">
        <v>5237</v>
      </c>
    </row>
    <row r="3258" spans="1:1">
      <c r="A3258" s="149" t="s">
        <v>5238</v>
      </c>
    </row>
    <row r="3259" spans="1:1">
      <c r="A3259" s="149" t="s">
        <v>5239</v>
      </c>
    </row>
    <row r="3260" spans="1:1">
      <c r="A3260" s="149" t="s">
        <v>5240</v>
      </c>
    </row>
    <row r="3261" spans="1:1">
      <c r="A3261" s="149" t="s">
        <v>5241</v>
      </c>
    </row>
    <row r="3262" spans="1:1">
      <c r="A3262" s="149" t="s">
        <v>5242</v>
      </c>
    </row>
    <row r="3263" spans="1:1">
      <c r="A3263" s="149" t="s">
        <v>5243</v>
      </c>
    </row>
    <row r="3264" spans="1:1">
      <c r="A3264" s="149" t="s">
        <v>5244</v>
      </c>
    </row>
    <row r="3265" spans="1:1">
      <c r="A3265" s="149" t="s">
        <v>5245</v>
      </c>
    </row>
    <row r="3266" spans="1:1">
      <c r="A3266" s="149" t="s">
        <v>5246</v>
      </c>
    </row>
    <row r="3267" spans="1:1">
      <c r="A3267" s="149" t="s">
        <v>5247</v>
      </c>
    </row>
    <row r="3268" spans="1:1">
      <c r="A3268" s="149" t="s">
        <v>5248</v>
      </c>
    </row>
    <row r="3269" spans="1:1">
      <c r="A3269" s="149" t="s">
        <v>5249</v>
      </c>
    </row>
    <row r="3270" spans="1:1">
      <c r="A3270" s="149" t="s">
        <v>5250</v>
      </c>
    </row>
    <row r="3271" spans="1:1">
      <c r="A3271" s="149" t="s">
        <v>5251</v>
      </c>
    </row>
    <row r="3272" spans="1:1">
      <c r="A3272" s="149" t="s">
        <v>5252</v>
      </c>
    </row>
    <row r="3273" spans="1:1">
      <c r="A3273" s="149" t="s">
        <v>5253</v>
      </c>
    </row>
    <row r="3274" spans="1:1">
      <c r="A3274" s="149" t="s">
        <v>5254</v>
      </c>
    </row>
    <row r="3275" spans="1:1">
      <c r="A3275" s="149" t="s">
        <v>5255</v>
      </c>
    </row>
    <row r="3276" spans="1:1">
      <c r="A3276" s="149" t="s">
        <v>5256</v>
      </c>
    </row>
    <row r="3277" spans="1:1">
      <c r="A3277" s="149" t="s">
        <v>5257</v>
      </c>
    </row>
    <row r="3278" spans="1:1">
      <c r="A3278" s="149" t="s">
        <v>5258</v>
      </c>
    </row>
    <row r="3279" spans="1:1">
      <c r="A3279" s="149" t="s">
        <v>5259</v>
      </c>
    </row>
    <row r="3280" spans="1:1">
      <c r="A3280" s="149" t="s">
        <v>5260</v>
      </c>
    </row>
    <row r="3281" spans="1:1">
      <c r="A3281" s="149" t="s">
        <v>5261</v>
      </c>
    </row>
    <row r="3282" spans="1:1">
      <c r="A3282" s="149" t="s">
        <v>5262</v>
      </c>
    </row>
    <row r="3283" spans="1:1">
      <c r="A3283" s="149" t="s">
        <v>5263</v>
      </c>
    </row>
    <row r="3284" spans="1:1">
      <c r="A3284" s="149" t="s">
        <v>5264</v>
      </c>
    </row>
    <row r="3285" spans="1:1">
      <c r="A3285" s="149" t="s">
        <v>5265</v>
      </c>
    </row>
    <row r="3286" spans="1:1">
      <c r="A3286" s="149" t="s">
        <v>5266</v>
      </c>
    </row>
    <row r="3287" spans="1:1">
      <c r="A3287" s="149" t="s">
        <v>5267</v>
      </c>
    </row>
    <row r="3288" spans="1:1">
      <c r="A3288" s="149" t="s">
        <v>5268</v>
      </c>
    </row>
    <row r="3289" spans="1:1">
      <c r="A3289" s="149" t="s">
        <v>5269</v>
      </c>
    </row>
    <row r="3290" spans="1:1">
      <c r="A3290" s="149" t="s">
        <v>5270</v>
      </c>
    </row>
    <row r="3291" spans="1:1">
      <c r="A3291" s="149" t="s">
        <v>5271</v>
      </c>
    </row>
    <row r="3292" spans="1:1">
      <c r="A3292" s="149" t="s">
        <v>5272</v>
      </c>
    </row>
    <row r="3293" spans="1:1">
      <c r="A3293" s="149" t="s">
        <v>5273</v>
      </c>
    </row>
    <row r="3294" spans="1:1">
      <c r="A3294" s="149" t="s">
        <v>5274</v>
      </c>
    </row>
    <row r="3295" spans="1:1">
      <c r="A3295" s="149" t="s">
        <v>5275</v>
      </c>
    </row>
    <row r="3296" spans="1:1">
      <c r="A3296" s="149" t="s">
        <v>5276</v>
      </c>
    </row>
    <row r="3297" spans="1:1">
      <c r="A3297" s="149" t="s">
        <v>5277</v>
      </c>
    </row>
    <row r="3298" spans="1:1">
      <c r="A3298" s="149" t="s">
        <v>5278</v>
      </c>
    </row>
    <row r="3299" spans="1:1">
      <c r="A3299" s="149" t="s">
        <v>5279</v>
      </c>
    </row>
    <row r="3300" spans="1:1">
      <c r="A3300" s="149" t="s">
        <v>5280</v>
      </c>
    </row>
    <row r="3301" spans="1:1">
      <c r="A3301" s="149" t="s">
        <v>5281</v>
      </c>
    </row>
    <row r="3302" spans="1:1">
      <c r="A3302" s="149" t="s">
        <v>5282</v>
      </c>
    </row>
    <row r="3303" spans="1:1">
      <c r="A3303" s="149" t="s">
        <v>5283</v>
      </c>
    </row>
    <row r="3304" spans="1:1">
      <c r="A3304" s="149" t="s">
        <v>5284</v>
      </c>
    </row>
    <row r="3305" spans="1:1">
      <c r="A3305" s="149" t="s">
        <v>5285</v>
      </c>
    </row>
    <row r="3306" spans="1:1">
      <c r="A3306" s="149" t="s">
        <v>5286</v>
      </c>
    </row>
    <row r="3307" spans="1:1">
      <c r="A3307" s="149" t="s">
        <v>5287</v>
      </c>
    </row>
    <row r="3308" spans="1:1">
      <c r="A3308" s="149" t="s">
        <v>5288</v>
      </c>
    </row>
    <row r="3309" spans="1:1">
      <c r="A3309" s="149" t="s">
        <v>5289</v>
      </c>
    </row>
    <row r="3310" spans="1:1">
      <c r="A3310" s="149" t="s">
        <v>5290</v>
      </c>
    </row>
    <row r="3311" spans="1:1">
      <c r="A3311" s="149" t="s">
        <v>5291</v>
      </c>
    </row>
    <row r="3312" spans="1:1">
      <c r="A3312" s="149" t="s">
        <v>5292</v>
      </c>
    </row>
    <row r="3313" spans="1:1">
      <c r="A3313" s="149" t="s">
        <v>5293</v>
      </c>
    </row>
    <row r="3314" spans="1:1">
      <c r="A3314" s="149" t="s">
        <v>5294</v>
      </c>
    </row>
    <row r="3315" spans="1:1">
      <c r="A3315" s="149" t="s">
        <v>5295</v>
      </c>
    </row>
    <row r="3316" spans="1:1">
      <c r="A3316" s="149" t="s">
        <v>5296</v>
      </c>
    </row>
    <row r="3317" spans="1:1">
      <c r="A3317" s="149" t="s">
        <v>5297</v>
      </c>
    </row>
    <row r="3318" spans="1:1">
      <c r="A3318" s="149" t="s">
        <v>5298</v>
      </c>
    </row>
    <row r="3319" spans="1:1">
      <c r="A3319" s="149" t="s">
        <v>5299</v>
      </c>
    </row>
    <row r="3320" spans="1:1">
      <c r="A3320" s="149" t="s">
        <v>5300</v>
      </c>
    </row>
    <row r="3321" spans="1:1">
      <c r="A3321" s="149" t="s">
        <v>5301</v>
      </c>
    </row>
    <row r="3322" spans="1:1">
      <c r="A3322" s="149" t="s">
        <v>5302</v>
      </c>
    </row>
    <row r="3323" spans="1:1">
      <c r="A3323" s="149" t="s">
        <v>5303</v>
      </c>
    </row>
    <row r="3324" spans="1:1">
      <c r="A3324" s="149" t="s">
        <v>5304</v>
      </c>
    </row>
    <row r="3325" spans="1:1">
      <c r="A3325" s="149" t="s">
        <v>5305</v>
      </c>
    </row>
    <row r="3326" spans="1:1">
      <c r="A3326" s="149" t="s">
        <v>5306</v>
      </c>
    </row>
    <row r="3327" spans="1:1">
      <c r="A3327" s="149" t="s">
        <v>5307</v>
      </c>
    </row>
    <row r="3328" spans="1:1">
      <c r="A3328" s="149" t="s">
        <v>5308</v>
      </c>
    </row>
    <row r="3329" spans="1:1">
      <c r="A3329" s="149" t="s">
        <v>5309</v>
      </c>
    </row>
    <row r="3330" spans="1:1">
      <c r="A3330" s="149" t="s">
        <v>5310</v>
      </c>
    </row>
    <row r="3331" spans="1:1">
      <c r="A3331" s="149" t="s">
        <v>5311</v>
      </c>
    </row>
    <row r="3332" spans="1:1">
      <c r="A3332" s="149" t="s">
        <v>5312</v>
      </c>
    </row>
    <row r="3333" spans="1:1">
      <c r="A3333" s="149" t="s">
        <v>5313</v>
      </c>
    </row>
    <row r="3334" spans="1:1">
      <c r="A3334" s="149" t="s">
        <v>5314</v>
      </c>
    </row>
    <row r="3335" spans="1:1">
      <c r="A3335" s="149" t="s">
        <v>5315</v>
      </c>
    </row>
    <row r="3336" spans="1:1">
      <c r="A3336" s="149" t="s">
        <v>5316</v>
      </c>
    </row>
    <row r="3337" spans="1:1">
      <c r="A3337" s="149" t="s">
        <v>5317</v>
      </c>
    </row>
    <row r="3338" spans="1:1">
      <c r="A3338" s="149" t="s">
        <v>5318</v>
      </c>
    </row>
    <row r="3339" spans="1:1">
      <c r="A3339" s="149" t="s">
        <v>5319</v>
      </c>
    </row>
    <row r="3340" spans="1:1">
      <c r="A3340" s="149" t="s">
        <v>5320</v>
      </c>
    </row>
    <row r="3341" spans="1:1">
      <c r="A3341" s="149" t="s">
        <v>5321</v>
      </c>
    </row>
    <row r="3342" spans="1:1">
      <c r="A3342" s="149" t="s">
        <v>5322</v>
      </c>
    </row>
    <row r="3343" spans="1:1">
      <c r="A3343" s="149" t="s">
        <v>5323</v>
      </c>
    </row>
    <row r="3344" spans="1:1">
      <c r="A3344" s="149" t="s">
        <v>5324</v>
      </c>
    </row>
    <row r="3345" spans="1:1">
      <c r="A3345" s="149" t="s">
        <v>5325</v>
      </c>
    </row>
    <row r="3346" spans="1:1">
      <c r="A3346" s="149" t="s">
        <v>5326</v>
      </c>
    </row>
    <row r="3347" spans="1:1">
      <c r="A3347" s="149" t="s">
        <v>5327</v>
      </c>
    </row>
    <row r="3348" spans="1:1">
      <c r="A3348" s="149" t="s">
        <v>5328</v>
      </c>
    </row>
    <row r="3349" spans="1:1">
      <c r="A3349" s="149" t="s">
        <v>5329</v>
      </c>
    </row>
    <row r="3350" spans="1:1">
      <c r="A3350" s="149" t="s">
        <v>5330</v>
      </c>
    </row>
    <row r="3351" spans="1:1">
      <c r="A3351" s="149" t="s">
        <v>5331</v>
      </c>
    </row>
    <row r="3352" spans="1:1">
      <c r="A3352" s="149" t="s">
        <v>5332</v>
      </c>
    </row>
    <row r="3353" spans="1:1">
      <c r="A3353" s="149" t="s">
        <v>5333</v>
      </c>
    </row>
    <row r="3354" spans="1:1">
      <c r="A3354" s="149" t="s">
        <v>5334</v>
      </c>
    </row>
    <row r="3355" spans="1:1">
      <c r="A3355" s="149" t="s">
        <v>5335</v>
      </c>
    </row>
    <row r="3356" spans="1:1">
      <c r="A3356" s="149" t="s">
        <v>5336</v>
      </c>
    </row>
    <row r="3357" spans="1:1">
      <c r="A3357" s="149" t="s">
        <v>5337</v>
      </c>
    </row>
    <row r="3358" spans="1:1">
      <c r="A3358" s="149" t="s">
        <v>5338</v>
      </c>
    </row>
    <row r="3359" spans="1:1">
      <c r="A3359" s="149" t="s">
        <v>5339</v>
      </c>
    </row>
    <row r="3360" spans="1:1">
      <c r="A3360" s="149" t="s">
        <v>5340</v>
      </c>
    </row>
    <row r="3361" spans="1:1">
      <c r="A3361" s="149" t="s">
        <v>5341</v>
      </c>
    </row>
    <row r="3362" spans="1:1">
      <c r="A3362" s="149" t="s">
        <v>5342</v>
      </c>
    </row>
    <row r="3363" spans="1:1">
      <c r="A3363" s="149" t="s">
        <v>5343</v>
      </c>
    </row>
    <row r="3364" spans="1:1">
      <c r="A3364" s="149" t="s">
        <v>5344</v>
      </c>
    </row>
    <row r="3365" spans="1:1">
      <c r="A3365" s="149" t="s">
        <v>5345</v>
      </c>
    </row>
    <row r="3366" spans="1:1">
      <c r="A3366" s="149" t="s">
        <v>5346</v>
      </c>
    </row>
    <row r="3367" spans="1:1">
      <c r="A3367" s="149" t="s">
        <v>5347</v>
      </c>
    </row>
    <row r="3368" spans="1:1">
      <c r="A3368" s="149" t="s">
        <v>5348</v>
      </c>
    </row>
    <row r="3369" spans="1:1">
      <c r="A3369" s="149" t="s">
        <v>5349</v>
      </c>
    </row>
    <row r="3370" spans="1:1">
      <c r="A3370" s="149" t="s">
        <v>5350</v>
      </c>
    </row>
    <row r="3371" spans="1:1">
      <c r="A3371" s="149" t="s">
        <v>5351</v>
      </c>
    </row>
    <row r="3372" spans="1:1">
      <c r="A3372" s="149" t="s">
        <v>5352</v>
      </c>
    </row>
    <row r="3373" spans="1:1">
      <c r="A3373" s="149" t="s">
        <v>5353</v>
      </c>
    </row>
    <row r="3374" spans="1:1">
      <c r="A3374" s="149" t="s">
        <v>5354</v>
      </c>
    </row>
    <row r="3375" spans="1:1">
      <c r="A3375" s="149" t="s">
        <v>5355</v>
      </c>
    </row>
    <row r="3376" spans="1:1">
      <c r="A3376" s="149" t="s">
        <v>5356</v>
      </c>
    </row>
    <row r="3377" spans="1:1">
      <c r="A3377" s="149" t="s">
        <v>5357</v>
      </c>
    </row>
    <row r="3378" spans="1:1">
      <c r="A3378" s="149" t="s">
        <v>5358</v>
      </c>
    </row>
    <row r="3379" spans="1:1">
      <c r="A3379" s="149" t="s">
        <v>5359</v>
      </c>
    </row>
    <row r="3380" spans="1:1">
      <c r="A3380" s="149" t="s">
        <v>5360</v>
      </c>
    </row>
    <row r="3381" spans="1:1">
      <c r="A3381" s="149" t="s">
        <v>5361</v>
      </c>
    </row>
    <row r="3382" spans="1:1">
      <c r="A3382" s="149" t="s">
        <v>5362</v>
      </c>
    </row>
    <row r="3383" spans="1:1">
      <c r="A3383" s="149" t="s">
        <v>5363</v>
      </c>
    </row>
    <row r="3384" spans="1:1">
      <c r="A3384" s="149" t="s">
        <v>5364</v>
      </c>
    </row>
    <row r="3385" spans="1:1">
      <c r="A3385" s="149" t="s">
        <v>5365</v>
      </c>
    </row>
    <row r="3386" spans="1:1">
      <c r="A3386" s="149" t="s">
        <v>5366</v>
      </c>
    </row>
    <row r="3387" spans="1:1">
      <c r="A3387" s="149" t="s">
        <v>5367</v>
      </c>
    </row>
    <row r="3388" spans="1:1">
      <c r="A3388" s="149" t="s">
        <v>5368</v>
      </c>
    </row>
    <row r="3389" spans="1:1">
      <c r="A3389" s="149" t="s">
        <v>5369</v>
      </c>
    </row>
    <row r="3390" spans="1:1">
      <c r="A3390" s="149" t="s">
        <v>5370</v>
      </c>
    </row>
    <row r="3391" spans="1:1">
      <c r="A3391" s="149" t="s">
        <v>5371</v>
      </c>
    </row>
    <row r="3392" spans="1:1">
      <c r="A3392" s="149" t="s">
        <v>5372</v>
      </c>
    </row>
    <row r="3393" spans="1:1">
      <c r="A3393" s="149" t="s">
        <v>5373</v>
      </c>
    </row>
    <row r="3394" spans="1:1">
      <c r="A3394" s="149" t="s">
        <v>5374</v>
      </c>
    </row>
    <row r="3395" spans="1:1">
      <c r="A3395" s="149" t="s">
        <v>5375</v>
      </c>
    </row>
    <row r="3396" spans="1:1">
      <c r="A3396" s="149" t="s">
        <v>5376</v>
      </c>
    </row>
    <row r="3397" spans="1:1">
      <c r="A3397" s="149" t="s">
        <v>5377</v>
      </c>
    </row>
    <row r="3398" spans="1:1">
      <c r="A3398" s="149" t="s">
        <v>5378</v>
      </c>
    </row>
    <row r="3399" spans="1:1">
      <c r="A3399" s="149" t="s">
        <v>5379</v>
      </c>
    </row>
    <row r="3400" spans="1:1">
      <c r="A3400" s="149" t="s">
        <v>5380</v>
      </c>
    </row>
    <row r="3401" spans="1:1">
      <c r="A3401" s="149" t="s">
        <v>5381</v>
      </c>
    </row>
    <row r="3402" spans="1:1">
      <c r="A3402" s="149" t="s">
        <v>5382</v>
      </c>
    </row>
    <row r="3403" spans="1:1">
      <c r="A3403" s="149" t="s">
        <v>5383</v>
      </c>
    </row>
    <row r="3404" spans="1:1">
      <c r="A3404" s="149" t="s">
        <v>5384</v>
      </c>
    </row>
    <row r="3405" spans="1:1">
      <c r="A3405" s="149" t="s">
        <v>5385</v>
      </c>
    </row>
    <row r="3406" spans="1:1">
      <c r="A3406" s="149" t="s">
        <v>5386</v>
      </c>
    </row>
    <row r="3407" spans="1:1">
      <c r="A3407" s="149" t="s">
        <v>5387</v>
      </c>
    </row>
    <row r="3408" spans="1:1">
      <c r="A3408" s="149" t="s">
        <v>5388</v>
      </c>
    </row>
    <row r="3409" spans="1:1">
      <c r="A3409" s="149" t="s">
        <v>5389</v>
      </c>
    </row>
    <row r="3410" spans="1:1">
      <c r="A3410" s="149" t="s">
        <v>5390</v>
      </c>
    </row>
    <row r="3411" spans="1:1">
      <c r="A3411" s="149" t="s">
        <v>5391</v>
      </c>
    </row>
    <row r="3412" spans="1:1">
      <c r="A3412" s="149" t="s">
        <v>5392</v>
      </c>
    </row>
    <row r="3413" spans="1:1">
      <c r="A3413" s="149" t="s">
        <v>5393</v>
      </c>
    </row>
    <row r="3414" spans="1:1">
      <c r="A3414" s="149" t="s">
        <v>5394</v>
      </c>
    </row>
    <row r="3415" spans="1:1">
      <c r="A3415" s="149" t="s">
        <v>5395</v>
      </c>
    </row>
    <row r="3416" spans="1:1">
      <c r="A3416" s="149" t="s">
        <v>5396</v>
      </c>
    </row>
    <row r="3417" spans="1:1">
      <c r="A3417" s="149" t="s">
        <v>5397</v>
      </c>
    </row>
    <row r="3418" spans="1:1">
      <c r="A3418" s="149" t="s">
        <v>5398</v>
      </c>
    </row>
    <row r="3419" spans="1:1">
      <c r="A3419" s="149" t="s">
        <v>5399</v>
      </c>
    </row>
    <row r="3420" spans="1:1">
      <c r="A3420" s="149" t="s">
        <v>5400</v>
      </c>
    </row>
    <row r="3421" spans="1:1">
      <c r="A3421" s="149" t="s">
        <v>5401</v>
      </c>
    </row>
    <row r="3422" spans="1:1">
      <c r="A3422" s="149" t="s">
        <v>5402</v>
      </c>
    </row>
    <row r="3423" spans="1:1">
      <c r="A3423" s="149" t="s">
        <v>5403</v>
      </c>
    </row>
    <row r="3424" spans="1:1">
      <c r="A3424" s="149" t="s">
        <v>5404</v>
      </c>
    </row>
    <row r="3425" spans="1:1">
      <c r="A3425" s="149" t="s">
        <v>5405</v>
      </c>
    </row>
    <row r="3426" spans="1:1">
      <c r="A3426" s="149" t="s">
        <v>5406</v>
      </c>
    </row>
    <row r="3427" spans="1:1">
      <c r="A3427" s="149" t="s">
        <v>5407</v>
      </c>
    </row>
    <row r="3428" spans="1:1">
      <c r="A3428" s="149" t="s">
        <v>5408</v>
      </c>
    </row>
    <row r="3429" spans="1:1">
      <c r="A3429" s="149" t="s">
        <v>5409</v>
      </c>
    </row>
    <row r="3430" spans="1:1">
      <c r="A3430" s="149" t="s">
        <v>5410</v>
      </c>
    </row>
    <row r="3431" spans="1:1">
      <c r="A3431" s="149" t="s">
        <v>5411</v>
      </c>
    </row>
    <row r="3432" spans="1:1">
      <c r="A3432" s="149" t="s">
        <v>5412</v>
      </c>
    </row>
    <row r="3433" spans="1:1">
      <c r="A3433" s="149" t="s">
        <v>5413</v>
      </c>
    </row>
    <row r="3434" spans="1:1">
      <c r="A3434" s="149" t="s">
        <v>5414</v>
      </c>
    </row>
    <row r="3435" spans="1:1">
      <c r="A3435" s="149" t="s">
        <v>5415</v>
      </c>
    </row>
    <row r="3436" spans="1:1">
      <c r="A3436" s="149" t="s">
        <v>5416</v>
      </c>
    </row>
    <row r="3437" spans="1:1">
      <c r="A3437" s="149" t="s">
        <v>5417</v>
      </c>
    </row>
    <row r="3438" spans="1:1">
      <c r="A3438" s="149" t="s">
        <v>5418</v>
      </c>
    </row>
    <row r="3439" spans="1:1">
      <c r="A3439" s="149" t="s">
        <v>5419</v>
      </c>
    </row>
    <row r="3440" spans="1:1">
      <c r="A3440" s="149" t="s">
        <v>5420</v>
      </c>
    </row>
    <row r="3441" spans="1:1">
      <c r="A3441" s="149" t="s">
        <v>5421</v>
      </c>
    </row>
    <row r="3442" spans="1:1">
      <c r="A3442" s="149" t="s">
        <v>5422</v>
      </c>
    </row>
    <row r="3443" spans="1:1">
      <c r="A3443" s="149" t="s">
        <v>5423</v>
      </c>
    </row>
    <row r="3444" spans="1:1">
      <c r="A3444" s="149" t="s">
        <v>5424</v>
      </c>
    </row>
    <row r="3445" spans="1:1">
      <c r="A3445" s="149" t="s">
        <v>5425</v>
      </c>
    </row>
    <row r="3446" spans="1:1">
      <c r="A3446" s="149" t="s">
        <v>5426</v>
      </c>
    </row>
    <row r="3447" spans="1:1">
      <c r="A3447" s="149" t="s">
        <v>5427</v>
      </c>
    </row>
    <row r="3448" spans="1:1">
      <c r="A3448" s="149" t="s">
        <v>5428</v>
      </c>
    </row>
    <row r="3449" spans="1:1">
      <c r="A3449" s="149" t="s">
        <v>5429</v>
      </c>
    </row>
    <row r="3450" spans="1:1">
      <c r="A3450" s="149" t="s">
        <v>5430</v>
      </c>
    </row>
    <row r="3451" spans="1:1">
      <c r="A3451" s="149" t="s">
        <v>5431</v>
      </c>
    </row>
    <row r="3452" spans="1:1">
      <c r="A3452" s="149" t="s">
        <v>5432</v>
      </c>
    </row>
    <row r="3453" spans="1:1">
      <c r="A3453" s="149" t="s">
        <v>5433</v>
      </c>
    </row>
    <row r="3454" spans="1:1">
      <c r="A3454" s="149" t="s">
        <v>5434</v>
      </c>
    </row>
    <row r="3455" spans="1:1">
      <c r="A3455" s="149" t="s">
        <v>5435</v>
      </c>
    </row>
    <row r="3456" spans="1:1">
      <c r="A3456" s="149" t="s">
        <v>5436</v>
      </c>
    </row>
    <row r="3457" spans="1:1">
      <c r="A3457" s="149" t="s">
        <v>5437</v>
      </c>
    </row>
    <row r="3458" spans="1:1">
      <c r="A3458" s="149" t="s">
        <v>5438</v>
      </c>
    </row>
    <row r="3459" spans="1:1">
      <c r="A3459" s="149" t="s">
        <v>5439</v>
      </c>
    </row>
    <row r="3460" spans="1:1">
      <c r="A3460" s="149" t="s">
        <v>5440</v>
      </c>
    </row>
    <row r="3461" spans="1:1">
      <c r="A3461" s="149" t="s">
        <v>5441</v>
      </c>
    </row>
    <row r="3462" spans="1:1">
      <c r="A3462" s="149" t="s">
        <v>5442</v>
      </c>
    </row>
    <row r="3463" spans="1:1">
      <c r="A3463" s="149" t="s">
        <v>5443</v>
      </c>
    </row>
    <row r="3464" spans="1:1">
      <c r="A3464" s="149" t="s">
        <v>5444</v>
      </c>
    </row>
    <row r="3465" spans="1:1">
      <c r="A3465" s="149" t="s">
        <v>5445</v>
      </c>
    </row>
    <row r="3466" spans="1:1">
      <c r="A3466" s="149" t="s">
        <v>5446</v>
      </c>
    </row>
    <row r="3467" spans="1:1">
      <c r="A3467" s="149" t="s">
        <v>5447</v>
      </c>
    </row>
    <row r="3468" spans="1:1">
      <c r="A3468" s="149" t="s">
        <v>5448</v>
      </c>
    </row>
    <row r="3469" spans="1:1">
      <c r="A3469" s="149" t="s">
        <v>5449</v>
      </c>
    </row>
    <row r="3470" spans="1:1">
      <c r="A3470" s="149" t="s">
        <v>5450</v>
      </c>
    </row>
    <row r="3471" spans="1:1">
      <c r="A3471" s="149" t="s">
        <v>5451</v>
      </c>
    </row>
    <row r="3472" spans="1:1">
      <c r="A3472" s="149" t="s">
        <v>5452</v>
      </c>
    </row>
    <row r="3473" spans="1:1">
      <c r="A3473" s="149" t="s">
        <v>5453</v>
      </c>
    </row>
    <row r="3474" spans="1:1">
      <c r="A3474" s="149" t="s">
        <v>5454</v>
      </c>
    </row>
    <row r="3475" spans="1:1">
      <c r="A3475" s="149" t="s">
        <v>5455</v>
      </c>
    </row>
    <row r="3476" spans="1:1">
      <c r="A3476" s="149" t="s">
        <v>5456</v>
      </c>
    </row>
    <row r="3477" spans="1:1">
      <c r="A3477" s="149" t="s">
        <v>5457</v>
      </c>
    </row>
    <row r="3478" spans="1:1">
      <c r="A3478" s="149" t="s">
        <v>5458</v>
      </c>
    </row>
    <row r="3479" spans="1:1">
      <c r="A3479" s="149" t="s">
        <v>5459</v>
      </c>
    </row>
    <row r="3480" spans="1:1">
      <c r="A3480" s="149" t="s">
        <v>5460</v>
      </c>
    </row>
    <row r="3481" spans="1:1">
      <c r="A3481" s="149" t="s">
        <v>5461</v>
      </c>
    </row>
    <row r="3482" spans="1:1">
      <c r="A3482" s="149" t="s">
        <v>5462</v>
      </c>
    </row>
    <row r="3483" spans="1:1">
      <c r="A3483" s="149" t="s">
        <v>5463</v>
      </c>
    </row>
    <row r="3484" spans="1:1">
      <c r="A3484" s="149" t="s">
        <v>5464</v>
      </c>
    </row>
    <row r="3485" spans="1:1">
      <c r="A3485" s="149" t="s">
        <v>5465</v>
      </c>
    </row>
    <row r="3486" spans="1:1">
      <c r="A3486" s="149" t="s">
        <v>5466</v>
      </c>
    </row>
    <row r="3487" spans="1:1">
      <c r="A3487" s="149" t="s">
        <v>5467</v>
      </c>
    </row>
    <row r="3488" spans="1:1">
      <c r="A3488" s="149" t="s">
        <v>5468</v>
      </c>
    </row>
    <row r="3489" spans="1:1">
      <c r="A3489" s="149" t="s">
        <v>5469</v>
      </c>
    </row>
    <row r="3490" spans="1:1">
      <c r="A3490" s="149" t="s">
        <v>5470</v>
      </c>
    </row>
    <row r="3491" spans="1:1">
      <c r="A3491" s="149" t="s">
        <v>5471</v>
      </c>
    </row>
    <row r="3492" spans="1:1">
      <c r="A3492" s="149" t="s">
        <v>5472</v>
      </c>
    </row>
    <row r="3493" spans="1:1">
      <c r="A3493" s="149" t="s">
        <v>5473</v>
      </c>
    </row>
    <row r="3494" spans="1:1">
      <c r="A3494" s="149" t="s">
        <v>5474</v>
      </c>
    </row>
    <row r="3495" spans="1:1">
      <c r="A3495" s="149" t="s">
        <v>5475</v>
      </c>
    </row>
    <row r="3496" spans="1:1">
      <c r="A3496" s="149" t="s">
        <v>5476</v>
      </c>
    </row>
    <row r="3497" spans="1:1">
      <c r="A3497" s="149" t="s">
        <v>5477</v>
      </c>
    </row>
    <row r="3498" spans="1:1">
      <c r="A3498" s="149" t="s">
        <v>5478</v>
      </c>
    </row>
    <row r="3499" spans="1:1">
      <c r="A3499" s="149" t="s">
        <v>5479</v>
      </c>
    </row>
    <row r="3500" spans="1:1">
      <c r="A3500" s="149" t="s">
        <v>5480</v>
      </c>
    </row>
    <row r="3501" spans="1:1">
      <c r="A3501" s="149" t="s">
        <v>5481</v>
      </c>
    </row>
    <row r="3502" spans="1:1">
      <c r="A3502" s="149" t="s">
        <v>5482</v>
      </c>
    </row>
    <row r="3503" spans="1:1">
      <c r="A3503" s="149" t="s">
        <v>5483</v>
      </c>
    </row>
    <row r="3504" spans="1:1">
      <c r="A3504" s="149" t="s">
        <v>5484</v>
      </c>
    </row>
    <row r="3505" spans="1:1">
      <c r="A3505" s="149" t="s">
        <v>5485</v>
      </c>
    </row>
    <row r="3506" spans="1:1">
      <c r="A3506" s="149" t="s">
        <v>5486</v>
      </c>
    </row>
    <row r="3507" spans="1:1">
      <c r="A3507" s="149" t="s">
        <v>5487</v>
      </c>
    </row>
    <row r="3508" spans="1:1">
      <c r="A3508" s="149" t="s">
        <v>5488</v>
      </c>
    </row>
    <row r="3509" spans="1:1">
      <c r="A3509" s="149" t="s">
        <v>5489</v>
      </c>
    </row>
    <row r="3510" spans="1:1">
      <c r="A3510" s="149" t="s">
        <v>5490</v>
      </c>
    </row>
    <row r="3511" spans="1:1">
      <c r="A3511" s="149" t="s">
        <v>5491</v>
      </c>
    </row>
    <row r="3512" spans="1:1">
      <c r="A3512" s="149" t="s">
        <v>5492</v>
      </c>
    </row>
    <row r="3513" spans="1:1">
      <c r="A3513" s="149" t="s">
        <v>5493</v>
      </c>
    </row>
    <row r="3514" spans="1:1">
      <c r="A3514" s="149" t="s">
        <v>5494</v>
      </c>
    </row>
    <row r="3515" spans="1:1">
      <c r="A3515" s="149" t="s">
        <v>5495</v>
      </c>
    </row>
    <row r="3516" spans="1:1">
      <c r="A3516" s="149" t="s">
        <v>5496</v>
      </c>
    </row>
    <row r="3517" spans="1:1">
      <c r="A3517" s="149" t="s">
        <v>5497</v>
      </c>
    </row>
    <row r="3518" spans="1:1">
      <c r="A3518" s="149" t="s">
        <v>5498</v>
      </c>
    </row>
    <row r="3519" spans="1:1">
      <c r="A3519" s="149" t="s">
        <v>5499</v>
      </c>
    </row>
    <row r="3520" spans="1:1">
      <c r="A3520" s="149" t="s">
        <v>5500</v>
      </c>
    </row>
    <row r="3521" spans="1:1">
      <c r="A3521" s="149" t="s">
        <v>5501</v>
      </c>
    </row>
    <row r="3522" spans="1:1">
      <c r="A3522" s="149" t="s">
        <v>5502</v>
      </c>
    </row>
    <row r="3523" spans="1:1">
      <c r="A3523" s="149" t="s">
        <v>5503</v>
      </c>
    </row>
    <row r="3524" spans="1:1">
      <c r="A3524" s="149" t="s">
        <v>5504</v>
      </c>
    </row>
    <row r="3525" spans="1:1">
      <c r="A3525" s="149" t="s">
        <v>5505</v>
      </c>
    </row>
    <row r="3526" spans="1:1">
      <c r="A3526" s="149" t="s">
        <v>5506</v>
      </c>
    </row>
    <row r="3527" spans="1:1">
      <c r="A3527" s="149" t="s">
        <v>5507</v>
      </c>
    </row>
    <row r="3528" spans="1:1">
      <c r="A3528" s="149" t="s">
        <v>5508</v>
      </c>
    </row>
    <row r="3529" spans="1:1">
      <c r="A3529" s="149" t="s">
        <v>5509</v>
      </c>
    </row>
    <row r="3530" spans="1:1">
      <c r="A3530" s="149" t="s">
        <v>5510</v>
      </c>
    </row>
    <row r="3531" spans="1:1">
      <c r="A3531" s="149" t="s">
        <v>5511</v>
      </c>
    </row>
    <row r="3532" spans="1:1">
      <c r="A3532" s="149" t="s">
        <v>5512</v>
      </c>
    </row>
    <row r="3533" spans="1:1">
      <c r="A3533" s="149" t="s">
        <v>5513</v>
      </c>
    </row>
    <row r="3534" spans="1:1">
      <c r="A3534" s="149" t="s">
        <v>5514</v>
      </c>
    </row>
    <row r="3535" spans="1:1">
      <c r="A3535" s="149" t="s">
        <v>5515</v>
      </c>
    </row>
    <row r="3536" spans="1:1">
      <c r="A3536" s="149" t="s">
        <v>5516</v>
      </c>
    </row>
    <row r="3537" spans="1:1">
      <c r="A3537" s="149" t="s">
        <v>5517</v>
      </c>
    </row>
    <row r="3538" spans="1:1">
      <c r="A3538" s="149" t="s">
        <v>5518</v>
      </c>
    </row>
    <row r="3539" spans="1:1">
      <c r="A3539" s="149" t="s">
        <v>5519</v>
      </c>
    </row>
    <row r="3540" spans="1:1">
      <c r="A3540" s="149" t="s">
        <v>5520</v>
      </c>
    </row>
    <row r="3541" spans="1:1">
      <c r="A3541" s="149" t="s">
        <v>5521</v>
      </c>
    </row>
    <row r="3542" spans="1:1">
      <c r="A3542" s="149" t="s">
        <v>5522</v>
      </c>
    </row>
    <row r="3543" spans="1:1">
      <c r="A3543" s="149" t="s">
        <v>5523</v>
      </c>
    </row>
    <row r="3544" spans="1:1">
      <c r="A3544" s="149" t="s">
        <v>5524</v>
      </c>
    </row>
    <row r="3545" spans="1:1">
      <c r="A3545" s="149" t="s">
        <v>5525</v>
      </c>
    </row>
    <row r="3546" spans="1:1">
      <c r="A3546" s="149" t="s">
        <v>5526</v>
      </c>
    </row>
    <row r="3547" spans="1:1">
      <c r="A3547" s="149" t="s">
        <v>5527</v>
      </c>
    </row>
    <row r="3548" spans="1:1">
      <c r="A3548" s="149" t="s">
        <v>5528</v>
      </c>
    </row>
    <row r="3549" spans="1:1">
      <c r="A3549" s="149" t="s">
        <v>5529</v>
      </c>
    </row>
    <row r="3550" spans="1:1">
      <c r="A3550" s="149" t="s">
        <v>5530</v>
      </c>
    </row>
    <row r="3551" spans="1:1">
      <c r="A3551" s="149" t="s">
        <v>5531</v>
      </c>
    </row>
    <row r="3552" spans="1:1">
      <c r="A3552" s="149" t="s">
        <v>5532</v>
      </c>
    </row>
    <row r="3553" spans="1:1">
      <c r="A3553" s="149" t="s">
        <v>5533</v>
      </c>
    </row>
    <row r="3554" spans="1:1">
      <c r="A3554" s="149" t="s">
        <v>5534</v>
      </c>
    </row>
    <row r="3555" spans="1:1">
      <c r="A3555" s="149" t="s">
        <v>5535</v>
      </c>
    </row>
    <row r="3556" spans="1:1">
      <c r="A3556" s="149" t="s">
        <v>5536</v>
      </c>
    </row>
    <row r="3557" spans="1:1">
      <c r="A3557" s="149" t="s">
        <v>5537</v>
      </c>
    </row>
    <row r="3558" spans="1:1">
      <c r="A3558" s="149" t="s">
        <v>5538</v>
      </c>
    </row>
    <row r="3559" spans="1:1">
      <c r="A3559" s="149" t="s">
        <v>5539</v>
      </c>
    </row>
    <row r="3560" spans="1:1">
      <c r="A3560" s="149" t="s">
        <v>5540</v>
      </c>
    </row>
    <row r="3561" spans="1:1">
      <c r="A3561" s="149" t="s">
        <v>5541</v>
      </c>
    </row>
    <row r="3562" spans="1:1">
      <c r="A3562" s="149" t="s">
        <v>5542</v>
      </c>
    </row>
    <row r="3563" spans="1:1">
      <c r="A3563" s="149" t="s">
        <v>5543</v>
      </c>
    </row>
    <row r="3564" spans="1:1">
      <c r="A3564" s="149" t="s">
        <v>5544</v>
      </c>
    </row>
    <row r="3565" spans="1:1">
      <c r="A3565" s="149" t="s">
        <v>5545</v>
      </c>
    </row>
    <row r="3566" spans="1:1">
      <c r="A3566" s="149" t="s">
        <v>5546</v>
      </c>
    </row>
    <row r="3567" spans="1:1">
      <c r="A3567" s="149" t="s">
        <v>5547</v>
      </c>
    </row>
    <row r="3568" spans="1:1">
      <c r="A3568" s="149" t="s">
        <v>5548</v>
      </c>
    </row>
    <row r="3569" spans="1:1">
      <c r="A3569" s="149" t="s">
        <v>5549</v>
      </c>
    </row>
    <row r="3570" spans="1:1">
      <c r="A3570" s="149" t="s">
        <v>5550</v>
      </c>
    </row>
    <row r="3571" spans="1:1">
      <c r="A3571" s="149" t="s">
        <v>5551</v>
      </c>
    </row>
    <row r="3572" spans="1:1">
      <c r="A3572" s="149" t="s">
        <v>5552</v>
      </c>
    </row>
    <row r="3573" spans="1:1">
      <c r="A3573" s="149" t="s">
        <v>5553</v>
      </c>
    </row>
    <row r="3574" spans="1:1">
      <c r="A3574" s="149" t="s">
        <v>5554</v>
      </c>
    </row>
    <row r="3575" spans="1:1">
      <c r="A3575" s="149" t="s">
        <v>5555</v>
      </c>
    </row>
    <row r="3576" spans="1:1">
      <c r="A3576" s="149" t="s">
        <v>5556</v>
      </c>
    </row>
    <row r="3577" spans="1:1">
      <c r="A3577" s="149" t="s">
        <v>5557</v>
      </c>
    </row>
    <row r="3578" spans="1:1">
      <c r="A3578" s="149" t="s">
        <v>5558</v>
      </c>
    </row>
    <row r="3579" spans="1:1">
      <c r="A3579" s="149" t="s">
        <v>5559</v>
      </c>
    </row>
    <row r="3580" spans="1:1">
      <c r="A3580" s="149" t="s">
        <v>5560</v>
      </c>
    </row>
    <row r="3581" spans="1:1">
      <c r="A3581" s="149" t="s">
        <v>5561</v>
      </c>
    </row>
    <row r="3582" spans="1:1">
      <c r="A3582" s="149" t="s">
        <v>5562</v>
      </c>
    </row>
    <row r="3583" spans="1:1">
      <c r="A3583" s="149" t="s">
        <v>5563</v>
      </c>
    </row>
    <row r="3584" spans="1:1">
      <c r="A3584" s="149" t="s">
        <v>5564</v>
      </c>
    </row>
    <row r="3585" spans="1:1">
      <c r="A3585" s="149" t="s">
        <v>5565</v>
      </c>
    </row>
    <row r="3586" spans="1:1">
      <c r="A3586" s="149" t="s">
        <v>5566</v>
      </c>
    </row>
    <row r="3587" spans="1:1">
      <c r="A3587" s="149" t="s">
        <v>5567</v>
      </c>
    </row>
    <row r="3588" spans="1:1">
      <c r="A3588" s="149" t="s">
        <v>5568</v>
      </c>
    </row>
    <row r="3589" spans="1:1">
      <c r="A3589" s="149" t="s">
        <v>5569</v>
      </c>
    </row>
    <row r="3590" spans="1:1">
      <c r="A3590" s="149" t="s">
        <v>5570</v>
      </c>
    </row>
    <row r="3591" spans="1:1">
      <c r="A3591" s="149" t="s">
        <v>5571</v>
      </c>
    </row>
    <row r="3592" spans="1:1">
      <c r="A3592" s="149" t="s">
        <v>5572</v>
      </c>
    </row>
    <row r="3593" spans="1:1">
      <c r="A3593" s="149" t="s">
        <v>5573</v>
      </c>
    </row>
    <row r="3594" spans="1:1">
      <c r="A3594" s="149" t="s">
        <v>5574</v>
      </c>
    </row>
    <row r="3595" spans="1:1">
      <c r="A3595" s="149" t="s">
        <v>5575</v>
      </c>
    </row>
    <row r="3596" spans="1:1">
      <c r="A3596" s="149" t="s">
        <v>5576</v>
      </c>
    </row>
    <row r="3597" spans="1:1">
      <c r="A3597" s="149" t="s">
        <v>5577</v>
      </c>
    </row>
    <row r="3598" spans="1:1">
      <c r="A3598" s="149" t="s">
        <v>5578</v>
      </c>
    </row>
    <row r="3599" spans="1:1">
      <c r="A3599" s="149" t="s">
        <v>5579</v>
      </c>
    </row>
    <row r="3600" spans="1:1">
      <c r="A3600" s="149" t="s">
        <v>5580</v>
      </c>
    </row>
    <row r="3601" spans="1:1">
      <c r="A3601" s="149" t="s">
        <v>5581</v>
      </c>
    </row>
    <row r="3602" spans="1:1">
      <c r="A3602" s="149" t="s">
        <v>5582</v>
      </c>
    </row>
    <row r="3603" spans="1:1">
      <c r="A3603" s="149" t="s">
        <v>5583</v>
      </c>
    </row>
    <row r="3604" spans="1:1">
      <c r="A3604" s="149" t="s">
        <v>5584</v>
      </c>
    </row>
    <row r="3605" spans="1:1">
      <c r="A3605" s="149" t="s">
        <v>5585</v>
      </c>
    </row>
    <row r="3606" spans="1:1">
      <c r="A3606" s="149" t="s">
        <v>5586</v>
      </c>
    </row>
    <row r="3607" spans="1:1">
      <c r="A3607" s="149" t="s">
        <v>5587</v>
      </c>
    </row>
    <row r="3608" spans="1:1">
      <c r="A3608" s="149" t="s">
        <v>5588</v>
      </c>
    </row>
    <row r="3609" spans="1:1">
      <c r="A3609" s="149" t="s">
        <v>5589</v>
      </c>
    </row>
    <row r="3610" spans="1:1">
      <c r="A3610" s="149" t="s">
        <v>5590</v>
      </c>
    </row>
    <row r="3611" spans="1:1">
      <c r="A3611" s="149" t="s">
        <v>5591</v>
      </c>
    </row>
    <row r="3612" spans="1:1">
      <c r="A3612" s="149" t="s">
        <v>5592</v>
      </c>
    </row>
    <row r="3613" spans="1:1">
      <c r="A3613" s="149" t="s">
        <v>5593</v>
      </c>
    </row>
    <row r="3614" spans="1:1">
      <c r="A3614" s="149" t="s">
        <v>5594</v>
      </c>
    </row>
    <row r="3615" spans="1:1">
      <c r="A3615" s="149" t="s">
        <v>5595</v>
      </c>
    </row>
    <row r="3616" spans="1:1">
      <c r="A3616" s="149" t="s">
        <v>5596</v>
      </c>
    </row>
    <row r="3617" spans="1:1">
      <c r="A3617" s="149" t="s">
        <v>5597</v>
      </c>
    </row>
    <row r="3618" spans="1:1">
      <c r="A3618" s="149" t="s">
        <v>5598</v>
      </c>
    </row>
    <row r="3619" spans="1:1">
      <c r="A3619" s="149" t="s">
        <v>5599</v>
      </c>
    </row>
    <row r="3620" spans="1:1">
      <c r="A3620" s="149" t="s">
        <v>5600</v>
      </c>
    </row>
    <row r="3621" spans="1:1">
      <c r="A3621" s="149" t="s">
        <v>5601</v>
      </c>
    </row>
    <row r="3622" spans="1:1">
      <c r="A3622" s="149" t="s">
        <v>5602</v>
      </c>
    </row>
    <row r="3623" spans="1:1">
      <c r="A3623" s="149" t="s">
        <v>5603</v>
      </c>
    </row>
    <row r="3624" spans="1:1">
      <c r="A3624" s="149" t="s">
        <v>5604</v>
      </c>
    </row>
    <row r="3625" spans="1:1">
      <c r="A3625" s="149" t="s">
        <v>5605</v>
      </c>
    </row>
    <row r="3626" spans="1:1">
      <c r="A3626" s="149" t="s">
        <v>5606</v>
      </c>
    </row>
    <row r="3627" spans="1:1">
      <c r="A3627" s="149" t="s">
        <v>5607</v>
      </c>
    </row>
    <row r="3628" spans="1:1">
      <c r="A3628" s="149" t="s">
        <v>5608</v>
      </c>
    </row>
    <row r="3629" spans="1:1">
      <c r="A3629" s="149" t="s">
        <v>5609</v>
      </c>
    </row>
    <row r="3630" spans="1:1">
      <c r="A3630" s="149" t="s">
        <v>5610</v>
      </c>
    </row>
    <row r="3631" spans="1:1">
      <c r="A3631" s="149" t="s">
        <v>5611</v>
      </c>
    </row>
    <row r="3632" spans="1:1">
      <c r="A3632" s="149" t="s">
        <v>5612</v>
      </c>
    </row>
    <row r="3633" spans="1:1">
      <c r="A3633" s="149" t="s">
        <v>5613</v>
      </c>
    </row>
    <row r="3634" spans="1:1">
      <c r="A3634" s="149" t="s">
        <v>5614</v>
      </c>
    </row>
    <row r="3635" spans="1:1">
      <c r="A3635" s="149" t="s">
        <v>5615</v>
      </c>
    </row>
    <row r="3636" spans="1:1">
      <c r="A3636" s="149" t="s">
        <v>5616</v>
      </c>
    </row>
    <row r="3637" spans="1:1">
      <c r="A3637" s="149" t="s">
        <v>5617</v>
      </c>
    </row>
    <row r="3638" spans="1:1">
      <c r="A3638" s="149" t="s">
        <v>5618</v>
      </c>
    </row>
    <row r="3639" spans="1:1">
      <c r="A3639" s="149" t="s">
        <v>5619</v>
      </c>
    </row>
    <row r="3640" spans="1:1">
      <c r="A3640" s="149" t="s">
        <v>5620</v>
      </c>
    </row>
    <row r="3641" spans="1:1">
      <c r="A3641" s="149" t="s">
        <v>5621</v>
      </c>
    </row>
    <row r="3642" spans="1:1">
      <c r="A3642" s="149" t="s">
        <v>5622</v>
      </c>
    </row>
    <row r="3643" spans="1:1">
      <c r="A3643" s="149" t="s">
        <v>5623</v>
      </c>
    </row>
    <row r="3644" spans="1:1">
      <c r="A3644" s="149" t="s">
        <v>5624</v>
      </c>
    </row>
    <row r="3645" spans="1:1">
      <c r="A3645" s="149" t="s">
        <v>5625</v>
      </c>
    </row>
    <row r="3646" spans="1:1">
      <c r="A3646" s="149" t="s">
        <v>5626</v>
      </c>
    </row>
    <row r="3647" spans="1:1">
      <c r="A3647" s="149" t="s">
        <v>5627</v>
      </c>
    </row>
    <row r="3648" spans="1:1">
      <c r="A3648" s="149" t="s">
        <v>5628</v>
      </c>
    </row>
    <row r="3649" spans="1:1">
      <c r="A3649" s="149" t="s">
        <v>5629</v>
      </c>
    </row>
    <row r="3650" spans="1:1">
      <c r="A3650" s="149" t="s">
        <v>5630</v>
      </c>
    </row>
    <row r="3651" spans="1:1">
      <c r="A3651" s="149" t="s">
        <v>5631</v>
      </c>
    </row>
    <row r="3652" spans="1:1">
      <c r="A3652" s="149" t="s">
        <v>5632</v>
      </c>
    </row>
    <row r="3653" spans="1:1">
      <c r="A3653" s="149" t="s">
        <v>5633</v>
      </c>
    </row>
    <row r="3654" spans="1:1">
      <c r="A3654" s="149" t="s">
        <v>5634</v>
      </c>
    </row>
    <row r="3655" spans="1:1">
      <c r="A3655" s="149" t="s">
        <v>5635</v>
      </c>
    </row>
    <row r="3656" spans="1:1">
      <c r="A3656" s="149" t="s">
        <v>5636</v>
      </c>
    </row>
    <row r="3657" spans="1:1">
      <c r="A3657" s="149" t="s">
        <v>5637</v>
      </c>
    </row>
    <row r="3658" spans="1:1">
      <c r="A3658" s="149" t="s">
        <v>5638</v>
      </c>
    </row>
    <row r="3659" spans="1:1">
      <c r="A3659" s="149" t="s">
        <v>5639</v>
      </c>
    </row>
    <row r="3660" spans="1:1">
      <c r="A3660" s="149" t="s">
        <v>5640</v>
      </c>
    </row>
    <row r="3661" spans="1:1">
      <c r="A3661" s="149" t="s">
        <v>5641</v>
      </c>
    </row>
    <row r="3662" spans="1:1">
      <c r="A3662" s="149" t="s">
        <v>5642</v>
      </c>
    </row>
    <row r="3663" spans="1:1">
      <c r="A3663" s="149" t="s">
        <v>5643</v>
      </c>
    </row>
    <row r="3664" spans="1:1">
      <c r="A3664" s="149" t="s">
        <v>5644</v>
      </c>
    </row>
    <row r="3665" spans="1:1">
      <c r="A3665" s="149" t="s">
        <v>5645</v>
      </c>
    </row>
    <row r="3666" spans="1:1">
      <c r="A3666" s="149" t="s">
        <v>5646</v>
      </c>
    </row>
    <row r="3667" spans="1:1">
      <c r="A3667" s="149" t="s">
        <v>5647</v>
      </c>
    </row>
    <row r="3668" spans="1:1">
      <c r="A3668" s="149" t="s">
        <v>5648</v>
      </c>
    </row>
    <row r="3669" spans="1:1">
      <c r="A3669" s="149" t="s">
        <v>5649</v>
      </c>
    </row>
    <row r="3670" spans="1:1">
      <c r="A3670" s="149" t="s">
        <v>5650</v>
      </c>
    </row>
    <row r="3671" spans="1:1">
      <c r="A3671" s="149" t="s">
        <v>5651</v>
      </c>
    </row>
    <row r="3672" spans="1:1">
      <c r="A3672" s="149" t="s">
        <v>5652</v>
      </c>
    </row>
    <row r="3673" spans="1:1">
      <c r="A3673" s="149" t="s">
        <v>5653</v>
      </c>
    </row>
    <row r="3674" spans="1:1">
      <c r="A3674" s="149" t="s">
        <v>5654</v>
      </c>
    </row>
    <row r="3675" spans="1:1">
      <c r="A3675" s="149" t="s">
        <v>5655</v>
      </c>
    </row>
    <row r="3676" spans="1:1">
      <c r="A3676" s="149" t="s">
        <v>5656</v>
      </c>
    </row>
    <row r="3677" spans="1:1">
      <c r="A3677" s="149" t="s">
        <v>5657</v>
      </c>
    </row>
    <row r="3678" spans="1:1">
      <c r="A3678" s="149" t="s">
        <v>5658</v>
      </c>
    </row>
    <row r="3679" spans="1:1">
      <c r="A3679" s="149" t="s">
        <v>5659</v>
      </c>
    </row>
    <row r="3680" spans="1:1">
      <c r="A3680" s="149" t="s">
        <v>5660</v>
      </c>
    </row>
    <row r="3681" spans="1:1">
      <c r="A3681" s="149" t="s">
        <v>5661</v>
      </c>
    </row>
    <row r="3682" spans="1:1">
      <c r="A3682" s="149" t="s">
        <v>5662</v>
      </c>
    </row>
    <row r="3683" spans="1:1">
      <c r="A3683" s="149" t="s">
        <v>5663</v>
      </c>
    </row>
    <row r="3684" spans="1:1">
      <c r="A3684" s="149" t="s">
        <v>5664</v>
      </c>
    </row>
    <row r="3685" spans="1:1">
      <c r="A3685" s="149" t="s">
        <v>5665</v>
      </c>
    </row>
    <row r="3686" spans="1:1">
      <c r="A3686" s="149" t="s">
        <v>5666</v>
      </c>
    </row>
    <row r="3687" spans="1:1">
      <c r="A3687" s="149" t="s">
        <v>5667</v>
      </c>
    </row>
    <row r="3688" spans="1:1">
      <c r="A3688" s="149" t="s">
        <v>5668</v>
      </c>
    </row>
    <row r="3689" spans="1:1">
      <c r="A3689" s="149" t="s">
        <v>5669</v>
      </c>
    </row>
    <row r="3690" spans="1:1">
      <c r="A3690" s="149" t="s">
        <v>5670</v>
      </c>
    </row>
    <row r="3691" spans="1:1">
      <c r="A3691" s="149" t="s">
        <v>5671</v>
      </c>
    </row>
    <row r="3692" spans="1:1">
      <c r="A3692" s="149" t="s">
        <v>5672</v>
      </c>
    </row>
    <row r="3693" spans="1:1">
      <c r="A3693" s="149" t="s">
        <v>5673</v>
      </c>
    </row>
    <row r="3694" spans="1:1">
      <c r="A3694" s="149" t="s">
        <v>5674</v>
      </c>
    </row>
    <row r="3695" spans="1:1">
      <c r="A3695" s="149" t="s">
        <v>5675</v>
      </c>
    </row>
    <row r="3696" spans="1:1">
      <c r="A3696" s="149" t="s">
        <v>5676</v>
      </c>
    </row>
    <row r="3697" spans="1:1">
      <c r="A3697" s="149" t="s">
        <v>5677</v>
      </c>
    </row>
    <row r="3698" spans="1:1">
      <c r="A3698" s="149" t="s">
        <v>5678</v>
      </c>
    </row>
    <row r="3699" spans="1:1">
      <c r="A3699" s="149" t="s">
        <v>5679</v>
      </c>
    </row>
    <row r="3700" spans="1:1">
      <c r="A3700" s="149" t="s">
        <v>5680</v>
      </c>
    </row>
    <row r="3701" spans="1:1">
      <c r="A3701" s="149" t="s">
        <v>5681</v>
      </c>
    </row>
    <row r="3702" spans="1:1">
      <c r="A3702" s="149" t="s">
        <v>5682</v>
      </c>
    </row>
    <row r="3703" spans="1:1">
      <c r="A3703" s="149" t="s">
        <v>5683</v>
      </c>
    </row>
    <row r="3704" spans="1:1">
      <c r="A3704" s="149" t="s">
        <v>5684</v>
      </c>
    </row>
    <row r="3705" spans="1:1">
      <c r="A3705" s="149" t="s">
        <v>5685</v>
      </c>
    </row>
    <row r="3706" spans="1:1">
      <c r="A3706" s="149" t="s">
        <v>5686</v>
      </c>
    </row>
    <row r="3707" spans="1:1">
      <c r="A3707" s="149" t="s">
        <v>5687</v>
      </c>
    </row>
    <row r="3708" spans="1:1">
      <c r="A3708" s="149" t="s">
        <v>5688</v>
      </c>
    </row>
    <row r="3709" spans="1:1">
      <c r="A3709" s="149" t="s">
        <v>5689</v>
      </c>
    </row>
    <row r="3710" spans="1:1">
      <c r="A3710" s="149" t="s">
        <v>5690</v>
      </c>
    </row>
    <row r="3711" spans="1:1">
      <c r="A3711" s="149" t="s">
        <v>5691</v>
      </c>
    </row>
    <row r="3712" spans="1:1">
      <c r="A3712" s="149" t="s">
        <v>5692</v>
      </c>
    </row>
    <row r="3713" spans="1:1">
      <c r="A3713" s="149" t="s">
        <v>5693</v>
      </c>
    </row>
    <row r="3714" spans="1:1">
      <c r="A3714" s="149" t="s">
        <v>5694</v>
      </c>
    </row>
    <row r="3715" spans="1:1">
      <c r="A3715" s="149" t="s">
        <v>5695</v>
      </c>
    </row>
    <row r="3716" spans="1:1">
      <c r="A3716" s="149" t="s">
        <v>5696</v>
      </c>
    </row>
    <row r="3717" spans="1:1">
      <c r="A3717" s="149" t="s">
        <v>5697</v>
      </c>
    </row>
    <row r="3718" spans="1:1">
      <c r="A3718" s="149" t="s">
        <v>5698</v>
      </c>
    </row>
    <row r="3719" spans="1:1">
      <c r="A3719" s="149" t="s">
        <v>5699</v>
      </c>
    </row>
    <row r="3720" spans="1:1">
      <c r="A3720" s="149" t="s">
        <v>5700</v>
      </c>
    </row>
    <row r="3721" spans="1:1">
      <c r="A3721" s="149" t="s">
        <v>5701</v>
      </c>
    </row>
    <row r="3722" spans="1:1">
      <c r="A3722" s="149" t="s">
        <v>5702</v>
      </c>
    </row>
    <row r="3723" spans="1:1">
      <c r="A3723" s="149" t="s">
        <v>5703</v>
      </c>
    </row>
    <row r="3724" spans="1:1">
      <c r="A3724" s="149" t="s">
        <v>5704</v>
      </c>
    </row>
    <row r="3725" spans="1:1">
      <c r="A3725" s="149" t="s">
        <v>5705</v>
      </c>
    </row>
    <row r="3726" spans="1:1">
      <c r="A3726" s="149" t="s">
        <v>5706</v>
      </c>
    </row>
    <row r="3727" spans="1:1">
      <c r="A3727" s="149" t="s">
        <v>5707</v>
      </c>
    </row>
    <row r="3728" spans="1:1">
      <c r="A3728" s="149" t="s">
        <v>5708</v>
      </c>
    </row>
    <row r="3729" spans="1:1">
      <c r="A3729" s="149" t="s">
        <v>5709</v>
      </c>
    </row>
    <row r="3730" spans="1:1">
      <c r="A3730" s="149" t="s">
        <v>5710</v>
      </c>
    </row>
    <row r="3731" spans="1:1">
      <c r="A3731" s="149" t="s">
        <v>5711</v>
      </c>
    </row>
    <row r="3732" spans="1:1">
      <c r="A3732" s="149" t="s">
        <v>5712</v>
      </c>
    </row>
    <row r="3733" spans="1:1">
      <c r="A3733" s="149" t="s">
        <v>5713</v>
      </c>
    </row>
    <row r="3734" spans="1:1">
      <c r="A3734" s="149" t="s">
        <v>5714</v>
      </c>
    </row>
    <row r="3735" spans="1:1">
      <c r="A3735" s="149" t="s">
        <v>5715</v>
      </c>
    </row>
    <row r="3736" spans="1:1">
      <c r="A3736" s="149" t="s">
        <v>5716</v>
      </c>
    </row>
    <row r="3737" spans="1:1">
      <c r="A3737" s="149" t="s">
        <v>5717</v>
      </c>
    </row>
    <row r="3738" spans="1:1">
      <c r="A3738" s="149" t="s">
        <v>5718</v>
      </c>
    </row>
    <row r="3739" spans="1:1">
      <c r="A3739" s="149" t="s">
        <v>5719</v>
      </c>
    </row>
    <row r="3740" spans="1:1">
      <c r="A3740" s="149" t="s">
        <v>5720</v>
      </c>
    </row>
    <row r="3741" spans="1:1">
      <c r="A3741" s="149" t="s">
        <v>5721</v>
      </c>
    </row>
    <row r="3742" spans="1:1">
      <c r="A3742" s="149" t="s">
        <v>5722</v>
      </c>
    </row>
    <row r="3743" spans="1:1">
      <c r="A3743" s="149" t="s">
        <v>5723</v>
      </c>
    </row>
    <row r="3744" spans="1:1">
      <c r="A3744" s="149" t="s">
        <v>5724</v>
      </c>
    </row>
    <row r="3745" spans="1:1">
      <c r="A3745" s="149" t="s">
        <v>5725</v>
      </c>
    </row>
    <row r="3746" spans="1:1">
      <c r="A3746" s="149" t="s">
        <v>5726</v>
      </c>
    </row>
    <row r="3747" spans="1:1">
      <c r="A3747" s="149" t="s">
        <v>5727</v>
      </c>
    </row>
    <row r="3748" spans="1:1">
      <c r="A3748" s="149" t="s">
        <v>5728</v>
      </c>
    </row>
    <row r="3749" spans="1:1">
      <c r="A3749" s="149" t="s">
        <v>5729</v>
      </c>
    </row>
    <row r="3750" spans="1:1">
      <c r="A3750" s="149" t="s">
        <v>5730</v>
      </c>
    </row>
    <row r="3751" spans="1:1">
      <c r="A3751" s="149" t="s">
        <v>5731</v>
      </c>
    </row>
    <row r="3752" spans="1:1">
      <c r="A3752" s="149" t="s">
        <v>5732</v>
      </c>
    </row>
    <row r="3753" spans="1:1">
      <c r="A3753" s="149" t="s">
        <v>5733</v>
      </c>
    </row>
    <row r="3754" spans="1:1">
      <c r="A3754" s="149" t="s">
        <v>5734</v>
      </c>
    </row>
    <row r="3755" spans="1:1">
      <c r="A3755" s="149" t="s">
        <v>5735</v>
      </c>
    </row>
    <row r="3756" spans="1:1">
      <c r="A3756" s="149" t="s">
        <v>5736</v>
      </c>
    </row>
    <row r="3757" spans="1:1">
      <c r="A3757" s="149" t="s">
        <v>5737</v>
      </c>
    </row>
    <row r="3758" spans="1:1">
      <c r="A3758" s="149" t="s">
        <v>5738</v>
      </c>
    </row>
    <row r="3759" spans="1:1">
      <c r="A3759" s="149" t="s">
        <v>5739</v>
      </c>
    </row>
    <row r="3760" spans="1:1">
      <c r="A3760" s="149" t="s">
        <v>5740</v>
      </c>
    </row>
    <row r="3761" spans="1:1">
      <c r="A3761" s="149" t="s">
        <v>5741</v>
      </c>
    </row>
    <row r="3762" spans="1:1">
      <c r="A3762" s="149" t="s">
        <v>5742</v>
      </c>
    </row>
    <row r="3763" spans="1:1">
      <c r="A3763" s="149" t="s">
        <v>5743</v>
      </c>
    </row>
    <row r="3764" spans="1:1">
      <c r="A3764" s="149" t="s">
        <v>5744</v>
      </c>
    </row>
    <row r="3765" spans="1:1">
      <c r="A3765" s="149" t="s">
        <v>5745</v>
      </c>
    </row>
    <row r="3766" spans="1:1">
      <c r="A3766" s="149" t="s">
        <v>5746</v>
      </c>
    </row>
    <row r="3767" spans="1:1">
      <c r="A3767" s="149" t="s">
        <v>5747</v>
      </c>
    </row>
    <row r="3768" spans="1:1">
      <c r="A3768" s="149" t="s">
        <v>5748</v>
      </c>
    </row>
    <row r="3769" spans="1:1">
      <c r="A3769" s="149" t="s">
        <v>5749</v>
      </c>
    </row>
    <row r="3770" spans="1:1">
      <c r="A3770" s="149" t="s">
        <v>5750</v>
      </c>
    </row>
    <row r="3771" spans="1:1">
      <c r="A3771" s="149" t="s">
        <v>5751</v>
      </c>
    </row>
    <row r="3772" spans="1:1">
      <c r="A3772" s="149" t="s">
        <v>5752</v>
      </c>
    </row>
    <row r="3773" spans="1:1">
      <c r="A3773" s="149" t="s">
        <v>5753</v>
      </c>
    </row>
    <row r="3774" spans="1:1">
      <c r="A3774" s="149" t="s">
        <v>5754</v>
      </c>
    </row>
    <row r="3775" spans="1:1">
      <c r="A3775" s="149" t="s">
        <v>5755</v>
      </c>
    </row>
    <row r="3776" spans="1:1">
      <c r="A3776" s="149" t="s">
        <v>5756</v>
      </c>
    </row>
    <row r="3777" spans="1:1">
      <c r="A3777" s="149" t="s">
        <v>5757</v>
      </c>
    </row>
    <row r="3778" spans="1:1">
      <c r="A3778" s="149" t="s">
        <v>5758</v>
      </c>
    </row>
    <row r="3779" spans="1:1">
      <c r="A3779" s="149" t="s">
        <v>5759</v>
      </c>
    </row>
    <row r="3780" spans="1:1">
      <c r="A3780" s="149" t="s">
        <v>5760</v>
      </c>
    </row>
    <row r="3781" spans="1:1">
      <c r="A3781" s="149" t="s">
        <v>5761</v>
      </c>
    </row>
    <row r="3782" spans="1:1">
      <c r="A3782" s="149" t="s">
        <v>5762</v>
      </c>
    </row>
    <row r="3783" spans="1:1">
      <c r="A3783" s="149" t="s">
        <v>5763</v>
      </c>
    </row>
    <row r="3784" spans="1:1">
      <c r="A3784" s="149" t="s">
        <v>5764</v>
      </c>
    </row>
    <row r="3785" spans="1:1">
      <c r="A3785" s="149" t="s">
        <v>5765</v>
      </c>
    </row>
    <row r="3786" spans="1:1">
      <c r="A3786" s="149" t="s">
        <v>5766</v>
      </c>
    </row>
    <row r="3787" spans="1:1">
      <c r="A3787" s="149" t="s">
        <v>5767</v>
      </c>
    </row>
    <row r="3788" spans="1:1">
      <c r="A3788" s="149" t="s">
        <v>5768</v>
      </c>
    </row>
    <row r="3789" spans="1:1">
      <c r="A3789" s="149" t="s">
        <v>5769</v>
      </c>
    </row>
    <row r="3790" spans="1:1">
      <c r="A3790" s="149" t="s">
        <v>5770</v>
      </c>
    </row>
    <row r="3791" spans="1:1">
      <c r="A3791" s="149" t="s">
        <v>5771</v>
      </c>
    </row>
    <row r="3792" spans="1:1">
      <c r="A3792" s="149" t="s">
        <v>5772</v>
      </c>
    </row>
    <row r="3793" spans="1:1">
      <c r="A3793" s="149" t="s">
        <v>5773</v>
      </c>
    </row>
    <row r="3794" spans="1:1">
      <c r="A3794" s="149" t="s">
        <v>5774</v>
      </c>
    </row>
    <row r="3795" spans="1:1">
      <c r="A3795" s="149" t="s">
        <v>5775</v>
      </c>
    </row>
    <row r="3796" spans="1:1">
      <c r="A3796" s="149" t="s">
        <v>5776</v>
      </c>
    </row>
    <row r="3797" spans="1:1">
      <c r="A3797" s="149" t="s">
        <v>5777</v>
      </c>
    </row>
    <row r="3798" spans="1:1">
      <c r="A3798" s="149" t="s">
        <v>5778</v>
      </c>
    </row>
    <row r="3799" spans="1:1">
      <c r="A3799" s="149" t="s">
        <v>5779</v>
      </c>
    </row>
    <row r="3800" spans="1:1">
      <c r="A3800" s="149" t="s">
        <v>5780</v>
      </c>
    </row>
    <row r="3801" spans="1:1">
      <c r="A3801" s="149" t="s">
        <v>5781</v>
      </c>
    </row>
    <row r="3802" spans="1:1">
      <c r="A3802" s="149" t="s">
        <v>5782</v>
      </c>
    </row>
    <row r="3803" spans="1:1">
      <c r="A3803" s="149" t="s">
        <v>5783</v>
      </c>
    </row>
    <row r="3804" spans="1:1">
      <c r="A3804" s="149" t="s">
        <v>5784</v>
      </c>
    </row>
    <row r="3805" spans="1:1">
      <c r="A3805" s="149" t="s">
        <v>5785</v>
      </c>
    </row>
    <row r="3806" spans="1:1">
      <c r="A3806" s="149" t="s">
        <v>5786</v>
      </c>
    </row>
    <row r="3807" spans="1:1">
      <c r="A3807" s="149" t="s">
        <v>5787</v>
      </c>
    </row>
    <row r="3808" spans="1:1">
      <c r="A3808" s="149" t="s">
        <v>5788</v>
      </c>
    </row>
    <row r="3809" spans="1:1">
      <c r="A3809" s="149" t="s">
        <v>5789</v>
      </c>
    </row>
    <row r="3810" spans="1:1">
      <c r="A3810" s="149" t="s">
        <v>5790</v>
      </c>
    </row>
    <row r="3811" spans="1:1">
      <c r="A3811" s="149" t="s">
        <v>5791</v>
      </c>
    </row>
    <row r="3812" spans="1:1">
      <c r="A3812" s="149" t="s">
        <v>5792</v>
      </c>
    </row>
    <row r="3813" spans="1:1">
      <c r="A3813" s="149" t="s">
        <v>5793</v>
      </c>
    </row>
    <row r="3814" spans="1:1">
      <c r="A3814" s="149" t="s">
        <v>5794</v>
      </c>
    </row>
    <row r="3815" spans="1:1">
      <c r="A3815" s="149" t="s">
        <v>5795</v>
      </c>
    </row>
    <row r="3816" spans="1:1">
      <c r="A3816" s="149" t="s">
        <v>5796</v>
      </c>
    </row>
    <row r="3817" spans="1:1">
      <c r="A3817" s="149" t="s">
        <v>5797</v>
      </c>
    </row>
    <row r="3818" spans="1:1">
      <c r="A3818" s="149" t="s">
        <v>5798</v>
      </c>
    </row>
    <row r="3819" spans="1:1">
      <c r="A3819" s="149" t="s">
        <v>5799</v>
      </c>
    </row>
    <row r="3820" spans="1:1">
      <c r="A3820" s="149" t="s">
        <v>5800</v>
      </c>
    </row>
    <row r="3821" spans="1:1">
      <c r="A3821" s="149" t="s">
        <v>5801</v>
      </c>
    </row>
    <row r="3822" spans="1:1">
      <c r="A3822" s="149" t="s">
        <v>5802</v>
      </c>
    </row>
    <row r="3823" spans="1:1">
      <c r="A3823" s="149" t="s">
        <v>5803</v>
      </c>
    </row>
    <row r="3824" spans="1:1">
      <c r="A3824" s="149" t="s">
        <v>5804</v>
      </c>
    </row>
    <row r="3825" spans="1:1">
      <c r="A3825" s="149" t="s">
        <v>5805</v>
      </c>
    </row>
    <row r="3826" spans="1:1">
      <c r="A3826" s="149" t="s">
        <v>5806</v>
      </c>
    </row>
    <row r="3827" spans="1:1">
      <c r="A3827" s="149" t="s">
        <v>5807</v>
      </c>
    </row>
    <row r="3828" spans="1:1">
      <c r="A3828" s="149" t="s">
        <v>5808</v>
      </c>
    </row>
    <row r="3829" spans="1:1">
      <c r="A3829" s="149" t="s">
        <v>5809</v>
      </c>
    </row>
    <row r="3830" spans="1:1">
      <c r="A3830" s="149" t="s">
        <v>5810</v>
      </c>
    </row>
    <row r="3831" spans="1:1">
      <c r="A3831" s="149" t="s">
        <v>5811</v>
      </c>
    </row>
    <row r="3832" spans="1:1">
      <c r="A3832" s="149" t="s">
        <v>5812</v>
      </c>
    </row>
    <row r="3833" spans="1:1">
      <c r="A3833" s="149" t="s">
        <v>5813</v>
      </c>
    </row>
    <row r="3834" spans="1:1">
      <c r="A3834" s="149" t="s">
        <v>5814</v>
      </c>
    </row>
    <row r="3835" spans="1:1">
      <c r="A3835" s="149" t="s">
        <v>5815</v>
      </c>
    </row>
    <row r="3836" spans="1:1">
      <c r="A3836" s="149" t="s">
        <v>5816</v>
      </c>
    </row>
    <row r="3837" spans="1:1">
      <c r="A3837" s="149" t="s">
        <v>5817</v>
      </c>
    </row>
    <row r="3838" spans="1:1">
      <c r="A3838" s="149" t="s">
        <v>5818</v>
      </c>
    </row>
    <row r="3839" spans="1:1">
      <c r="A3839" s="149" t="s">
        <v>5819</v>
      </c>
    </row>
    <row r="3840" spans="1:1">
      <c r="A3840" s="149" t="s">
        <v>5820</v>
      </c>
    </row>
    <row r="3841" spans="1:1">
      <c r="A3841" s="149" t="s">
        <v>5821</v>
      </c>
    </row>
    <row r="3842" spans="1:1">
      <c r="A3842" s="149" t="s">
        <v>5822</v>
      </c>
    </row>
    <row r="3843" spans="1:1">
      <c r="A3843" s="149" t="s">
        <v>5823</v>
      </c>
    </row>
    <row r="3844" spans="1:1">
      <c r="A3844" s="149" t="s">
        <v>5824</v>
      </c>
    </row>
    <row r="3845" spans="1:1">
      <c r="A3845" s="149" t="s">
        <v>5825</v>
      </c>
    </row>
    <row r="3846" spans="1:1">
      <c r="A3846" s="149" t="s">
        <v>5826</v>
      </c>
    </row>
    <row r="3847" spans="1:1">
      <c r="A3847" s="149" t="s">
        <v>5827</v>
      </c>
    </row>
    <row r="3848" spans="1:1">
      <c r="A3848" s="149" t="s">
        <v>5828</v>
      </c>
    </row>
    <row r="3849" spans="1:1">
      <c r="A3849" s="149" t="s">
        <v>5829</v>
      </c>
    </row>
    <row r="3850" spans="1:1">
      <c r="A3850" s="149" t="s">
        <v>5830</v>
      </c>
    </row>
    <row r="3851" spans="1:1">
      <c r="A3851" s="149" t="s">
        <v>5831</v>
      </c>
    </row>
    <row r="3852" spans="1:1">
      <c r="A3852" s="149" t="s">
        <v>5832</v>
      </c>
    </row>
    <row r="3853" spans="1:1">
      <c r="A3853" s="149" t="s">
        <v>5833</v>
      </c>
    </row>
    <row r="3854" spans="1:1">
      <c r="A3854" s="149" t="s">
        <v>5834</v>
      </c>
    </row>
    <row r="3855" spans="1:1">
      <c r="A3855" s="149" t="s">
        <v>5835</v>
      </c>
    </row>
    <row r="3856" spans="1:1">
      <c r="A3856" s="149" t="s">
        <v>5836</v>
      </c>
    </row>
    <row r="3857" spans="1:1">
      <c r="A3857" s="149" t="s">
        <v>5837</v>
      </c>
    </row>
    <row r="3858" spans="1:1">
      <c r="A3858" s="149" t="s">
        <v>5838</v>
      </c>
    </row>
    <row r="3859" spans="1:1">
      <c r="A3859" s="149" t="s">
        <v>5839</v>
      </c>
    </row>
    <row r="3860" spans="1:1">
      <c r="A3860" s="149" t="s">
        <v>5840</v>
      </c>
    </row>
    <row r="3861" spans="1:1">
      <c r="A3861" s="149" t="s">
        <v>5841</v>
      </c>
    </row>
    <row r="3862" spans="1:1">
      <c r="A3862" s="149" t="s">
        <v>5842</v>
      </c>
    </row>
    <row r="3863" spans="1:1">
      <c r="A3863" s="149" t="s">
        <v>5843</v>
      </c>
    </row>
    <row r="3864" spans="1:1">
      <c r="A3864" s="149" t="s">
        <v>5844</v>
      </c>
    </row>
    <row r="3865" spans="1:1">
      <c r="A3865" s="149" t="s">
        <v>5845</v>
      </c>
    </row>
    <row r="3866" spans="1:1">
      <c r="A3866" s="149" t="s">
        <v>5846</v>
      </c>
    </row>
    <row r="3867" spans="1:1">
      <c r="A3867" s="149" t="s">
        <v>5847</v>
      </c>
    </row>
    <row r="3868" spans="1:1">
      <c r="A3868" s="149" t="s">
        <v>5848</v>
      </c>
    </row>
    <row r="3869" spans="1:1">
      <c r="A3869" s="149" t="s">
        <v>5849</v>
      </c>
    </row>
    <row r="3870" spans="1:1">
      <c r="A3870" s="149" t="s">
        <v>5850</v>
      </c>
    </row>
    <row r="3871" spans="1:1">
      <c r="A3871" s="149" t="s">
        <v>5851</v>
      </c>
    </row>
    <row r="3872" spans="1:1">
      <c r="A3872" s="149" t="s">
        <v>5852</v>
      </c>
    </row>
    <row r="3873" spans="1:1">
      <c r="A3873" s="149" t="s">
        <v>5853</v>
      </c>
    </row>
    <row r="3874" spans="1:1">
      <c r="A3874" s="149" t="s">
        <v>5854</v>
      </c>
    </row>
    <row r="3875" spans="1:1">
      <c r="A3875" s="149" t="s">
        <v>5855</v>
      </c>
    </row>
    <row r="3876" spans="1:1">
      <c r="A3876" s="149" t="s">
        <v>5856</v>
      </c>
    </row>
    <row r="3877" spans="1:1">
      <c r="A3877" s="149" t="s">
        <v>5857</v>
      </c>
    </row>
    <row r="3878" spans="1:1">
      <c r="A3878" s="149" t="s">
        <v>5858</v>
      </c>
    </row>
    <row r="3879" spans="1:1">
      <c r="A3879" s="149" t="s">
        <v>5859</v>
      </c>
    </row>
    <row r="3880" spans="1:1">
      <c r="A3880" s="149" t="s">
        <v>5860</v>
      </c>
    </row>
    <row r="3881" spans="1:1">
      <c r="A3881" s="149" t="s">
        <v>5861</v>
      </c>
    </row>
    <row r="3882" spans="1:1">
      <c r="A3882" s="149" t="s">
        <v>5862</v>
      </c>
    </row>
    <row r="3883" spans="1:1">
      <c r="A3883" s="149" t="s">
        <v>5863</v>
      </c>
    </row>
    <row r="3884" spans="1:1">
      <c r="A3884" s="149" t="s">
        <v>5864</v>
      </c>
    </row>
    <row r="3885" spans="1:1">
      <c r="A3885" s="149" t="s">
        <v>5865</v>
      </c>
    </row>
    <row r="3886" spans="1:1">
      <c r="A3886" s="149" t="s">
        <v>5866</v>
      </c>
    </row>
    <row r="3887" spans="1:1">
      <c r="A3887" s="149" t="s">
        <v>5867</v>
      </c>
    </row>
    <row r="3888" spans="1:1">
      <c r="A3888" s="149" t="s">
        <v>5868</v>
      </c>
    </row>
    <row r="3889" spans="1:1">
      <c r="A3889" s="149" t="s">
        <v>5869</v>
      </c>
    </row>
    <row r="3890" spans="1:1">
      <c r="A3890" s="149" t="s">
        <v>5870</v>
      </c>
    </row>
    <row r="3891" spans="1:1">
      <c r="A3891" s="149" t="s">
        <v>5871</v>
      </c>
    </row>
    <row r="3892" spans="1:1">
      <c r="A3892" s="149" t="s">
        <v>5872</v>
      </c>
    </row>
    <row r="3893" spans="1:1">
      <c r="A3893" s="149" t="s">
        <v>5873</v>
      </c>
    </row>
    <row r="3894" spans="1:1">
      <c r="A3894" s="149" t="s">
        <v>5874</v>
      </c>
    </row>
    <row r="3895" spans="1:1">
      <c r="A3895" s="149" t="s">
        <v>5875</v>
      </c>
    </row>
    <row r="3896" spans="1:1">
      <c r="A3896" s="149" t="s">
        <v>5876</v>
      </c>
    </row>
    <row r="3897" spans="1:1">
      <c r="A3897" s="149" t="s">
        <v>5877</v>
      </c>
    </row>
    <row r="3898" spans="1:1">
      <c r="A3898" s="149" t="s">
        <v>5878</v>
      </c>
    </row>
    <row r="3899" spans="1:1">
      <c r="A3899" s="149" t="s">
        <v>5879</v>
      </c>
    </row>
    <row r="3900" spans="1:1">
      <c r="A3900" s="149" t="s">
        <v>5880</v>
      </c>
    </row>
    <row r="3901" spans="1:1">
      <c r="A3901" s="149" t="s">
        <v>5881</v>
      </c>
    </row>
    <row r="3902" spans="1:1">
      <c r="A3902" s="149" t="s">
        <v>5882</v>
      </c>
    </row>
    <row r="3903" spans="1:1">
      <c r="A3903" s="149" t="s">
        <v>5883</v>
      </c>
    </row>
    <row r="3904" spans="1:1">
      <c r="A3904" s="149" t="s">
        <v>5884</v>
      </c>
    </row>
    <row r="3905" spans="1:1">
      <c r="A3905" s="149" t="s">
        <v>5885</v>
      </c>
    </row>
    <row r="3906" spans="1:1">
      <c r="A3906" s="149" t="s">
        <v>5886</v>
      </c>
    </row>
    <row r="3907" spans="1:1">
      <c r="A3907" s="149" t="s">
        <v>5887</v>
      </c>
    </row>
    <row r="3908" spans="1:1">
      <c r="A3908" s="149" t="s">
        <v>5888</v>
      </c>
    </row>
    <row r="3909" spans="1:1">
      <c r="A3909" s="149" t="s">
        <v>5889</v>
      </c>
    </row>
    <row r="3910" spans="1:1">
      <c r="A3910" s="149" t="s">
        <v>5890</v>
      </c>
    </row>
    <row r="3911" spans="1:1">
      <c r="A3911" s="149" t="s">
        <v>5891</v>
      </c>
    </row>
    <row r="3912" spans="1:1">
      <c r="A3912" s="149" t="s">
        <v>5892</v>
      </c>
    </row>
    <row r="3913" spans="1:1">
      <c r="A3913" s="149" t="s">
        <v>5893</v>
      </c>
    </row>
    <row r="3914" spans="1:1">
      <c r="A3914" s="149" t="s">
        <v>5894</v>
      </c>
    </row>
    <row r="3915" spans="1:1">
      <c r="A3915" s="149" t="s">
        <v>5895</v>
      </c>
    </row>
    <row r="3916" spans="1:1">
      <c r="A3916" s="149" t="s">
        <v>5896</v>
      </c>
    </row>
    <row r="3917" spans="1:1">
      <c r="A3917" s="149" t="s">
        <v>5897</v>
      </c>
    </row>
    <row r="3918" spans="1:1">
      <c r="A3918" s="149" t="s">
        <v>5898</v>
      </c>
    </row>
    <row r="3919" spans="1:1">
      <c r="A3919" s="149" t="s">
        <v>5899</v>
      </c>
    </row>
    <row r="3920" spans="1:1">
      <c r="A3920" s="149" t="s">
        <v>5900</v>
      </c>
    </row>
    <row r="3921" spans="1:1">
      <c r="A3921" s="149" t="s">
        <v>5901</v>
      </c>
    </row>
    <row r="3922" spans="1:1">
      <c r="A3922" s="149" t="s">
        <v>5902</v>
      </c>
    </row>
    <row r="3923" spans="1:1">
      <c r="A3923" s="149" t="s">
        <v>5903</v>
      </c>
    </row>
    <row r="3924" spans="1:1">
      <c r="A3924" s="149" t="s">
        <v>5904</v>
      </c>
    </row>
    <row r="3925" spans="1:1">
      <c r="A3925" s="149" t="s">
        <v>5905</v>
      </c>
    </row>
    <row r="3926" spans="1:1">
      <c r="A3926" s="149" t="s">
        <v>5906</v>
      </c>
    </row>
    <row r="3927" spans="1:1">
      <c r="A3927" s="149" t="s">
        <v>5907</v>
      </c>
    </row>
    <row r="3928" spans="1:1">
      <c r="A3928" s="149" t="s">
        <v>5908</v>
      </c>
    </row>
    <row r="3929" spans="1:1">
      <c r="A3929" s="149" t="s">
        <v>5909</v>
      </c>
    </row>
    <row r="3930" spans="1:1">
      <c r="A3930" s="149" t="s">
        <v>5910</v>
      </c>
    </row>
    <row r="3931" spans="1:1">
      <c r="A3931" s="149" t="s">
        <v>5911</v>
      </c>
    </row>
    <row r="3932" spans="1:1">
      <c r="A3932" s="149" t="s">
        <v>5912</v>
      </c>
    </row>
    <row r="3933" spans="1:1">
      <c r="A3933" s="149" t="s">
        <v>5913</v>
      </c>
    </row>
    <row r="3934" spans="1:1">
      <c r="A3934" s="149" t="s">
        <v>5914</v>
      </c>
    </row>
    <row r="3935" spans="1:1">
      <c r="A3935" s="149" t="s">
        <v>5915</v>
      </c>
    </row>
    <row r="3936" spans="1:1">
      <c r="A3936" s="149" t="s">
        <v>5916</v>
      </c>
    </row>
    <row r="3937" spans="1:1">
      <c r="A3937" s="149" t="s">
        <v>5917</v>
      </c>
    </row>
    <row r="3938" spans="1:1">
      <c r="A3938" s="149" t="s">
        <v>5918</v>
      </c>
    </row>
    <row r="3939" spans="1:1">
      <c r="A3939" s="149" t="s">
        <v>5919</v>
      </c>
    </row>
    <row r="3940" spans="1:1">
      <c r="A3940" s="149" t="s">
        <v>5920</v>
      </c>
    </row>
    <row r="3941" spans="1:1">
      <c r="A3941" s="149" t="s">
        <v>5921</v>
      </c>
    </row>
    <row r="3942" spans="1:1">
      <c r="A3942" s="149" t="s">
        <v>5922</v>
      </c>
    </row>
    <row r="3943" spans="1:1">
      <c r="A3943" s="149" t="s">
        <v>5923</v>
      </c>
    </row>
    <row r="3944" spans="1:1">
      <c r="A3944" s="149" t="s">
        <v>5924</v>
      </c>
    </row>
    <row r="3945" spans="1:1">
      <c r="A3945" s="149" t="s">
        <v>5925</v>
      </c>
    </row>
    <row r="3946" spans="1:1">
      <c r="A3946" s="149" t="s">
        <v>5926</v>
      </c>
    </row>
    <row r="3947" spans="1:1">
      <c r="A3947" s="149" t="s">
        <v>5927</v>
      </c>
    </row>
    <row r="3948" spans="1:1">
      <c r="A3948" s="149" t="s">
        <v>5928</v>
      </c>
    </row>
    <row r="3949" spans="1:1">
      <c r="A3949" s="149" t="s">
        <v>5929</v>
      </c>
    </row>
    <row r="3950" spans="1:1">
      <c r="A3950" s="149" t="s">
        <v>5930</v>
      </c>
    </row>
    <row r="3951" spans="1:1">
      <c r="A3951" s="149" t="s">
        <v>5931</v>
      </c>
    </row>
    <row r="3952" spans="1:1">
      <c r="A3952" s="149" t="s">
        <v>5932</v>
      </c>
    </row>
    <row r="3953" spans="1:1">
      <c r="A3953" s="149" t="s">
        <v>5933</v>
      </c>
    </row>
    <row r="3954" spans="1:1">
      <c r="A3954" s="149" t="s">
        <v>5934</v>
      </c>
    </row>
    <row r="3955" spans="1:1">
      <c r="A3955" s="149" t="s">
        <v>5935</v>
      </c>
    </row>
    <row r="3956" spans="1:1">
      <c r="A3956" s="149" t="s">
        <v>5936</v>
      </c>
    </row>
    <row r="3957" spans="1:1">
      <c r="A3957" s="149" t="s">
        <v>5937</v>
      </c>
    </row>
    <row r="3958" spans="1:1">
      <c r="A3958" s="149" t="s">
        <v>5938</v>
      </c>
    </row>
    <row r="3959" spans="1:1">
      <c r="A3959" s="149" t="s">
        <v>5939</v>
      </c>
    </row>
    <row r="3960" spans="1:1">
      <c r="A3960" s="149" t="s">
        <v>5940</v>
      </c>
    </row>
    <row r="3961" spans="1:1">
      <c r="A3961" s="149" t="s">
        <v>5941</v>
      </c>
    </row>
    <row r="3962" spans="1:1">
      <c r="A3962" s="149" t="s">
        <v>5942</v>
      </c>
    </row>
    <row r="3963" spans="1:1">
      <c r="A3963" s="149" t="s">
        <v>5943</v>
      </c>
    </row>
    <row r="3964" spans="1:1">
      <c r="A3964" s="149" t="s">
        <v>5944</v>
      </c>
    </row>
    <row r="3965" spans="1:1">
      <c r="A3965" s="149" t="s">
        <v>5945</v>
      </c>
    </row>
    <row r="3966" spans="1:1">
      <c r="A3966" s="149" t="s">
        <v>5946</v>
      </c>
    </row>
    <row r="3967" spans="1:1">
      <c r="A3967" s="149" t="s">
        <v>5947</v>
      </c>
    </row>
    <row r="3968" spans="1:1">
      <c r="A3968" s="149" t="s">
        <v>5948</v>
      </c>
    </row>
    <row r="3969" spans="1:1">
      <c r="A3969" s="149" t="s">
        <v>5949</v>
      </c>
    </row>
    <row r="3970" spans="1:1">
      <c r="A3970" s="149" t="s">
        <v>5950</v>
      </c>
    </row>
    <row r="3971" spans="1:1">
      <c r="A3971" s="149" t="s">
        <v>5951</v>
      </c>
    </row>
    <row r="3972" spans="1:1">
      <c r="A3972" s="149" t="s">
        <v>5952</v>
      </c>
    </row>
    <row r="3973" spans="1:1">
      <c r="A3973" s="149" t="s">
        <v>5953</v>
      </c>
    </row>
    <row r="3974" spans="1:1">
      <c r="A3974" s="149" t="s">
        <v>5954</v>
      </c>
    </row>
    <row r="3975" spans="1:1">
      <c r="A3975" s="149" t="s">
        <v>5955</v>
      </c>
    </row>
    <row r="3976" spans="1:1">
      <c r="A3976" s="149" t="s">
        <v>5956</v>
      </c>
    </row>
    <row r="3977" spans="1:1">
      <c r="A3977" s="149" t="s">
        <v>5957</v>
      </c>
    </row>
    <row r="3978" spans="1:1">
      <c r="A3978" s="149" t="s">
        <v>5958</v>
      </c>
    </row>
    <row r="3979" spans="1:1">
      <c r="A3979" s="149" t="s">
        <v>5959</v>
      </c>
    </row>
    <row r="3980" spans="1:1">
      <c r="A3980" s="149" t="s">
        <v>5960</v>
      </c>
    </row>
    <row r="3981" spans="1:1">
      <c r="A3981" s="149" t="s">
        <v>5961</v>
      </c>
    </row>
    <row r="3982" spans="1:1">
      <c r="A3982" s="149" t="s">
        <v>5962</v>
      </c>
    </row>
    <row r="3983" spans="1:1">
      <c r="A3983" s="149" t="s">
        <v>5963</v>
      </c>
    </row>
    <row r="3984" spans="1:1">
      <c r="A3984" s="149" t="s">
        <v>5964</v>
      </c>
    </row>
    <row r="3985" spans="1:1">
      <c r="A3985" s="149" t="s">
        <v>5965</v>
      </c>
    </row>
    <row r="3986" spans="1:1">
      <c r="A3986" s="149" t="s">
        <v>5966</v>
      </c>
    </row>
    <row r="3987" spans="1:1">
      <c r="A3987" s="149" t="s">
        <v>5967</v>
      </c>
    </row>
    <row r="3988" spans="1:1">
      <c r="A3988" s="149" t="s">
        <v>5968</v>
      </c>
    </row>
    <row r="3989" spans="1:1">
      <c r="A3989" s="149" t="s">
        <v>5969</v>
      </c>
    </row>
    <row r="3990" spans="1:1">
      <c r="A3990" s="149" t="s">
        <v>5970</v>
      </c>
    </row>
    <row r="3991" spans="1:1">
      <c r="A3991" s="149" t="s">
        <v>5971</v>
      </c>
    </row>
    <row r="3992" spans="1:1">
      <c r="A3992" s="149" t="s">
        <v>5972</v>
      </c>
    </row>
    <row r="3993" spans="1:1">
      <c r="A3993" s="149" t="s">
        <v>5973</v>
      </c>
    </row>
    <row r="3994" spans="1:1">
      <c r="A3994" s="149" t="s">
        <v>5974</v>
      </c>
    </row>
    <row r="3995" spans="1:1">
      <c r="A3995" s="149" t="s">
        <v>5975</v>
      </c>
    </row>
    <row r="3996" spans="1:1">
      <c r="A3996" s="149" t="s">
        <v>5976</v>
      </c>
    </row>
    <row r="3997" spans="1:1">
      <c r="A3997" s="149" t="s">
        <v>5977</v>
      </c>
    </row>
    <row r="3998" spans="1:1">
      <c r="A3998" s="149" t="s">
        <v>5978</v>
      </c>
    </row>
    <row r="3999" spans="1:1">
      <c r="A3999" s="149" t="s">
        <v>5979</v>
      </c>
    </row>
    <row r="4000" spans="1:1">
      <c r="A4000" s="149" t="s">
        <v>5980</v>
      </c>
    </row>
    <row r="4001" spans="1:1">
      <c r="A4001" s="149" t="s">
        <v>5981</v>
      </c>
    </row>
    <row r="4002" spans="1:1">
      <c r="A4002" s="149" t="s">
        <v>5982</v>
      </c>
    </row>
    <row r="4003" spans="1:1">
      <c r="A4003" s="149" t="s">
        <v>5983</v>
      </c>
    </row>
    <row r="4004" spans="1:1">
      <c r="A4004" s="149" t="s">
        <v>5984</v>
      </c>
    </row>
    <row r="4005" spans="1:1">
      <c r="A4005" s="149" t="s">
        <v>5985</v>
      </c>
    </row>
    <row r="4006" spans="1:1">
      <c r="A4006" s="149" t="s">
        <v>5986</v>
      </c>
    </row>
    <row r="4007" spans="1:1">
      <c r="A4007" s="149" t="s">
        <v>5987</v>
      </c>
    </row>
    <row r="4008" spans="1:1">
      <c r="A4008" s="149" t="s">
        <v>5988</v>
      </c>
    </row>
    <row r="4009" spans="1:1">
      <c r="A4009" s="149" t="s">
        <v>5989</v>
      </c>
    </row>
    <row r="4010" spans="1:1">
      <c r="A4010" s="149" t="s">
        <v>5990</v>
      </c>
    </row>
    <row r="4011" spans="1:1">
      <c r="A4011" s="149" t="s">
        <v>5991</v>
      </c>
    </row>
    <row r="4012" spans="1:1">
      <c r="A4012" s="149" t="s">
        <v>5992</v>
      </c>
    </row>
    <row r="4013" spans="1:1">
      <c r="A4013" s="149" t="s">
        <v>5993</v>
      </c>
    </row>
    <row r="4014" spans="1:1">
      <c r="A4014" s="149" t="s">
        <v>5994</v>
      </c>
    </row>
    <row r="4015" spans="1:1">
      <c r="A4015" s="149" t="s">
        <v>5995</v>
      </c>
    </row>
    <row r="4016" spans="1:1">
      <c r="A4016" s="149" t="s">
        <v>5996</v>
      </c>
    </row>
    <row r="4017" spans="1:1">
      <c r="A4017" s="149" t="s">
        <v>5997</v>
      </c>
    </row>
    <row r="4018" spans="1:1">
      <c r="A4018" s="149" t="s">
        <v>5998</v>
      </c>
    </row>
    <row r="4019" spans="1:1">
      <c r="A4019" s="149" t="s">
        <v>5999</v>
      </c>
    </row>
    <row r="4020" spans="1:1">
      <c r="A4020" s="149" t="s">
        <v>6000</v>
      </c>
    </row>
    <row r="4021" spans="1:1">
      <c r="A4021" s="149" t="s">
        <v>6001</v>
      </c>
    </row>
    <row r="4022" spans="1:1">
      <c r="A4022" s="149" t="s">
        <v>6002</v>
      </c>
    </row>
    <row r="4023" spans="1:1">
      <c r="A4023" s="149" t="s">
        <v>6003</v>
      </c>
    </row>
    <row r="4024" spans="1:1">
      <c r="A4024" s="149" t="s">
        <v>6004</v>
      </c>
    </row>
    <row r="4025" spans="1:1">
      <c r="A4025" s="149" t="s">
        <v>6005</v>
      </c>
    </row>
    <row r="4026" spans="1:1">
      <c r="A4026" s="149" t="s">
        <v>6006</v>
      </c>
    </row>
    <row r="4027" spans="1:1">
      <c r="A4027" s="149" t="s">
        <v>6007</v>
      </c>
    </row>
    <row r="4028" spans="1:1">
      <c r="A4028" s="149" t="s">
        <v>6008</v>
      </c>
    </row>
    <row r="4029" spans="1:1">
      <c r="A4029" s="149" t="s">
        <v>6009</v>
      </c>
    </row>
    <row r="4030" spans="1:1">
      <c r="A4030" s="149" t="s">
        <v>6010</v>
      </c>
    </row>
    <row r="4031" spans="1:1">
      <c r="A4031" s="149" t="s">
        <v>6011</v>
      </c>
    </row>
    <row r="4032" spans="1:1">
      <c r="A4032" s="149" t="s">
        <v>6012</v>
      </c>
    </row>
    <row r="4033" spans="1:1">
      <c r="A4033" s="149" t="s">
        <v>6013</v>
      </c>
    </row>
    <row r="4034" spans="1:1">
      <c r="A4034" s="149" t="s">
        <v>6014</v>
      </c>
    </row>
    <row r="4035" spans="1:1">
      <c r="A4035" s="149" t="s">
        <v>6015</v>
      </c>
    </row>
    <row r="4036" spans="1:1">
      <c r="A4036" s="149" t="s">
        <v>6016</v>
      </c>
    </row>
    <row r="4037" spans="1:1">
      <c r="A4037" s="149" t="s">
        <v>6017</v>
      </c>
    </row>
    <row r="4038" spans="1:1">
      <c r="A4038" s="149" t="s">
        <v>6018</v>
      </c>
    </row>
    <row r="4039" spans="1:1">
      <c r="A4039" s="149" t="s">
        <v>6019</v>
      </c>
    </row>
    <row r="4040" spans="1:1">
      <c r="A4040" s="149" t="s">
        <v>6020</v>
      </c>
    </row>
    <row r="4041" spans="1:1">
      <c r="A4041" s="149" t="s">
        <v>6021</v>
      </c>
    </row>
    <row r="4042" spans="1:1">
      <c r="A4042" s="149" t="s">
        <v>6022</v>
      </c>
    </row>
    <row r="4043" spans="1:1">
      <c r="A4043" s="149" t="s">
        <v>6023</v>
      </c>
    </row>
    <row r="4044" spans="1:1">
      <c r="A4044" s="149" t="s">
        <v>6024</v>
      </c>
    </row>
    <row r="4045" spans="1:1">
      <c r="A4045" s="149" t="s">
        <v>6025</v>
      </c>
    </row>
    <row r="4046" spans="1:1">
      <c r="A4046" s="149" t="s">
        <v>6026</v>
      </c>
    </row>
    <row r="4047" spans="1:1">
      <c r="A4047" s="149" t="s">
        <v>6027</v>
      </c>
    </row>
    <row r="4048" spans="1:1">
      <c r="A4048" s="149" t="s">
        <v>6028</v>
      </c>
    </row>
    <row r="4049" spans="1:1">
      <c r="A4049" s="149" t="s">
        <v>6029</v>
      </c>
    </row>
    <row r="4050" spans="1:1">
      <c r="A4050" s="149" t="s">
        <v>6030</v>
      </c>
    </row>
    <row r="4051" spans="1:1">
      <c r="A4051" s="149" t="s">
        <v>6031</v>
      </c>
    </row>
    <row r="4052" spans="1:1">
      <c r="A4052" s="149" t="s">
        <v>6032</v>
      </c>
    </row>
    <row r="4053" spans="1:1">
      <c r="A4053" s="149" t="s">
        <v>6033</v>
      </c>
    </row>
    <row r="4054" spans="1:1">
      <c r="A4054" s="149" t="s">
        <v>6034</v>
      </c>
    </row>
    <row r="4055" spans="1:1">
      <c r="A4055" s="149" t="s">
        <v>6035</v>
      </c>
    </row>
    <row r="4056" spans="1:1">
      <c r="A4056" s="149" t="s">
        <v>6036</v>
      </c>
    </row>
    <row r="4057" spans="1:1">
      <c r="A4057" s="149" t="s">
        <v>6037</v>
      </c>
    </row>
    <row r="4058" spans="1:1">
      <c r="A4058" s="149" t="s">
        <v>6038</v>
      </c>
    </row>
    <row r="4059" spans="1:1">
      <c r="A4059" s="149" t="s">
        <v>6039</v>
      </c>
    </row>
    <row r="4060" spans="1:1">
      <c r="A4060" s="149" t="s">
        <v>6040</v>
      </c>
    </row>
    <row r="4061" spans="1:1">
      <c r="A4061" s="149" t="s">
        <v>6041</v>
      </c>
    </row>
    <row r="4062" spans="1:1">
      <c r="A4062" s="149" t="s">
        <v>6042</v>
      </c>
    </row>
    <row r="4063" spans="1:1">
      <c r="A4063" s="149" t="s">
        <v>6043</v>
      </c>
    </row>
    <row r="4064" spans="1:1">
      <c r="A4064" s="149" t="s">
        <v>6044</v>
      </c>
    </row>
    <row r="4065" spans="1:1">
      <c r="A4065" s="149" t="s">
        <v>6045</v>
      </c>
    </row>
    <row r="4066" spans="1:1">
      <c r="A4066" s="149" t="s">
        <v>6046</v>
      </c>
    </row>
    <row r="4067" spans="1:1">
      <c r="A4067" s="149" t="s">
        <v>6047</v>
      </c>
    </row>
    <row r="4068" spans="1:1">
      <c r="A4068" s="149" t="s">
        <v>6048</v>
      </c>
    </row>
    <row r="4069" spans="1:1">
      <c r="A4069" s="149" t="s">
        <v>6049</v>
      </c>
    </row>
    <row r="4070" spans="1:1">
      <c r="A4070" s="149" t="s">
        <v>6050</v>
      </c>
    </row>
    <row r="4071" spans="1:1">
      <c r="A4071" s="149" t="s">
        <v>6051</v>
      </c>
    </row>
    <row r="4072" spans="1:1">
      <c r="A4072" s="149" t="s">
        <v>6052</v>
      </c>
    </row>
    <row r="4073" spans="1:1">
      <c r="A4073" s="149" t="s">
        <v>6053</v>
      </c>
    </row>
    <row r="4074" spans="1:1">
      <c r="A4074" s="149" t="s">
        <v>6054</v>
      </c>
    </row>
    <row r="4075" spans="1:1">
      <c r="A4075" s="149" t="s">
        <v>6055</v>
      </c>
    </row>
    <row r="4076" spans="1:1">
      <c r="A4076" s="149" t="s">
        <v>6056</v>
      </c>
    </row>
    <row r="4077" spans="1:1">
      <c r="A4077" s="149" t="s">
        <v>6057</v>
      </c>
    </row>
    <row r="4078" spans="1:1">
      <c r="A4078" s="149" t="s">
        <v>6058</v>
      </c>
    </row>
    <row r="4079" spans="1:1">
      <c r="A4079" s="149" t="s">
        <v>6059</v>
      </c>
    </row>
    <row r="4080" spans="1:1">
      <c r="A4080" s="149" t="s">
        <v>6060</v>
      </c>
    </row>
    <row r="4081" spans="1:1">
      <c r="A4081" s="149" t="s">
        <v>6061</v>
      </c>
    </row>
    <row r="4082" spans="1:1">
      <c r="A4082" s="149" t="s">
        <v>6062</v>
      </c>
    </row>
    <row r="4083" spans="1:1">
      <c r="A4083" s="149" t="s">
        <v>6063</v>
      </c>
    </row>
    <row r="4084" spans="1:1">
      <c r="A4084" s="149" t="s">
        <v>6064</v>
      </c>
    </row>
    <row r="4085" spans="1:1">
      <c r="A4085" s="149" t="s">
        <v>6065</v>
      </c>
    </row>
    <row r="4086" spans="1:1">
      <c r="A4086" s="149" t="s">
        <v>6066</v>
      </c>
    </row>
    <row r="4087" spans="1:1">
      <c r="A4087" s="149" t="s">
        <v>6067</v>
      </c>
    </row>
    <row r="4088" spans="1:1">
      <c r="A4088" s="149" t="s">
        <v>6068</v>
      </c>
    </row>
    <row r="4089" spans="1:1">
      <c r="A4089" s="149" t="s">
        <v>6069</v>
      </c>
    </row>
    <row r="4090" spans="1:1">
      <c r="A4090" s="149" t="s">
        <v>6070</v>
      </c>
    </row>
    <row r="4091" spans="1:1">
      <c r="A4091" s="149" t="s">
        <v>6071</v>
      </c>
    </row>
    <row r="4092" spans="1:1">
      <c r="A4092" s="149" t="s">
        <v>6072</v>
      </c>
    </row>
    <row r="4093" spans="1:1">
      <c r="A4093" s="149" t="s">
        <v>6073</v>
      </c>
    </row>
    <row r="4094" spans="1:1">
      <c r="A4094" s="149" t="s">
        <v>6074</v>
      </c>
    </row>
    <row r="4095" spans="1:1">
      <c r="A4095" s="149" t="s">
        <v>6075</v>
      </c>
    </row>
    <row r="4096" spans="1:1">
      <c r="A4096" s="149" t="s">
        <v>6076</v>
      </c>
    </row>
    <row r="4097" spans="1:1">
      <c r="A4097" s="149" t="s">
        <v>6077</v>
      </c>
    </row>
    <row r="4098" spans="1:1">
      <c r="A4098" s="149" t="s">
        <v>6078</v>
      </c>
    </row>
    <row r="4099" spans="1:1">
      <c r="A4099" s="149" t="s">
        <v>6079</v>
      </c>
    </row>
    <row r="4100" spans="1:1">
      <c r="A4100" s="149" t="s">
        <v>6080</v>
      </c>
    </row>
    <row r="4101" spans="1:1">
      <c r="A4101" s="149" t="s">
        <v>6081</v>
      </c>
    </row>
    <row r="4102" spans="1:1">
      <c r="A4102" s="149" t="s">
        <v>6082</v>
      </c>
    </row>
    <row r="4103" spans="1:1">
      <c r="A4103" s="149" t="s">
        <v>6083</v>
      </c>
    </row>
    <row r="4104" spans="1:1">
      <c r="A4104" s="149" t="s">
        <v>6084</v>
      </c>
    </row>
    <row r="4105" spans="1:1">
      <c r="A4105" s="149" t="s">
        <v>6085</v>
      </c>
    </row>
    <row r="4106" spans="1:1">
      <c r="A4106" s="149" t="s">
        <v>6086</v>
      </c>
    </row>
    <row r="4107" spans="1:1">
      <c r="A4107" s="149" t="s">
        <v>6087</v>
      </c>
    </row>
    <row r="4108" spans="1:1">
      <c r="A4108" s="149" t="s">
        <v>6088</v>
      </c>
    </row>
    <row r="4109" spans="1:1">
      <c r="A4109" s="149" t="s">
        <v>6089</v>
      </c>
    </row>
    <row r="4110" spans="1:1">
      <c r="A4110" s="149" t="s">
        <v>6090</v>
      </c>
    </row>
    <row r="4111" spans="1:1">
      <c r="A4111" s="149" t="s">
        <v>6091</v>
      </c>
    </row>
    <row r="4112" spans="1:1">
      <c r="A4112" s="149" t="s">
        <v>6092</v>
      </c>
    </row>
    <row r="4113" spans="1:1">
      <c r="A4113" s="149" t="s">
        <v>6093</v>
      </c>
    </row>
    <row r="4114" spans="1:1">
      <c r="A4114" s="149" t="s">
        <v>6094</v>
      </c>
    </row>
    <row r="4115" spans="1:1">
      <c r="A4115" s="149" t="s">
        <v>6095</v>
      </c>
    </row>
    <row r="4116" spans="1:1">
      <c r="A4116" s="149" t="s">
        <v>6096</v>
      </c>
    </row>
    <row r="4117" spans="1:1">
      <c r="A4117" s="149" t="s">
        <v>6097</v>
      </c>
    </row>
    <row r="4118" spans="1:1">
      <c r="A4118" s="149" t="s">
        <v>6098</v>
      </c>
    </row>
    <row r="4119" spans="1:1">
      <c r="A4119" s="149" t="s">
        <v>6099</v>
      </c>
    </row>
    <row r="4120" spans="1:1">
      <c r="A4120" s="149" t="s">
        <v>6100</v>
      </c>
    </row>
    <row r="4121" spans="1:1">
      <c r="A4121" s="149" t="s">
        <v>6101</v>
      </c>
    </row>
    <row r="4122" spans="1:1">
      <c r="A4122" s="149" t="s">
        <v>6102</v>
      </c>
    </row>
    <row r="4123" spans="1:1">
      <c r="A4123" s="149" t="s">
        <v>6103</v>
      </c>
    </row>
    <row r="4124" spans="1:1">
      <c r="A4124" s="149" t="s">
        <v>6104</v>
      </c>
    </row>
    <row r="4125" spans="1:1">
      <c r="A4125" s="149" t="s">
        <v>6105</v>
      </c>
    </row>
    <row r="4126" spans="1:1">
      <c r="A4126" s="149" t="s">
        <v>6106</v>
      </c>
    </row>
    <row r="4127" spans="1:1">
      <c r="A4127" s="149" t="s">
        <v>6107</v>
      </c>
    </row>
    <row r="4128" spans="1:1">
      <c r="A4128" s="149" t="s">
        <v>6108</v>
      </c>
    </row>
    <row r="4129" spans="1:1">
      <c r="A4129" s="149" t="s">
        <v>6109</v>
      </c>
    </row>
    <row r="4130" spans="1:1">
      <c r="A4130" s="149" t="s">
        <v>6110</v>
      </c>
    </row>
    <row r="4131" spans="1:1">
      <c r="A4131" s="149" t="s">
        <v>6111</v>
      </c>
    </row>
    <row r="4132" spans="1:1">
      <c r="A4132" s="149" t="s">
        <v>6112</v>
      </c>
    </row>
    <row r="4133" spans="1:1">
      <c r="A4133" s="149" t="s">
        <v>6113</v>
      </c>
    </row>
    <row r="4134" spans="1:1">
      <c r="A4134" s="149" t="s">
        <v>6114</v>
      </c>
    </row>
    <row r="4135" spans="1:1">
      <c r="A4135" s="149" t="s">
        <v>6115</v>
      </c>
    </row>
    <row r="4136" spans="1:1">
      <c r="A4136" s="149" t="s">
        <v>6116</v>
      </c>
    </row>
    <row r="4137" spans="1:1">
      <c r="A4137" s="149" t="s">
        <v>6117</v>
      </c>
    </row>
    <row r="4138" spans="1:1">
      <c r="A4138" s="149" t="s">
        <v>6118</v>
      </c>
    </row>
    <row r="4139" spans="1:1">
      <c r="A4139" s="149" t="s">
        <v>6119</v>
      </c>
    </row>
    <row r="4140" spans="1:1">
      <c r="A4140" s="149" t="s">
        <v>6120</v>
      </c>
    </row>
    <row r="4141" spans="1:1">
      <c r="A4141" s="149" t="s">
        <v>6121</v>
      </c>
    </row>
    <row r="4142" spans="1:1">
      <c r="A4142" s="149" t="s">
        <v>6122</v>
      </c>
    </row>
    <row r="4143" spans="1:1">
      <c r="A4143" s="149" t="s">
        <v>6123</v>
      </c>
    </row>
    <row r="4144" spans="1:1">
      <c r="A4144" s="149" t="s">
        <v>6124</v>
      </c>
    </row>
    <row r="4145" spans="1:1">
      <c r="A4145" s="149" t="s">
        <v>6125</v>
      </c>
    </row>
    <row r="4146" spans="1:1">
      <c r="A4146" s="149" t="s">
        <v>6126</v>
      </c>
    </row>
    <row r="4147" spans="1:1">
      <c r="A4147" s="149" t="s">
        <v>6127</v>
      </c>
    </row>
    <row r="4148" spans="1:1">
      <c r="A4148" s="149" t="s">
        <v>6128</v>
      </c>
    </row>
    <row r="4149" spans="1:1">
      <c r="A4149" s="149" t="s">
        <v>6129</v>
      </c>
    </row>
    <row r="4150" spans="1:1">
      <c r="A4150" s="149" t="s">
        <v>6130</v>
      </c>
    </row>
    <row r="4151" spans="1:1">
      <c r="A4151" s="149" t="s">
        <v>6131</v>
      </c>
    </row>
    <row r="4152" spans="1:1">
      <c r="A4152" s="149" t="s">
        <v>6132</v>
      </c>
    </row>
    <row r="4153" spans="1:1">
      <c r="A4153" s="149" t="s">
        <v>6133</v>
      </c>
    </row>
    <row r="4154" spans="1:1">
      <c r="A4154" s="149" t="s">
        <v>6134</v>
      </c>
    </row>
    <row r="4155" spans="1:1">
      <c r="A4155" s="149" t="s">
        <v>6135</v>
      </c>
    </row>
    <row r="4156" spans="1:1">
      <c r="A4156" s="149" t="s">
        <v>6136</v>
      </c>
    </row>
    <row r="4157" spans="1:1">
      <c r="A4157" s="149" t="s">
        <v>6137</v>
      </c>
    </row>
    <row r="4158" spans="1:1">
      <c r="A4158" s="149" t="s">
        <v>6138</v>
      </c>
    </row>
    <row r="4159" spans="1:1">
      <c r="A4159" s="149" t="s">
        <v>6139</v>
      </c>
    </row>
    <row r="4160" spans="1:1">
      <c r="A4160" s="149" t="s">
        <v>6140</v>
      </c>
    </row>
    <row r="4161" spans="1:1">
      <c r="A4161" s="149" t="s">
        <v>6141</v>
      </c>
    </row>
    <row r="4162" spans="1:1">
      <c r="A4162" s="149" t="s">
        <v>6142</v>
      </c>
    </row>
    <row r="4163" spans="1:1">
      <c r="A4163" s="149" t="s">
        <v>6143</v>
      </c>
    </row>
    <row r="4164" spans="1:1">
      <c r="A4164" s="149" t="s">
        <v>6144</v>
      </c>
    </row>
    <row r="4165" spans="1:1">
      <c r="A4165" s="149" t="s">
        <v>6145</v>
      </c>
    </row>
    <row r="4166" spans="1:1">
      <c r="A4166" s="149" t="s">
        <v>6146</v>
      </c>
    </row>
    <row r="4167" spans="1:1">
      <c r="A4167" s="149" t="s">
        <v>6147</v>
      </c>
    </row>
    <row r="4168" spans="1:1">
      <c r="A4168" s="149" t="s">
        <v>6148</v>
      </c>
    </row>
    <row r="4169" spans="1:1">
      <c r="A4169" s="149" t="s">
        <v>6149</v>
      </c>
    </row>
    <row r="4170" spans="1:1">
      <c r="A4170" s="149" t="s">
        <v>6150</v>
      </c>
    </row>
    <row r="4171" spans="1:1">
      <c r="A4171" s="149" t="s">
        <v>6151</v>
      </c>
    </row>
    <row r="4172" spans="1:1">
      <c r="A4172" s="149" t="s">
        <v>6152</v>
      </c>
    </row>
    <row r="4173" spans="1:1">
      <c r="A4173" s="149" t="s">
        <v>6153</v>
      </c>
    </row>
    <row r="4174" spans="1:1">
      <c r="A4174" s="149" t="s">
        <v>6154</v>
      </c>
    </row>
    <row r="4175" spans="1:1">
      <c r="A4175" s="149" t="s">
        <v>6155</v>
      </c>
    </row>
    <row r="4176" spans="1:1">
      <c r="A4176" s="149" t="s">
        <v>6156</v>
      </c>
    </row>
    <row r="4177" spans="1:1">
      <c r="A4177" s="149" t="s">
        <v>6157</v>
      </c>
    </row>
    <row r="4178" spans="1:1">
      <c r="A4178" s="149" t="s">
        <v>6158</v>
      </c>
    </row>
    <row r="4179" spans="1:1">
      <c r="A4179" s="149" t="s">
        <v>6159</v>
      </c>
    </row>
    <row r="4180" spans="1:1">
      <c r="A4180" s="149" t="s">
        <v>6160</v>
      </c>
    </row>
    <row r="4181" spans="1:1">
      <c r="A4181" s="149" t="s">
        <v>6161</v>
      </c>
    </row>
    <row r="4182" spans="1:1">
      <c r="A4182" s="149" t="s">
        <v>6162</v>
      </c>
    </row>
    <row r="4183" spans="1:1">
      <c r="A4183" s="149" t="s">
        <v>6163</v>
      </c>
    </row>
    <row r="4184" spans="1:1">
      <c r="A4184" s="149" t="s">
        <v>6164</v>
      </c>
    </row>
    <row r="4185" spans="1:1">
      <c r="A4185" s="149" t="s">
        <v>6165</v>
      </c>
    </row>
    <row r="4186" spans="1:1">
      <c r="A4186" s="149" t="s">
        <v>6166</v>
      </c>
    </row>
    <row r="4187" spans="1:1">
      <c r="A4187" s="149" t="s">
        <v>6167</v>
      </c>
    </row>
    <row r="4188" spans="1:1">
      <c r="A4188" s="149" t="s">
        <v>6168</v>
      </c>
    </row>
    <row r="4189" spans="1:1">
      <c r="A4189" s="149" t="s">
        <v>6169</v>
      </c>
    </row>
    <row r="4190" spans="1:1">
      <c r="A4190" s="149" t="s">
        <v>6170</v>
      </c>
    </row>
    <row r="4191" spans="1:1">
      <c r="A4191" s="149" t="s">
        <v>6171</v>
      </c>
    </row>
    <row r="4192" spans="1:1">
      <c r="A4192" s="149" t="s">
        <v>6172</v>
      </c>
    </row>
    <row r="4193" spans="1:1">
      <c r="A4193" s="149" t="s">
        <v>6173</v>
      </c>
    </row>
    <row r="4194" spans="1:1">
      <c r="A4194" s="149" t="s">
        <v>6174</v>
      </c>
    </row>
    <row r="4195" spans="1:1">
      <c r="A4195" s="149" t="s">
        <v>6175</v>
      </c>
    </row>
    <row r="4196" spans="1:1">
      <c r="A4196" s="149" t="s">
        <v>6176</v>
      </c>
    </row>
    <row r="4197" spans="1:1">
      <c r="A4197" s="149" t="s">
        <v>6177</v>
      </c>
    </row>
    <row r="4198" spans="1:1">
      <c r="A4198" s="149" t="s">
        <v>6178</v>
      </c>
    </row>
    <row r="4199" spans="1:1">
      <c r="A4199" s="149" t="s">
        <v>6179</v>
      </c>
    </row>
    <row r="4200" spans="1:1">
      <c r="A4200" s="149" t="s">
        <v>6180</v>
      </c>
    </row>
    <row r="4201" spans="1:1">
      <c r="A4201" s="149" t="s">
        <v>6181</v>
      </c>
    </row>
    <row r="4202" spans="1:1">
      <c r="A4202" s="149" t="s">
        <v>6182</v>
      </c>
    </row>
    <row r="4203" spans="1:1">
      <c r="A4203" s="149" t="s">
        <v>6183</v>
      </c>
    </row>
    <row r="4204" spans="1:1">
      <c r="A4204" s="149" t="s">
        <v>6184</v>
      </c>
    </row>
    <row r="4205" spans="1:1">
      <c r="A4205" s="149" t="s">
        <v>6185</v>
      </c>
    </row>
    <row r="4206" spans="1:1">
      <c r="A4206" s="149" t="s">
        <v>6186</v>
      </c>
    </row>
    <row r="4207" spans="1:1">
      <c r="A4207" s="149" t="s">
        <v>6187</v>
      </c>
    </row>
    <row r="4208" spans="1:1">
      <c r="A4208" s="149" t="s">
        <v>6188</v>
      </c>
    </row>
    <row r="4209" spans="1:1">
      <c r="A4209" s="149" t="s">
        <v>6189</v>
      </c>
    </row>
    <row r="4210" spans="1:1">
      <c r="A4210" s="149" t="s">
        <v>6190</v>
      </c>
    </row>
    <row r="4211" spans="1:1">
      <c r="A4211" s="149" t="s">
        <v>6191</v>
      </c>
    </row>
    <row r="4212" spans="1:1">
      <c r="A4212" s="149" t="s">
        <v>6192</v>
      </c>
    </row>
    <row r="4213" spans="1:1">
      <c r="A4213" s="149" t="s">
        <v>6193</v>
      </c>
    </row>
    <row r="4214" spans="1:1">
      <c r="A4214" s="149" t="s">
        <v>6194</v>
      </c>
    </row>
    <row r="4215" spans="1:1">
      <c r="A4215" s="149" t="s">
        <v>6195</v>
      </c>
    </row>
    <row r="4216" spans="1:1">
      <c r="A4216" s="149" t="s">
        <v>6196</v>
      </c>
    </row>
    <row r="4217" spans="1:1">
      <c r="A4217" s="149" t="s">
        <v>6197</v>
      </c>
    </row>
    <row r="4218" spans="1:1">
      <c r="A4218" s="149" t="s">
        <v>6198</v>
      </c>
    </row>
    <row r="4219" spans="1:1">
      <c r="A4219" s="149" t="s">
        <v>6199</v>
      </c>
    </row>
    <row r="4220" spans="1:1">
      <c r="A4220" s="149" t="s">
        <v>6200</v>
      </c>
    </row>
    <row r="4221" spans="1:1">
      <c r="A4221" s="149" t="s">
        <v>6201</v>
      </c>
    </row>
    <row r="4222" spans="1:1">
      <c r="A4222" s="149" t="s">
        <v>6202</v>
      </c>
    </row>
    <row r="4223" spans="1:1">
      <c r="A4223" s="149" t="s">
        <v>6203</v>
      </c>
    </row>
    <row r="4224" spans="1:1">
      <c r="A4224" s="149" t="s">
        <v>6204</v>
      </c>
    </row>
    <row r="4225" spans="1:1">
      <c r="A4225" s="149" t="s">
        <v>6205</v>
      </c>
    </row>
    <row r="4226" spans="1:1">
      <c r="A4226" s="149" t="s">
        <v>6206</v>
      </c>
    </row>
    <row r="4227" spans="1:1">
      <c r="A4227" s="149" t="s">
        <v>6207</v>
      </c>
    </row>
    <row r="4228" spans="1:1">
      <c r="A4228" s="149" t="s">
        <v>6208</v>
      </c>
    </row>
    <row r="4229" spans="1:1">
      <c r="A4229" s="149" t="s">
        <v>6209</v>
      </c>
    </row>
    <row r="4230" spans="1:1">
      <c r="A4230" s="149" t="s">
        <v>6210</v>
      </c>
    </row>
    <row r="4231" spans="1:1">
      <c r="A4231" s="149" t="s">
        <v>6211</v>
      </c>
    </row>
    <row r="4232" spans="1:1">
      <c r="A4232" s="149" t="s">
        <v>6212</v>
      </c>
    </row>
    <row r="4233" spans="1:1">
      <c r="A4233" s="149" t="s">
        <v>6213</v>
      </c>
    </row>
    <row r="4234" spans="1:1">
      <c r="A4234" s="149" t="s">
        <v>6214</v>
      </c>
    </row>
    <row r="4235" spans="1:1">
      <c r="A4235" s="149" t="s">
        <v>6215</v>
      </c>
    </row>
    <row r="4236" spans="1:1">
      <c r="A4236" s="149" t="s">
        <v>6216</v>
      </c>
    </row>
    <row r="4237" spans="1:1">
      <c r="A4237" s="149" t="s">
        <v>6217</v>
      </c>
    </row>
    <row r="4238" spans="1:1">
      <c r="A4238" s="149" t="s">
        <v>6218</v>
      </c>
    </row>
    <row r="4239" spans="1:1">
      <c r="A4239" s="149" t="s">
        <v>6219</v>
      </c>
    </row>
    <row r="4240" spans="1:1">
      <c r="A4240" s="149" t="s">
        <v>6220</v>
      </c>
    </row>
    <row r="4241" spans="1:1">
      <c r="A4241" s="149" t="s">
        <v>6221</v>
      </c>
    </row>
    <row r="4242" spans="1:1">
      <c r="A4242" s="149" t="s">
        <v>6222</v>
      </c>
    </row>
    <row r="4243" spans="1:1">
      <c r="A4243" s="149" t="s">
        <v>6223</v>
      </c>
    </row>
    <row r="4244" spans="1:1">
      <c r="A4244" s="149" t="s">
        <v>6224</v>
      </c>
    </row>
    <row r="4245" spans="1:1">
      <c r="A4245" s="149" t="s">
        <v>6225</v>
      </c>
    </row>
    <row r="4246" spans="1:1">
      <c r="A4246" s="149" t="s">
        <v>6226</v>
      </c>
    </row>
    <row r="4247" spans="1:1">
      <c r="A4247" s="149" t="s">
        <v>6227</v>
      </c>
    </row>
    <row r="4248" spans="1:1">
      <c r="A4248" s="149" t="s">
        <v>6228</v>
      </c>
    </row>
    <row r="4249" spans="1:1">
      <c r="A4249" s="149" t="s">
        <v>6229</v>
      </c>
    </row>
    <row r="4250" spans="1:1">
      <c r="A4250" s="149" t="s">
        <v>6230</v>
      </c>
    </row>
    <row r="4251" spans="1:1">
      <c r="A4251" s="149" t="s">
        <v>6231</v>
      </c>
    </row>
    <row r="4252" spans="1:1">
      <c r="A4252" s="149" t="s">
        <v>6232</v>
      </c>
    </row>
    <row r="4253" spans="1:1">
      <c r="A4253" s="149" t="s">
        <v>6233</v>
      </c>
    </row>
    <row r="4254" spans="1:1">
      <c r="A4254" s="149" t="s">
        <v>6234</v>
      </c>
    </row>
    <row r="4255" spans="1:1">
      <c r="A4255" s="149" t="s">
        <v>6235</v>
      </c>
    </row>
    <row r="4256" spans="1:1">
      <c r="A4256" s="149" t="s">
        <v>6236</v>
      </c>
    </row>
    <row r="4257" spans="1:1">
      <c r="A4257" s="149" t="s">
        <v>6237</v>
      </c>
    </row>
    <row r="4258" spans="1:1">
      <c r="A4258" s="149" t="s">
        <v>6238</v>
      </c>
    </row>
    <row r="4259" spans="1:1">
      <c r="A4259" s="149" t="s">
        <v>6239</v>
      </c>
    </row>
    <row r="4260" spans="1:1">
      <c r="A4260" s="149" t="s">
        <v>6240</v>
      </c>
    </row>
    <row r="4261" spans="1:1">
      <c r="A4261" s="149" t="s">
        <v>6241</v>
      </c>
    </row>
    <row r="4262" spans="1:1">
      <c r="A4262" s="149" t="s">
        <v>6242</v>
      </c>
    </row>
    <row r="4263" spans="1:1">
      <c r="A4263" s="149" t="s">
        <v>6243</v>
      </c>
    </row>
    <row r="4264" spans="1:1">
      <c r="A4264" s="149" t="s">
        <v>6244</v>
      </c>
    </row>
    <row r="4265" spans="1:1">
      <c r="A4265" s="149" t="s">
        <v>6245</v>
      </c>
    </row>
    <row r="4266" spans="1:1">
      <c r="A4266" s="149" t="s">
        <v>6246</v>
      </c>
    </row>
    <row r="4267" spans="1:1">
      <c r="A4267" s="149" t="s">
        <v>6247</v>
      </c>
    </row>
    <row r="4268" spans="1:1">
      <c r="A4268" s="149" t="s">
        <v>6248</v>
      </c>
    </row>
    <row r="4269" spans="1:1">
      <c r="A4269" s="149" t="s">
        <v>6249</v>
      </c>
    </row>
    <row r="4270" spans="1:1">
      <c r="A4270" s="149" t="s">
        <v>6250</v>
      </c>
    </row>
    <row r="4271" spans="1:1">
      <c r="A4271" s="149" t="s">
        <v>6251</v>
      </c>
    </row>
    <row r="4272" spans="1:1">
      <c r="A4272" s="149" t="s">
        <v>6252</v>
      </c>
    </row>
    <row r="4273" spans="1:1">
      <c r="A4273" s="149" t="s">
        <v>6253</v>
      </c>
    </row>
    <row r="4274" spans="1:1">
      <c r="A4274" s="149" t="s">
        <v>6254</v>
      </c>
    </row>
    <row r="4275" spans="1:1">
      <c r="A4275" s="149" t="s">
        <v>6255</v>
      </c>
    </row>
    <row r="4276" spans="1:1">
      <c r="A4276" s="149" t="s">
        <v>6256</v>
      </c>
    </row>
    <row r="4277" spans="1:1">
      <c r="A4277" s="149" t="s">
        <v>6257</v>
      </c>
    </row>
    <row r="4278" spans="1:1">
      <c r="A4278" s="149" t="s">
        <v>6258</v>
      </c>
    </row>
    <row r="4279" spans="1:1">
      <c r="A4279" s="149" t="s">
        <v>6259</v>
      </c>
    </row>
    <row r="4280" spans="1:1">
      <c r="A4280" s="149" t="s">
        <v>6260</v>
      </c>
    </row>
    <row r="4281" spans="1:1">
      <c r="A4281" s="149" t="s">
        <v>6261</v>
      </c>
    </row>
    <row r="4282" spans="1:1">
      <c r="A4282" s="149" t="s">
        <v>6262</v>
      </c>
    </row>
    <row r="4283" spans="1:1">
      <c r="A4283" s="149" t="s">
        <v>6263</v>
      </c>
    </row>
    <row r="4284" spans="1:1">
      <c r="A4284" s="149" t="s">
        <v>6264</v>
      </c>
    </row>
    <row r="4285" spans="1:1">
      <c r="A4285" s="149" t="s">
        <v>6265</v>
      </c>
    </row>
    <row r="4286" spans="1:1">
      <c r="A4286" s="149" t="s">
        <v>6266</v>
      </c>
    </row>
    <row r="4287" spans="1:1">
      <c r="A4287" s="149" t="s">
        <v>6267</v>
      </c>
    </row>
    <row r="4288" spans="1:1">
      <c r="A4288" s="149" t="s">
        <v>6268</v>
      </c>
    </row>
    <row r="4289" spans="1:1">
      <c r="A4289" s="149" t="s">
        <v>6269</v>
      </c>
    </row>
    <row r="4290" spans="1:1">
      <c r="A4290" s="149" t="s">
        <v>6270</v>
      </c>
    </row>
    <row r="4291" spans="1:1">
      <c r="A4291" s="149" t="s">
        <v>6271</v>
      </c>
    </row>
    <row r="4292" spans="1:1">
      <c r="A4292" s="149" t="s">
        <v>6272</v>
      </c>
    </row>
    <row r="4293" spans="1:1">
      <c r="A4293" s="149" t="s">
        <v>6273</v>
      </c>
    </row>
    <row r="4294" spans="1:1">
      <c r="A4294" s="149" t="s">
        <v>6274</v>
      </c>
    </row>
    <row r="4295" spans="1:1">
      <c r="A4295" s="149" t="s">
        <v>6275</v>
      </c>
    </row>
    <row r="4296" spans="1:1">
      <c r="A4296" s="149" t="s">
        <v>6276</v>
      </c>
    </row>
    <row r="4297" spans="1:1">
      <c r="A4297" s="149" t="s">
        <v>6277</v>
      </c>
    </row>
    <row r="4298" spans="1:1">
      <c r="A4298" s="149" t="s">
        <v>6278</v>
      </c>
    </row>
    <row r="4299" spans="1:1">
      <c r="A4299" s="149" t="s">
        <v>6279</v>
      </c>
    </row>
    <row r="4300" spans="1:1">
      <c r="A4300" s="149" t="s">
        <v>6280</v>
      </c>
    </row>
    <row r="4301" spans="1:1">
      <c r="A4301" s="149" t="s">
        <v>6281</v>
      </c>
    </row>
    <row r="4302" spans="1:1">
      <c r="A4302" s="149" t="s">
        <v>6282</v>
      </c>
    </row>
    <row r="4303" spans="1:1">
      <c r="A4303" s="149" t="s">
        <v>6283</v>
      </c>
    </row>
    <row r="4304" spans="1:1">
      <c r="A4304" s="149" t="s">
        <v>6284</v>
      </c>
    </row>
    <row r="4305" spans="1:1">
      <c r="A4305" s="149" t="s">
        <v>6285</v>
      </c>
    </row>
    <row r="4306" spans="1:1">
      <c r="A4306" s="149" t="s">
        <v>6286</v>
      </c>
    </row>
    <row r="4307" spans="1:1">
      <c r="A4307" s="149" t="s">
        <v>6287</v>
      </c>
    </row>
    <row r="4308" spans="1:1">
      <c r="A4308" s="149" t="s">
        <v>6288</v>
      </c>
    </row>
    <row r="4309" spans="1:1">
      <c r="A4309" s="149" t="s">
        <v>6289</v>
      </c>
    </row>
    <row r="4310" spans="1:1">
      <c r="A4310" s="149" t="s">
        <v>6290</v>
      </c>
    </row>
    <row r="4311" spans="1:1">
      <c r="A4311" s="149" t="s">
        <v>6291</v>
      </c>
    </row>
    <row r="4312" spans="1:1">
      <c r="A4312" s="149" t="s">
        <v>6292</v>
      </c>
    </row>
    <row r="4313" spans="1:1">
      <c r="A4313" s="149" t="s">
        <v>6293</v>
      </c>
    </row>
    <row r="4314" spans="1:1">
      <c r="A4314" s="149" t="s">
        <v>6294</v>
      </c>
    </row>
    <row r="4315" spans="1:1">
      <c r="A4315" s="149" t="s">
        <v>6295</v>
      </c>
    </row>
    <row r="4316" spans="1:1">
      <c r="A4316" s="149" t="s">
        <v>6296</v>
      </c>
    </row>
    <row r="4317" spans="1:1">
      <c r="A4317" s="149" t="s">
        <v>6297</v>
      </c>
    </row>
    <row r="4318" spans="1:1">
      <c r="A4318" s="149" t="s">
        <v>6298</v>
      </c>
    </row>
    <row r="4319" spans="1:1">
      <c r="A4319" s="149" t="s">
        <v>6299</v>
      </c>
    </row>
    <row r="4320" spans="1:1">
      <c r="A4320" s="149" t="s">
        <v>6300</v>
      </c>
    </row>
    <row r="4321" spans="1:1">
      <c r="A4321" s="149" t="s">
        <v>6301</v>
      </c>
    </row>
    <row r="4322" spans="1:1">
      <c r="A4322" s="149" t="s">
        <v>6302</v>
      </c>
    </row>
    <row r="4323" spans="1:1">
      <c r="A4323" s="149" t="s">
        <v>6303</v>
      </c>
    </row>
    <row r="4324" spans="1:1">
      <c r="A4324" s="149" t="s">
        <v>6304</v>
      </c>
    </row>
    <row r="4325" spans="1:1">
      <c r="A4325" s="149" t="s">
        <v>6305</v>
      </c>
    </row>
    <row r="4326" spans="1:1">
      <c r="A4326" s="149" t="s">
        <v>6306</v>
      </c>
    </row>
    <row r="4327" spans="1:1">
      <c r="A4327" s="149" t="s">
        <v>6307</v>
      </c>
    </row>
    <row r="4328" spans="1:1">
      <c r="A4328" s="149" t="s">
        <v>6308</v>
      </c>
    </row>
    <row r="4329" spans="1:1">
      <c r="A4329" s="149" t="s">
        <v>6309</v>
      </c>
    </row>
    <row r="4330" spans="1:1">
      <c r="A4330" s="149" t="s">
        <v>6310</v>
      </c>
    </row>
    <row r="4331" spans="1:1">
      <c r="A4331" s="149" t="s">
        <v>6311</v>
      </c>
    </row>
    <row r="4332" spans="1:1">
      <c r="A4332" s="149" t="s">
        <v>6312</v>
      </c>
    </row>
    <row r="4333" spans="1:1">
      <c r="A4333" s="149" t="s">
        <v>6313</v>
      </c>
    </row>
    <row r="4334" spans="1:1">
      <c r="A4334" s="149" t="s">
        <v>6314</v>
      </c>
    </row>
    <row r="4335" spans="1:1">
      <c r="A4335" s="149" t="s">
        <v>6315</v>
      </c>
    </row>
    <row r="4336" spans="1:1">
      <c r="A4336" s="149" t="s">
        <v>6316</v>
      </c>
    </row>
    <row r="4337" spans="1:1">
      <c r="A4337" s="149" t="s">
        <v>6317</v>
      </c>
    </row>
    <row r="4338" spans="1:1">
      <c r="A4338" s="149" t="s">
        <v>6318</v>
      </c>
    </row>
    <row r="4339" spans="1:1">
      <c r="A4339" s="149" t="s">
        <v>6319</v>
      </c>
    </row>
    <row r="4340" spans="1:1">
      <c r="A4340" s="149" t="s">
        <v>6320</v>
      </c>
    </row>
    <row r="4341" spans="1:1">
      <c r="A4341" s="149" t="s">
        <v>6321</v>
      </c>
    </row>
    <row r="4342" spans="1:1">
      <c r="A4342" s="149" t="s">
        <v>6322</v>
      </c>
    </row>
    <row r="4343" spans="1:1">
      <c r="A4343" s="149" t="s">
        <v>6323</v>
      </c>
    </row>
    <row r="4344" spans="1:1">
      <c r="A4344" s="149" t="s">
        <v>6324</v>
      </c>
    </row>
    <row r="4345" spans="1:1">
      <c r="A4345" s="149" t="s">
        <v>6325</v>
      </c>
    </row>
    <row r="4346" spans="1:1">
      <c r="A4346" s="149" t="s">
        <v>6326</v>
      </c>
    </row>
    <row r="4347" spans="1:1">
      <c r="A4347" s="149" t="s">
        <v>6327</v>
      </c>
    </row>
    <row r="4348" spans="1:1">
      <c r="A4348" s="149" t="s">
        <v>6328</v>
      </c>
    </row>
    <row r="4349" spans="1:1">
      <c r="A4349" s="149" t="s">
        <v>6329</v>
      </c>
    </row>
    <row r="4350" spans="1:1">
      <c r="A4350" s="149" t="s">
        <v>6330</v>
      </c>
    </row>
    <row r="4351" spans="1:1">
      <c r="A4351" s="149" t="s">
        <v>6331</v>
      </c>
    </row>
    <row r="4352" spans="1:1">
      <c r="A4352" s="149" t="s">
        <v>6332</v>
      </c>
    </row>
    <row r="4353" spans="1:1">
      <c r="A4353" s="149" t="s">
        <v>6333</v>
      </c>
    </row>
    <row r="4354" spans="1:1">
      <c r="A4354" s="149" t="s">
        <v>6334</v>
      </c>
    </row>
    <row r="4355" spans="1:1">
      <c r="A4355" s="149" t="s">
        <v>6335</v>
      </c>
    </row>
    <row r="4356" spans="1:1">
      <c r="A4356" s="149" t="s">
        <v>6336</v>
      </c>
    </row>
    <row r="4357" spans="1:1">
      <c r="A4357" s="149" t="s">
        <v>6337</v>
      </c>
    </row>
    <row r="4358" spans="1:1">
      <c r="A4358" s="149" t="s">
        <v>6338</v>
      </c>
    </row>
    <row r="4359" spans="1:1">
      <c r="A4359" s="149" t="s">
        <v>6339</v>
      </c>
    </row>
    <row r="4360" spans="1:1">
      <c r="A4360" s="149" t="s">
        <v>6340</v>
      </c>
    </row>
    <row r="4361" spans="1:1">
      <c r="A4361" s="149" t="s">
        <v>6341</v>
      </c>
    </row>
    <row r="4362" spans="1:1">
      <c r="A4362" s="149" t="s">
        <v>6342</v>
      </c>
    </row>
    <row r="4363" spans="1:1">
      <c r="A4363" s="149" t="s">
        <v>6343</v>
      </c>
    </row>
    <row r="4364" spans="1:1">
      <c r="A4364" s="149" t="s">
        <v>6344</v>
      </c>
    </row>
    <row r="4365" spans="1:1">
      <c r="A4365" s="149" t="s">
        <v>6345</v>
      </c>
    </row>
    <row r="4366" spans="1:1">
      <c r="A4366" s="149" t="s">
        <v>6346</v>
      </c>
    </row>
    <row r="4367" spans="1:1">
      <c r="A4367" s="149" t="s">
        <v>6347</v>
      </c>
    </row>
    <row r="4368" spans="1:1">
      <c r="A4368" s="149" t="s">
        <v>6348</v>
      </c>
    </row>
    <row r="4369" spans="1:1">
      <c r="A4369" s="149" t="s">
        <v>6349</v>
      </c>
    </row>
    <row r="4370" spans="1:1">
      <c r="A4370" s="149" t="s">
        <v>6350</v>
      </c>
    </row>
    <row r="4371" spans="1:1">
      <c r="A4371" s="149" t="s">
        <v>6351</v>
      </c>
    </row>
    <row r="4372" spans="1:1">
      <c r="A4372" s="149" t="s">
        <v>6352</v>
      </c>
    </row>
    <row r="4373" spans="1:1">
      <c r="A4373" s="149" t="s">
        <v>6353</v>
      </c>
    </row>
    <row r="4374" spans="1:1">
      <c r="A4374" s="149" t="s">
        <v>6354</v>
      </c>
    </row>
    <row r="4375" spans="1:1">
      <c r="A4375" s="149" t="s">
        <v>6355</v>
      </c>
    </row>
    <row r="4376" spans="1:1">
      <c r="A4376" s="149" t="s">
        <v>6356</v>
      </c>
    </row>
    <row r="4377" spans="1:1">
      <c r="A4377" s="149" t="s">
        <v>6357</v>
      </c>
    </row>
    <row r="4378" spans="1:1">
      <c r="A4378" s="149" t="s">
        <v>6358</v>
      </c>
    </row>
    <row r="4379" spans="1:1">
      <c r="A4379" s="149" t="s">
        <v>6359</v>
      </c>
    </row>
    <row r="4380" spans="1:1">
      <c r="A4380" s="149" t="s">
        <v>6360</v>
      </c>
    </row>
    <row r="4381" spans="1:1">
      <c r="A4381" s="149" t="s">
        <v>6361</v>
      </c>
    </row>
    <row r="4382" spans="1:1">
      <c r="A4382" s="149" t="s">
        <v>6362</v>
      </c>
    </row>
    <row r="4383" spans="1:1">
      <c r="A4383" s="149" t="s">
        <v>6363</v>
      </c>
    </row>
    <row r="4384" spans="1:1">
      <c r="A4384" s="149" t="s">
        <v>6364</v>
      </c>
    </row>
    <row r="4385" spans="1:1">
      <c r="A4385" s="149" t="s">
        <v>6365</v>
      </c>
    </row>
    <row r="4386" spans="1:1">
      <c r="A4386" s="149" t="s">
        <v>6366</v>
      </c>
    </row>
    <row r="4387" spans="1:1">
      <c r="A4387" s="149" t="s">
        <v>6367</v>
      </c>
    </row>
    <row r="4388" spans="1:1">
      <c r="A4388" s="149" t="s">
        <v>6368</v>
      </c>
    </row>
    <row r="4389" spans="1:1">
      <c r="A4389" s="149" t="s">
        <v>6369</v>
      </c>
    </row>
    <row r="4390" spans="1:1">
      <c r="A4390" s="149" t="s">
        <v>6370</v>
      </c>
    </row>
    <row r="4391" spans="1:1">
      <c r="A4391" s="149" t="s">
        <v>6371</v>
      </c>
    </row>
    <row r="4392" spans="1:1">
      <c r="A4392" s="149" t="s">
        <v>6372</v>
      </c>
    </row>
    <row r="4393" spans="1:1">
      <c r="A4393" s="149" t="s">
        <v>6373</v>
      </c>
    </row>
    <row r="4394" spans="1:1">
      <c r="A4394" s="149" t="s">
        <v>6374</v>
      </c>
    </row>
    <row r="4395" spans="1:1">
      <c r="A4395" s="149" t="s">
        <v>6375</v>
      </c>
    </row>
    <row r="4396" spans="1:1">
      <c r="A4396" s="149" t="s">
        <v>6376</v>
      </c>
    </row>
    <row r="4397" spans="1:1">
      <c r="A4397" s="149" t="s">
        <v>6377</v>
      </c>
    </row>
    <row r="4398" spans="1:1">
      <c r="A4398" s="149" t="s">
        <v>6378</v>
      </c>
    </row>
    <row r="4399" spans="1:1">
      <c r="A4399" s="149" t="s">
        <v>6379</v>
      </c>
    </row>
    <row r="4400" spans="1:1">
      <c r="A4400" s="149" t="s">
        <v>6380</v>
      </c>
    </row>
    <row r="4401" spans="1:1">
      <c r="A4401" s="149" t="s">
        <v>6381</v>
      </c>
    </row>
    <row r="4402" spans="1:1">
      <c r="A4402" s="149" t="s">
        <v>6382</v>
      </c>
    </row>
    <row r="4403" spans="1:1">
      <c r="A4403" s="149" t="s">
        <v>6383</v>
      </c>
    </row>
    <row r="4404" spans="1:1">
      <c r="A4404" s="149" t="s">
        <v>6384</v>
      </c>
    </row>
    <row r="4405" spans="1:1">
      <c r="A4405" s="149" t="s">
        <v>6385</v>
      </c>
    </row>
    <row r="4406" spans="1:1">
      <c r="A4406" s="149" t="s">
        <v>6386</v>
      </c>
    </row>
    <row r="4407" spans="1:1">
      <c r="A4407" s="149" t="s">
        <v>6387</v>
      </c>
    </row>
    <row r="4408" spans="1:1">
      <c r="A4408" s="149" t="s">
        <v>6388</v>
      </c>
    </row>
    <row r="4409" spans="1:1">
      <c r="A4409" s="149" t="s">
        <v>6389</v>
      </c>
    </row>
    <row r="4410" spans="1:1">
      <c r="A4410" s="149" t="s">
        <v>6390</v>
      </c>
    </row>
    <row r="4411" spans="1:1">
      <c r="A4411" s="149" t="s">
        <v>6391</v>
      </c>
    </row>
    <row r="4412" spans="1:1">
      <c r="A4412" s="149" t="s">
        <v>6392</v>
      </c>
    </row>
    <row r="4413" spans="1:1">
      <c r="A4413" s="149" t="s">
        <v>6393</v>
      </c>
    </row>
    <row r="4414" spans="1:1">
      <c r="A4414" s="149" t="s">
        <v>6394</v>
      </c>
    </row>
    <row r="4415" spans="1:1">
      <c r="A4415" s="149" t="s">
        <v>6395</v>
      </c>
    </row>
    <row r="4416" spans="1:1">
      <c r="A4416" s="149" t="s">
        <v>6396</v>
      </c>
    </row>
    <row r="4417" spans="1:1">
      <c r="A4417" s="149" t="s">
        <v>6397</v>
      </c>
    </row>
    <row r="4418" spans="1:1">
      <c r="A4418" s="149" t="s">
        <v>6398</v>
      </c>
    </row>
    <row r="4419" spans="1:1">
      <c r="A4419" s="149" t="s">
        <v>6399</v>
      </c>
    </row>
    <row r="4420" spans="1:1">
      <c r="A4420" s="149" t="s">
        <v>6400</v>
      </c>
    </row>
    <row r="4421" spans="1:1">
      <c r="A4421" s="149" t="s">
        <v>6401</v>
      </c>
    </row>
    <row r="4422" spans="1:1">
      <c r="A4422" s="149" t="s">
        <v>6402</v>
      </c>
    </row>
    <row r="4423" spans="1:1">
      <c r="A4423" s="149" t="s">
        <v>6403</v>
      </c>
    </row>
    <row r="4424" spans="1:1">
      <c r="A4424" s="149" t="s">
        <v>6404</v>
      </c>
    </row>
    <row r="4425" spans="1:1">
      <c r="A4425" s="149" t="s">
        <v>6405</v>
      </c>
    </row>
    <row r="4426" spans="1:1">
      <c r="A4426" s="149" t="s">
        <v>6406</v>
      </c>
    </row>
    <row r="4427" spans="1:1">
      <c r="A4427" s="149" t="s">
        <v>6407</v>
      </c>
    </row>
    <row r="4428" spans="1:1">
      <c r="A4428" s="149" t="s">
        <v>6408</v>
      </c>
    </row>
    <row r="4429" spans="1:1">
      <c r="A4429" s="149" t="s">
        <v>6409</v>
      </c>
    </row>
    <row r="4430" spans="1:1">
      <c r="A4430" s="149" t="s">
        <v>6410</v>
      </c>
    </row>
    <row r="4431" spans="1:1">
      <c r="A4431" s="149" t="s">
        <v>6411</v>
      </c>
    </row>
    <row r="4432" spans="1:1">
      <c r="A4432" s="149" t="s">
        <v>6412</v>
      </c>
    </row>
    <row r="4433" spans="1:1">
      <c r="A4433" s="149" t="s">
        <v>6413</v>
      </c>
    </row>
    <row r="4434" spans="1:1">
      <c r="A4434" s="149" t="s">
        <v>6414</v>
      </c>
    </row>
    <row r="4435" spans="1:1">
      <c r="A4435" s="149" t="s">
        <v>6415</v>
      </c>
    </row>
    <row r="4436" spans="1:1">
      <c r="A4436" s="149" t="s">
        <v>6416</v>
      </c>
    </row>
    <row r="4437" spans="1:1">
      <c r="A4437" s="149" t="s">
        <v>6417</v>
      </c>
    </row>
    <row r="4438" spans="1:1">
      <c r="A4438" s="149" t="s">
        <v>6418</v>
      </c>
    </row>
    <row r="4439" spans="1:1">
      <c r="A4439" s="149" t="s">
        <v>6419</v>
      </c>
    </row>
    <row r="4440" spans="1:1">
      <c r="A4440" s="149" t="s">
        <v>6420</v>
      </c>
    </row>
    <row r="4441" spans="1:1">
      <c r="A4441" s="149" t="s">
        <v>6421</v>
      </c>
    </row>
    <row r="4442" spans="1:1">
      <c r="A4442" s="149" t="s">
        <v>6422</v>
      </c>
    </row>
    <row r="4443" spans="1:1">
      <c r="A4443" s="149" t="s">
        <v>6423</v>
      </c>
    </row>
    <row r="4444" spans="1:1">
      <c r="A4444" s="149" t="s">
        <v>6424</v>
      </c>
    </row>
    <row r="4445" spans="1:1">
      <c r="A4445" s="149" t="s">
        <v>6425</v>
      </c>
    </row>
    <row r="4446" spans="1:1">
      <c r="A4446" s="149" t="s">
        <v>6426</v>
      </c>
    </row>
    <row r="4447" spans="1:1">
      <c r="A4447" s="149" t="s">
        <v>6427</v>
      </c>
    </row>
    <row r="4448" spans="1:1">
      <c r="A4448" s="149" t="s">
        <v>6428</v>
      </c>
    </row>
    <row r="4449" spans="1:1">
      <c r="A4449" s="149" t="s">
        <v>6429</v>
      </c>
    </row>
    <row r="4450" spans="1:1">
      <c r="A4450" s="149" t="s">
        <v>6430</v>
      </c>
    </row>
    <row r="4451" spans="1:1">
      <c r="A4451" s="149" t="s">
        <v>6431</v>
      </c>
    </row>
    <row r="4452" spans="1:1">
      <c r="A4452" s="149" t="s">
        <v>6432</v>
      </c>
    </row>
    <row r="4453" spans="1:1">
      <c r="A4453" s="149" t="s">
        <v>6433</v>
      </c>
    </row>
    <row r="4454" spans="1:1">
      <c r="A4454" s="149" t="s">
        <v>6434</v>
      </c>
    </row>
    <row r="4455" spans="1:1">
      <c r="A4455" s="149" t="s">
        <v>6435</v>
      </c>
    </row>
    <row r="4456" spans="1:1">
      <c r="A4456" s="149" t="s">
        <v>6436</v>
      </c>
    </row>
    <row r="4457" spans="1:1">
      <c r="A4457" s="149" t="s">
        <v>6437</v>
      </c>
    </row>
    <row r="4458" spans="1:1">
      <c r="A4458" s="149" t="s">
        <v>6438</v>
      </c>
    </row>
    <row r="4459" spans="1:1">
      <c r="A4459" s="149" t="s">
        <v>6439</v>
      </c>
    </row>
    <row r="4460" spans="1:1">
      <c r="A4460" s="149" t="s">
        <v>6440</v>
      </c>
    </row>
    <row r="4461" spans="1:1">
      <c r="A4461" s="149" t="s">
        <v>6441</v>
      </c>
    </row>
    <row r="4462" spans="1:1">
      <c r="A4462" s="149" t="s">
        <v>6442</v>
      </c>
    </row>
    <row r="4463" spans="1:1">
      <c r="A4463" s="149" t="s">
        <v>6443</v>
      </c>
    </row>
    <row r="4464" spans="1:1">
      <c r="A4464" s="149" t="s">
        <v>6444</v>
      </c>
    </row>
    <row r="4465" spans="1:1">
      <c r="A4465" s="149" t="s">
        <v>6445</v>
      </c>
    </row>
    <row r="4466" spans="1:1">
      <c r="A4466" s="149" t="s">
        <v>6446</v>
      </c>
    </row>
    <row r="4467" spans="1:1">
      <c r="A4467" s="149" t="s">
        <v>6447</v>
      </c>
    </row>
    <row r="4468" spans="1:1">
      <c r="A4468" s="149" t="s">
        <v>6448</v>
      </c>
    </row>
    <row r="4469" spans="1:1">
      <c r="A4469" s="149" t="s">
        <v>6449</v>
      </c>
    </row>
    <row r="4470" spans="1:1">
      <c r="A4470" s="149" t="s">
        <v>6450</v>
      </c>
    </row>
    <row r="4471" spans="1:1">
      <c r="A4471" s="149" t="s">
        <v>6451</v>
      </c>
    </row>
    <row r="4472" spans="1:1">
      <c r="A4472" s="149" t="s">
        <v>6452</v>
      </c>
    </row>
    <row r="4473" spans="1:1">
      <c r="A4473" s="149" t="s">
        <v>6453</v>
      </c>
    </row>
    <row r="4474" spans="1:1">
      <c r="A4474" s="149" t="s">
        <v>6454</v>
      </c>
    </row>
    <row r="4475" spans="1:1">
      <c r="A4475" s="149" t="s">
        <v>6455</v>
      </c>
    </row>
    <row r="4476" spans="1:1">
      <c r="A4476" s="149" t="s">
        <v>6456</v>
      </c>
    </row>
    <row r="4477" spans="1:1">
      <c r="A4477" s="149" t="s">
        <v>6457</v>
      </c>
    </row>
    <row r="4478" spans="1:1">
      <c r="A4478" s="149" t="s">
        <v>6458</v>
      </c>
    </row>
    <row r="4479" spans="1:1">
      <c r="A4479" s="149" t="s">
        <v>6459</v>
      </c>
    </row>
    <row r="4480" spans="1:1">
      <c r="A4480" s="149" t="s">
        <v>6460</v>
      </c>
    </row>
    <row r="4481" spans="1:1">
      <c r="A4481" s="149" t="s">
        <v>6461</v>
      </c>
    </row>
    <row r="4482" spans="1:1">
      <c r="A4482" s="149" t="s">
        <v>6462</v>
      </c>
    </row>
    <row r="4483" spans="1:1">
      <c r="A4483" s="149" t="s">
        <v>6463</v>
      </c>
    </row>
    <row r="4484" spans="1:1">
      <c r="A4484" s="149" t="s">
        <v>6464</v>
      </c>
    </row>
    <row r="4485" spans="1:1">
      <c r="A4485" s="149" t="s">
        <v>6465</v>
      </c>
    </row>
    <row r="4486" spans="1:1">
      <c r="A4486" s="149" t="s">
        <v>6466</v>
      </c>
    </row>
    <row r="4487" spans="1:1">
      <c r="A4487" s="149" t="s">
        <v>6467</v>
      </c>
    </row>
    <row r="4488" spans="1:1">
      <c r="A4488" s="149" t="s">
        <v>6468</v>
      </c>
    </row>
    <row r="4489" spans="1:1">
      <c r="A4489" s="149" t="s">
        <v>6469</v>
      </c>
    </row>
    <row r="4490" spans="1:1">
      <c r="A4490" s="149" t="s">
        <v>6470</v>
      </c>
    </row>
    <row r="4491" spans="1:1">
      <c r="A4491" s="149" t="s">
        <v>6471</v>
      </c>
    </row>
    <row r="4492" spans="1:1">
      <c r="A4492" s="149" t="s">
        <v>6472</v>
      </c>
    </row>
    <row r="4493" spans="1:1">
      <c r="A4493" s="149" t="s">
        <v>6473</v>
      </c>
    </row>
    <row r="4494" spans="1:1">
      <c r="A4494" s="149" t="s">
        <v>6474</v>
      </c>
    </row>
    <row r="4495" spans="1:1">
      <c r="A4495" s="149" t="s">
        <v>6475</v>
      </c>
    </row>
    <row r="4496" spans="1:1">
      <c r="A4496" s="149" t="s">
        <v>6476</v>
      </c>
    </row>
    <row r="4497" spans="1:1">
      <c r="A4497" s="149" t="s">
        <v>6477</v>
      </c>
    </row>
    <row r="4498" spans="1:1">
      <c r="A4498" s="149" t="s">
        <v>6478</v>
      </c>
    </row>
    <row r="4499" spans="1:1">
      <c r="A4499" s="149" t="s">
        <v>6479</v>
      </c>
    </row>
    <row r="4500" spans="1:1">
      <c r="A4500" s="149" t="s">
        <v>6480</v>
      </c>
    </row>
    <row r="4501" spans="1:1">
      <c r="A4501" s="149" t="s">
        <v>6481</v>
      </c>
    </row>
    <row r="4502" spans="1:1">
      <c r="A4502" s="149" t="s">
        <v>6482</v>
      </c>
    </row>
    <row r="4503" spans="1:1">
      <c r="A4503" s="149" t="s">
        <v>6483</v>
      </c>
    </row>
    <row r="4504" spans="1:1">
      <c r="A4504" s="149" t="s">
        <v>6484</v>
      </c>
    </row>
    <row r="4505" spans="1:1">
      <c r="A4505" s="149" t="s">
        <v>6485</v>
      </c>
    </row>
    <row r="4506" spans="1:1">
      <c r="A4506" s="149" t="s">
        <v>6486</v>
      </c>
    </row>
    <row r="4507" spans="1:1">
      <c r="A4507" s="149" t="s">
        <v>6487</v>
      </c>
    </row>
    <row r="4508" spans="1:1">
      <c r="A4508" s="149" t="s">
        <v>6488</v>
      </c>
    </row>
    <row r="4509" spans="1:1">
      <c r="A4509" s="149" t="s">
        <v>6489</v>
      </c>
    </row>
    <row r="4510" spans="1:1">
      <c r="A4510" s="149" t="s">
        <v>6490</v>
      </c>
    </row>
    <row r="4511" spans="1:1">
      <c r="A4511" s="149" t="s">
        <v>6491</v>
      </c>
    </row>
    <row r="4512" spans="1:1">
      <c r="A4512" s="149" t="s">
        <v>6492</v>
      </c>
    </row>
    <row r="4513" spans="1:1">
      <c r="A4513" s="149" t="s">
        <v>6493</v>
      </c>
    </row>
    <row r="4514" spans="1:1">
      <c r="A4514" s="149" t="s">
        <v>6494</v>
      </c>
    </row>
    <row r="4515" spans="1:1">
      <c r="A4515" s="149" t="s">
        <v>6495</v>
      </c>
    </row>
    <row r="4516" spans="1:1">
      <c r="A4516" s="149" t="s">
        <v>6496</v>
      </c>
    </row>
    <row r="4517" spans="1:1">
      <c r="A4517" s="149" t="s">
        <v>6497</v>
      </c>
    </row>
    <row r="4518" spans="1:1">
      <c r="A4518" s="149" t="s">
        <v>6498</v>
      </c>
    </row>
    <row r="4519" spans="1:1">
      <c r="A4519" s="149" t="s">
        <v>6499</v>
      </c>
    </row>
    <row r="4520" spans="1:1">
      <c r="A4520" s="149" t="s">
        <v>6500</v>
      </c>
    </row>
    <row r="4521" spans="1:1">
      <c r="A4521" s="149" t="s">
        <v>6501</v>
      </c>
    </row>
    <row r="4522" spans="1:1">
      <c r="A4522" s="149" t="s">
        <v>6502</v>
      </c>
    </row>
    <row r="4523" spans="1:1">
      <c r="A4523" s="149" t="s">
        <v>6503</v>
      </c>
    </row>
    <row r="4524" spans="1:1">
      <c r="A4524" s="149" t="s">
        <v>6504</v>
      </c>
    </row>
    <row r="4525" spans="1:1">
      <c r="A4525" s="149" t="s">
        <v>6505</v>
      </c>
    </row>
    <row r="4526" spans="1:1">
      <c r="A4526" s="149" t="s">
        <v>6506</v>
      </c>
    </row>
    <row r="4527" spans="1:1">
      <c r="A4527" s="149" t="s">
        <v>6507</v>
      </c>
    </row>
    <row r="4528" spans="1:1">
      <c r="A4528" s="149" t="s">
        <v>6508</v>
      </c>
    </row>
    <row r="4529" spans="1:1">
      <c r="A4529" s="149" t="s">
        <v>6509</v>
      </c>
    </row>
    <row r="4530" spans="1:1">
      <c r="A4530" s="149" t="s">
        <v>6510</v>
      </c>
    </row>
    <row r="4531" spans="1:1">
      <c r="A4531" s="149" t="s">
        <v>6511</v>
      </c>
    </row>
    <row r="4532" spans="1:1">
      <c r="A4532" s="149" t="s">
        <v>6512</v>
      </c>
    </row>
    <row r="4533" spans="1:1">
      <c r="A4533" s="149" t="s">
        <v>6513</v>
      </c>
    </row>
    <row r="4534" spans="1:1">
      <c r="A4534" s="149" t="s">
        <v>6514</v>
      </c>
    </row>
    <row r="4535" spans="1:1">
      <c r="A4535" s="149" t="s">
        <v>6515</v>
      </c>
    </row>
    <row r="4536" spans="1:1">
      <c r="A4536" s="149" t="s">
        <v>6516</v>
      </c>
    </row>
    <row r="4537" spans="1:1">
      <c r="A4537" s="149" t="s">
        <v>6517</v>
      </c>
    </row>
    <row r="4538" spans="1:1">
      <c r="A4538" s="149" t="s">
        <v>6518</v>
      </c>
    </row>
    <row r="4539" spans="1:1">
      <c r="A4539" s="149" t="s">
        <v>6519</v>
      </c>
    </row>
    <row r="4540" spans="1:1">
      <c r="A4540" s="149" t="s">
        <v>6520</v>
      </c>
    </row>
    <row r="4541" spans="1:1">
      <c r="A4541" s="149" t="s">
        <v>6521</v>
      </c>
    </row>
    <row r="4542" spans="1:1">
      <c r="A4542" s="149" t="s">
        <v>6522</v>
      </c>
    </row>
    <row r="4543" spans="1:1">
      <c r="A4543" s="149" t="s">
        <v>6523</v>
      </c>
    </row>
    <row r="4544" spans="1:1">
      <c r="A4544" s="149" t="s">
        <v>6524</v>
      </c>
    </row>
    <row r="4545" spans="1:1">
      <c r="A4545" s="149" t="s">
        <v>6525</v>
      </c>
    </row>
    <row r="4546" spans="1:1">
      <c r="A4546" s="149" t="s">
        <v>6526</v>
      </c>
    </row>
    <row r="4547" spans="1:1">
      <c r="A4547" s="149" t="s">
        <v>6527</v>
      </c>
    </row>
    <row r="4548" spans="1:1">
      <c r="A4548" s="149" t="s">
        <v>6528</v>
      </c>
    </row>
    <row r="4549" spans="1:1">
      <c r="A4549" s="149" t="s">
        <v>6529</v>
      </c>
    </row>
    <row r="4550" spans="1:1">
      <c r="A4550" s="149" t="s">
        <v>6530</v>
      </c>
    </row>
    <row r="4551" spans="1:1">
      <c r="A4551" s="149" t="s">
        <v>6531</v>
      </c>
    </row>
    <row r="4552" spans="1:1">
      <c r="A4552" s="149" t="s">
        <v>6532</v>
      </c>
    </row>
    <row r="4553" spans="1:1">
      <c r="A4553" s="149" t="s">
        <v>6533</v>
      </c>
    </row>
    <row r="4554" spans="1:1">
      <c r="A4554" s="149" t="s">
        <v>6534</v>
      </c>
    </row>
    <row r="4555" spans="1:1">
      <c r="A4555" s="149" t="s">
        <v>6535</v>
      </c>
    </row>
    <row r="4556" spans="1:1">
      <c r="A4556" s="149" t="s">
        <v>6536</v>
      </c>
    </row>
    <row r="4557" spans="1:1">
      <c r="A4557" s="149" t="s">
        <v>6537</v>
      </c>
    </row>
    <row r="4558" spans="1:1">
      <c r="A4558" s="149" t="s">
        <v>6538</v>
      </c>
    </row>
    <row r="4559" spans="1:1">
      <c r="A4559" s="149" t="s">
        <v>6539</v>
      </c>
    </row>
    <row r="4560" spans="1:1">
      <c r="A4560" s="149" t="s">
        <v>6540</v>
      </c>
    </row>
    <row r="4561" spans="1:1">
      <c r="A4561" s="149" t="s">
        <v>6541</v>
      </c>
    </row>
    <row r="4562" spans="1:1">
      <c r="A4562" s="149" t="s">
        <v>6542</v>
      </c>
    </row>
    <row r="4563" spans="1:1">
      <c r="A4563" s="149" t="s">
        <v>6543</v>
      </c>
    </row>
    <row r="4564" spans="1:1">
      <c r="A4564" s="149" t="s">
        <v>6544</v>
      </c>
    </row>
    <row r="4565" spans="1:1">
      <c r="A4565" s="149" t="s">
        <v>6545</v>
      </c>
    </row>
    <row r="4566" spans="1:1">
      <c r="A4566" s="149" t="s">
        <v>6546</v>
      </c>
    </row>
    <row r="4567" spans="1:1">
      <c r="A4567" s="149" t="s">
        <v>6547</v>
      </c>
    </row>
    <row r="4568" spans="1:1">
      <c r="A4568" s="149" t="s">
        <v>6548</v>
      </c>
    </row>
    <row r="4569" spans="1:1">
      <c r="A4569" s="149" t="s">
        <v>6549</v>
      </c>
    </row>
    <row r="4570" spans="1:1">
      <c r="A4570" s="149" t="s">
        <v>6550</v>
      </c>
    </row>
    <row r="4571" spans="1:1">
      <c r="A4571" s="149" t="s">
        <v>6551</v>
      </c>
    </row>
    <row r="4572" spans="1:1">
      <c r="A4572" s="149" t="s">
        <v>6552</v>
      </c>
    </row>
    <row r="4573" spans="1:1">
      <c r="A4573" s="149" t="s">
        <v>6553</v>
      </c>
    </row>
    <row r="4574" spans="1:1">
      <c r="A4574" s="149" t="s">
        <v>6554</v>
      </c>
    </row>
    <row r="4575" spans="1:1">
      <c r="A4575" s="149" t="s">
        <v>6555</v>
      </c>
    </row>
    <row r="4576" spans="1:1">
      <c r="A4576" s="149" t="s">
        <v>6556</v>
      </c>
    </row>
    <row r="4577" spans="1:1">
      <c r="A4577" s="149" t="s">
        <v>6557</v>
      </c>
    </row>
    <row r="4578" spans="1:1">
      <c r="A4578" s="149" t="s">
        <v>6558</v>
      </c>
    </row>
    <row r="4579" spans="1:1">
      <c r="A4579" s="149" t="s">
        <v>6559</v>
      </c>
    </row>
    <row r="4580" spans="1:1">
      <c r="A4580" s="149" t="s">
        <v>6560</v>
      </c>
    </row>
    <row r="4581" spans="1:1">
      <c r="A4581" s="149" t="s">
        <v>6561</v>
      </c>
    </row>
    <row r="4582" spans="1:1">
      <c r="A4582" s="149" t="s">
        <v>6562</v>
      </c>
    </row>
    <row r="4583" spans="1:1">
      <c r="A4583" s="149" t="s">
        <v>6563</v>
      </c>
    </row>
    <row r="4584" spans="1:1">
      <c r="A4584" s="149" t="s">
        <v>6564</v>
      </c>
    </row>
    <row r="4585" spans="1:1">
      <c r="A4585" s="149" t="s">
        <v>6565</v>
      </c>
    </row>
    <row r="4586" spans="1:1">
      <c r="A4586" s="149" t="s">
        <v>6566</v>
      </c>
    </row>
    <row r="4587" spans="1:1">
      <c r="A4587" s="149" t="s">
        <v>6567</v>
      </c>
    </row>
    <row r="4588" spans="1:1">
      <c r="A4588" s="149" t="s">
        <v>6568</v>
      </c>
    </row>
    <row r="4589" spans="1:1">
      <c r="A4589" s="149" t="s">
        <v>6569</v>
      </c>
    </row>
    <row r="4590" spans="1:1">
      <c r="A4590" s="149" t="s">
        <v>6570</v>
      </c>
    </row>
    <row r="4591" spans="1:1">
      <c r="A4591" s="149" t="s">
        <v>6571</v>
      </c>
    </row>
    <row r="4592" spans="1:1">
      <c r="A4592" s="149" t="s">
        <v>6572</v>
      </c>
    </row>
    <row r="4593" spans="1:1">
      <c r="A4593" s="149" t="s">
        <v>6573</v>
      </c>
    </row>
    <row r="4594" spans="1:1">
      <c r="A4594" s="149" t="s">
        <v>6574</v>
      </c>
    </row>
    <row r="4595" spans="1:1">
      <c r="A4595" s="149" t="s">
        <v>6575</v>
      </c>
    </row>
    <row r="4596" spans="1:1">
      <c r="A4596" s="149" t="s">
        <v>6576</v>
      </c>
    </row>
    <row r="4597" spans="1:1">
      <c r="A4597" s="149" t="s">
        <v>6577</v>
      </c>
    </row>
    <row r="4598" spans="1:1">
      <c r="A4598" s="149" t="s">
        <v>6578</v>
      </c>
    </row>
    <row r="4599" spans="1:1">
      <c r="A4599" s="149" t="s">
        <v>6579</v>
      </c>
    </row>
    <row r="4600" spans="1:1">
      <c r="A4600" s="149" t="s">
        <v>6580</v>
      </c>
    </row>
    <row r="4601" spans="1:1">
      <c r="A4601" s="149" t="s">
        <v>6581</v>
      </c>
    </row>
    <row r="4602" spans="1:1">
      <c r="A4602" s="149" t="s">
        <v>6582</v>
      </c>
    </row>
    <row r="4603" spans="1:1">
      <c r="A4603" s="149" t="s">
        <v>6583</v>
      </c>
    </row>
    <row r="4604" spans="1:1">
      <c r="A4604" s="149" t="s">
        <v>6584</v>
      </c>
    </row>
    <row r="4605" spans="1:1">
      <c r="A4605" s="149" t="s">
        <v>6585</v>
      </c>
    </row>
    <row r="4606" spans="1:1">
      <c r="A4606" s="149" t="s">
        <v>6586</v>
      </c>
    </row>
    <row r="4607" spans="1:1">
      <c r="A4607" s="149" t="s">
        <v>6587</v>
      </c>
    </row>
    <row r="4608" spans="1:1">
      <c r="A4608" s="149" t="s">
        <v>6588</v>
      </c>
    </row>
    <row r="4609" spans="1:1">
      <c r="A4609" s="149" t="s">
        <v>6589</v>
      </c>
    </row>
    <row r="4610" spans="1:1">
      <c r="A4610" s="149" t="s">
        <v>6590</v>
      </c>
    </row>
    <row r="4611" spans="1:1">
      <c r="A4611" s="149" t="s">
        <v>6591</v>
      </c>
    </row>
    <row r="4612" spans="1:1">
      <c r="A4612" s="149" t="s">
        <v>6592</v>
      </c>
    </row>
    <row r="4613" spans="1:1">
      <c r="A4613" s="149" t="s">
        <v>6593</v>
      </c>
    </row>
    <row r="4614" spans="1:1">
      <c r="A4614" s="149" t="s">
        <v>6594</v>
      </c>
    </row>
    <row r="4615" spans="1:1">
      <c r="A4615" s="149" t="s">
        <v>6595</v>
      </c>
    </row>
    <row r="4616" spans="1:1">
      <c r="A4616" s="149" t="s">
        <v>6596</v>
      </c>
    </row>
    <row r="4617" spans="1:1">
      <c r="A4617" s="149" t="s">
        <v>6597</v>
      </c>
    </row>
    <row r="4618" spans="1:1">
      <c r="A4618" s="149" t="s">
        <v>6598</v>
      </c>
    </row>
    <row r="4619" spans="1:1">
      <c r="A4619" s="149" t="s">
        <v>6599</v>
      </c>
    </row>
    <row r="4620" spans="1:1">
      <c r="A4620" s="149" t="s">
        <v>6600</v>
      </c>
    </row>
    <row r="4621" spans="1:1">
      <c r="A4621" s="149" t="s">
        <v>6601</v>
      </c>
    </row>
    <row r="4622" spans="1:1">
      <c r="A4622" s="149" t="s">
        <v>6602</v>
      </c>
    </row>
    <row r="4623" spans="1:1">
      <c r="A4623" s="149" t="s">
        <v>6603</v>
      </c>
    </row>
    <row r="4624" spans="1:1">
      <c r="A4624" s="149" t="s">
        <v>6604</v>
      </c>
    </row>
    <row r="4625" spans="1:1">
      <c r="A4625" s="149" t="s">
        <v>6605</v>
      </c>
    </row>
    <row r="4626" spans="1:1">
      <c r="A4626" s="149" t="s">
        <v>6606</v>
      </c>
    </row>
    <row r="4627" spans="1:1">
      <c r="A4627" s="149" t="s">
        <v>6607</v>
      </c>
    </row>
    <row r="4628" spans="1:1">
      <c r="A4628" s="149" t="s">
        <v>6608</v>
      </c>
    </row>
    <row r="4629" spans="1:1">
      <c r="A4629" s="149" t="s">
        <v>6609</v>
      </c>
    </row>
    <row r="4630" spans="1:1">
      <c r="A4630" s="149" t="s">
        <v>6610</v>
      </c>
    </row>
    <row r="4631" spans="1:1">
      <c r="A4631" s="149" t="s">
        <v>6611</v>
      </c>
    </row>
    <row r="4632" spans="1:1">
      <c r="A4632" s="149" t="s">
        <v>6612</v>
      </c>
    </row>
    <row r="4633" spans="1:1">
      <c r="A4633" s="149" t="s">
        <v>6613</v>
      </c>
    </row>
    <row r="4634" spans="1:1">
      <c r="A4634" s="149" t="s">
        <v>6614</v>
      </c>
    </row>
    <row r="4635" spans="1:1">
      <c r="A4635" s="149" t="s">
        <v>6615</v>
      </c>
    </row>
    <row r="4636" spans="1:1">
      <c r="A4636" s="149" t="s">
        <v>6616</v>
      </c>
    </row>
    <row r="4637" spans="1:1">
      <c r="A4637" s="149" t="s">
        <v>6617</v>
      </c>
    </row>
    <row r="4638" spans="1:1">
      <c r="A4638" s="149" t="s">
        <v>6618</v>
      </c>
    </row>
    <row r="4639" spans="1:1">
      <c r="A4639" s="149" t="s">
        <v>6619</v>
      </c>
    </row>
    <row r="4640" spans="1:1">
      <c r="A4640" s="149" t="s">
        <v>6620</v>
      </c>
    </row>
    <row r="4641" spans="1:1">
      <c r="A4641" s="149" t="s">
        <v>6621</v>
      </c>
    </row>
    <row r="4642" spans="1:1">
      <c r="A4642" s="149" t="s">
        <v>6622</v>
      </c>
    </row>
    <row r="4643" spans="1:1">
      <c r="A4643" s="149" t="s">
        <v>6623</v>
      </c>
    </row>
    <row r="4644" spans="1:1">
      <c r="A4644" s="149" t="s">
        <v>6624</v>
      </c>
    </row>
    <row r="4645" spans="1:1">
      <c r="A4645" s="149" t="s">
        <v>6625</v>
      </c>
    </row>
    <row r="4646" spans="1:1">
      <c r="A4646" s="149" t="s">
        <v>6626</v>
      </c>
    </row>
    <row r="4647" spans="1:1">
      <c r="A4647" s="149" t="s">
        <v>6627</v>
      </c>
    </row>
    <row r="4648" spans="1:1">
      <c r="A4648" s="149" t="s">
        <v>6628</v>
      </c>
    </row>
    <row r="4649" spans="1:1">
      <c r="A4649" s="149" t="s">
        <v>6629</v>
      </c>
    </row>
    <row r="4650" spans="1:1">
      <c r="A4650" s="149" t="s">
        <v>6630</v>
      </c>
    </row>
    <row r="4651" spans="1:1">
      <c r="A4651" s="149" t="s">
        <v>6631</v>
      </c>
    </row>
    <row r="4652" spans="1:1">
      <c r="A4652" s="149" t="s">
        <v>6632</v>
      </c>
    </row>
    <row r="4653" spans="1:1">
      <c r="A4653" s="149" t="s">
        <v>6633</v>
      </c>
    </row>
    <row r="4654" spans="1:1">
      <c r="A4654" s="149" t="s">
        <v>6634</v>
      </c>
    </row>
    <row r="4655" spans="1:1">
      <c r="A4655" s="149" t="s">
        <v>6635</v>
      </c>
    </row>
    <row r="4656" spans="1:1">
      <c r="A4656" s="149" t="s">
        <v>6636</v>
      </c>
    </row>
    <row r="4657" spans="1:1">
      <c r="A4657" s="149" t="s">
        <v>6637</v>
      </c>
    </row>
    <row r="4658" spans="1:1">
      <c r="A4658" s="149" t="s">
        <v>6638</v>
      </c>
    </row>
    <row r="4659" spans="1:1">
      <c r="A4659" s="149" t="s">
        <v>6639</v>
      </c>
    </row>
    <row r="4660" spans="1:1">
      <c r="A4660" s="149" t="s">
        <v>6640</v>
      </c>
    </row>
    <row r="4661" spans="1:1">
      <c r="A4661" s="149" t="s">
        <v>6641</v>
      </c>
    </row>
    <row r="4662" spans="1:1">
      <c r="A4662" s="149" t="s">
        <v>6642</v>
      </c>
    </row>
    <row r="4663" spans="1:1">
      <c r="A4663" s="149" t="s">
        <v>6643</v>
      </c>
    </row>
    <row r="4664" spans="1:1">
      <c r="A4664" s="149" t="s">
        <v>6644</v>
      </c>
    </row>
    <row r="4665" spans="1:1">
      <c r="A4665" s="149" t="s">
        <v>6645</v>
      </c>
    </row>
    <row r="4666" spans="1:1">
      <c r="A4666" s="149" t="s">
        <v>6646</v>
      </c>
    </row>
    <row r="4667" spans="1:1">
      <c r="A4667" s="149" t="s">
        <v>6647</v>
      </c>
    </row>
    <row r="4668" spans="1:1">
      <c r="A4668" s="149" t="s">
        <v>6648</v>
      </c>
    </row>
    <row r="4669" spans="1:1">
      <c r="A4669" s="149" t="s">
        <v>6649</v>
      </c>
    </row>
    <row r="4670" spans="1:1">
      <c r="A4670" s="149" t="s">
        <v>6650</v>
      </c>
    </row>
    <row r="4671" spans="1:1">
      <c r="A4671" s="149" t="s">
        <v>6651</v>
      </c>
    </row>
    <row r="4672" spans="1:1">
      <c r="A4672" s="149" t="s">
        <v>6652</v>
      </c>
    </row>
    <row r="4673" spans="1:1">
      <c r="A4673" s="149" t="s">
        <v>6653</v>
      </c>
    </row>
    <row r="4674" spans="1:1">
      <c r="A4674" s="149" t="s">
        <v>6654</v>
      </c>
    </row>
    <row r="4675" spans="1:1">
      <c r="A4675" s="149" t="s">
        <v>6655</v>
      </c>
    </row>
    <row r="4676" spans="1:1">
      <c r="A4676" s="149" t="s">
        <v>6656</v>
      </c>
    </row>
    <row r="4677" spans="1:1">
      <c r="A4677" s="149" t="s">
        <v>6657</v>
      </c>
    </row>
    <row r="4678" spans="1:1">
      <c r="A4678" s="149" t="s">
        <v>6658</v>
      </c>
    </row>
    <row r="4679" spans="1:1">
      <c r="A4679" s="149" t="s">
        <v>6659</v>
      </c>
    </row>
    <row r="4680" spans="1:1">
      <c r="A4680" s="149" t="s">
        <v>6660</v>
      </c>
    </row>
    <row r="4681" spans="1:1">
      <c r="A4681" s="149" t="s">
        <v>6661</v>
      </c>
    </row>
    <row r="4682" spans="1:1">
      <c r="A4682" s="149" t="s">
        <v>6662</v>
      </c>
    </row>
    <row r="4683" spans="1:1">
      <c r="A4683" s="149" t="s">
        <v>6663</v>
      </c>
    </row>
    <row r="4684" spans="1:1">
      <c r="A4684" s="149" t="s">
        <v>6664</v>
      </c>
    </row>
    <row r="4685" spans="1:1">
      <c r="A4685" s="149" t="s">
        <v>6665</v>
      </c>
    </row>
    <row r="4686" spans="1:1">
      <c r="A4686" s="149" t="s">
        <v>6666</v>
      </c>
    </row>
    <row r="4687" spans="1:1">
      <c r="A4687" s="149" t="s">
        <v>6667</v>
      </c>
    </row>
    <row r="4688" spans="1:1">
      <c r="A4688" s="149" t="s">
        <v>6668</v>
      </c>
    </row>
    <row r="4689" spans="1:1">
      <c r="A4689" s="149" t="s">
        <v>6669</v>
      </c>
    </row>
    <row r="4690" spans="1:1">
      <c r="A4690" s="149" t="s">
        <v>6670</v>
      </c>
    </row>
    <row r="4691" spans="1:1">
      <c r="A4691" s="149" t="s">
        <v>6671</v>
      </c>
    </row>
    <row r="4692" spans="1:1">
      <c r="A4692" s="149" t="s">
        <v>6672</v>
      </c>
    </row>
    <row r="4693" spans="1:1">
      <c r="A4693" s="149" t="s">
        <v>6673</v>
      </c>
    </row>
    <row r="4694" spans="1:1">
      <c r="A4694" s="149" t="s">
        <v>6674</v>
      </c>
    </row>
    <row r="4695" spans="1:1">
      <c r="A4695" s="149" t="s">
        <v>6675</v>
      </c>
    </row>
    <row r="4696" spans="1:1">
      <c r="A4696" s="149" t="s">
        <v>6676</v>
      </c>
    </row>
    <row r="4697" spans="1:1">
      <c r="A4697" s="149" t="s">
        <v>6677</v>
      </c>
    </row>
    <row r="4698" spans="1:1">
      <c r="A4698" s="149" t="s">
        <v>6678</v>
      </c>
    </row>
    <row r="4699" spans="1:1">
      <c r="A4699" s="149" t="s">
        <v>6679</v>
      </c>
    </row>
    <row r="4700" spans="1:1">
      <c r="A4700" s="149" t="s">
        <v>6680</v>
      </c>
    </row>
    <row r="4701" spans="1:1">
      <c r="A4701" s="149" t="s">
        <v>6681</v>
      </c>
    </row>
    <row r="4702" spans="1:1">
      <c r="A4702" s="149" t="s">
        <v>6682</v>
      </c>
    </row>
    <row r="4703" spans="1:1">
      <c r="A4703" s="149" t="s">
        <v>6683</v>
      </c>
    </row>
    <row r="4704" spans="1:1">
      <c r="A4704" s="149" t="s">
        <v>6684</v>
      </c>
    </row>
    <row r="4705" spans="1:1">
      <c r="A4705" s="149" t="s">
        <v>6685</v>
      </c>
    </row>
    <row r="4706" spans="1:1">
      <c r="A4706" s="149" t="s">
        <v>6686</v>
      </c>
    </row>
    <row r="4707" spans="1:1">
      <c r="A4707" s="149" t="s">
        <v>6687</v>
      </c>
    </row>
    <row r="4708" spans="1:1">
      <c r="A4708" s="149" t="s">
        <v>6688</v>
      </c>
    </row>
    <row r="4709" spans="1:1">
      <c r="A4709" s="149" t="s">
        <v>6689</v>
      </c>
    </row>
    <row r="4710" spans="1:1">
      <c r="A4710" s="149" t="s">
        <v>6690</v>
      </c>
    </row>
    <row r="4711" spans="1:1">
      <c r="A4711" s="149" t="s">
        <v>6691</v>
      </c>
    </row>
    <row r="4712" spans="1:1">
      <c r="A4712" s="149" t="s">
        <v>6692</v>
      </c>
    </row>
    <row r="4713" spans="1:1">
      <c r="A4713" s="149" t="s">
        <v>6693</v>
      </c>
    </row>
    <row r="4714" spans="1:1">
      <c r="A4714" s="149" t="s">
        <v>6694</v>
      </c>
    </row>
    <row r="4715" spans="1:1">
      <c r="A4715" s="149" t="s">
        <v>6695</v>
      </c>
    </row>
    <row r="4716" spans="1:1">
      <c r="A4716" s="149" t="s">
        <v>6696</v>
      </c>
    </row>
    <row r="4717" spans="1:1">
      <c r="A4717" s="149" t="s">
        <v>6697</v>
      </c>
    </row>
    <row r="4718" spans="1:1">
      <c r="A4718" s="149" t="s">
        <v>6698</v>
      </c>
    </row>
    <row r="4719" spans="1:1">
      <c r="A4719" s="149" t="s">
        <v>6699</v>
      </c>
    </row>
    <row r="4720" spans="1:1">
      <c r="A4720" s="149" t="s">
        <v>6700</v>
      </c>
    </row>
    <row r="4721" spans="1:1">
      <c r="A4721" s="149" t="s">
        <v>6701</v>
      </c>
    </row>
    <row r="4722" spans="1:1">
      <c r="A4722" s="149" t="s">
        <v>6702</v>
      </c>
    </row>
    <row r="4723" spans="1:1">
      <c r="A4723" s="149" t="s">
        <v>6703</v>
      </c>
    </row>
    <row r="4724" spans="1:1">
      <c r="A4724" s="149" t="s">
        <v>6704</v>
      </c>
    </row>
    <row r="4725" spans="1:1">
      <c r="A4725" s="149" t="s">
        <v>6705</v>
      </c>
    </row>
    <row r="4726" spans="1:1">
      <c r="A4726" s="149" t="s">
        <v>6706</v>
      </c>
    </row>
    <row r="4727" spans="1:1">
      <c r="A4727" s="149" t="s">
        <v>6707</v>
      </c>
    </row>
    <row r="4728" spans="1:1">
      <c r="A4728" s="149" t="s">
        <v>6708</v>
      </c>
    </row>
    <row r="4729" spans="1:1">
      <c r="A4729" s="149" t="s">
        <v>6709</v>
      </c>
    </row>
    <row r="4730" spans="1:1">
      <c r="A4730" s="149" t="s">
        <v>6710</v>
      </c>
    </row>
    <row r="4731" spans="1:1">
      <c r="A4731" s="149" t="s">
        <v>6711</v>
      </c>
    </row>
    <row r="4732" spans="1:1">
      <c r="A4732" s="149" t="s">
        <v>6712</v>
      </c>
    </row>
    <row r="4733" spans="1:1">
      <c r="A4733" s="149" t="s">
        <v>6713</v>
      </c>
    </row>
    <row r="4734" spans="1:1">
      <c r="A4734" s="149" t="s">
        <v>6714</v>
      </c>
    </row>
    <row r="4735" spans="1:1">
      <c r="A4735" s="149" t="s">
        <v>6715</v>
      </c>
    </row>
    <row r="4736" spans="1:1">
      <c r="A4736" s="149" t="s">
        <v>6716</v>
      </c>
    </row>
    <row r="4737" spans="1:1">
      <c r="A4737" s="149" t="s">
        <v>6717</v>
      </c>
    </row>
    <row r="4738" spans="1:1">
      <c r="A4738" s="149" t="s">
        <v>6718</v>
      </c>
    </row>
    <row r="4739" spans="1:1">
      <c r="A4739" s="149" t="s">
        <v>6719</v>
      </c>
    </row>
    <row r="4740" spans="1:1">
      <c r="A4740" s="149" t="s">
        <v>6720</v>
      </c>
    </row>
    <row r="4741" spans="1:1">
      <c r="A4741" s="149" t="s">
        <v>6721</v>
      </c>
    </row>
    <row r="4742" spans="1:1">
      <c r="A4742" s="149" t="s">
        <v>6722</v>
      </c>
    </row>
    <row r="4743" spans="1:1">
      <c r="A4743" s="149" t="s">
        <v>6723</v>
      </c>
    </row>
    <row r="4744" spans="1:1">
      <c r="A4744" s="149" t="s">
        <v>6724</v>
      </c>
    </row>
    <row r="4745" spans="1:1">
      <c r="A4745" s="149" t="s">
        <v>6725</v>
      </c>
    </row>
    <row r="4746" spans="1:1">
      <c r="A4746" s="149" t="s">
        <v>6726</v>
      </c>
    </row>
    <row r="4747" spans="1:1">
      <c r="A4747" s="149" t="s">
        <v>6727</v>
      </c>
    </row>
    <row r="4748" spans="1:1">
      <c r="A4748" s="149" t="s">
        <v>6728</v>
      </c>
    </row>
    <row r="4749" spans="1:1">
      <c r="A4749" s="149" t="s">
        <v>6729</v>
      </c>
    </row>
    <row r="4750" spans="1:1">
      <c r="A4750" s="149" t="s">
        <v>6730</v>
      </c>
    </row>
    <row r="4751" spans="1:1">
      <c r="A4751" s="149" t="s">
        <v>6731</v>
      </c>
    </row>
    <row r="4752" spans="1:1">
      <c r="A4752" s="149" t="s">
        <v>6732</v>
      </c>
    </row>
    <row r="4753" spans="1:1">
      <c r="A4753" s="149" t="s">
        <v>6733</v>
      </c>
    </row>
    <row r="4754" spans="1:1">
      <c r="A4754" s="149" t="s">
        <v>6734</v>
      </c>
    </row>
    <row r="4755" spans="1:1">
      <c r="A4755" s="149" t="s">
        <v>6735</v>
      </c>
    </row>
    <row r="4756" spans="1:1">
      <c r="A4756" s="149" t="s">
        <v>6736</v>
      </c>
    </row>
    <row r="4757" spans="1:1">
      <c r="A4757" s="149" t="s">
        <v>6737</v>
      </c>
    </row>
    <row r="4758" spans="1:1">
      <c r="A4758" s="149" t="s">
        <v>6738</v>
      </c>
    </row>
    <row r="4759" spans="1:1">
      <c r="A4759" s="149" t="s">
        <v>6739</v>
      </c>
    </row>
    <row r="4760" spans="1:1">
      <c r="A4760" s="149" t="s">
        <v>6740</v>
      </c>
    </row>
    <row r="4761" spans="1:1">
      <c r="A4761" s="149" t="s">
        <v>6741</v>
      </c>
    </row>
    <row r="4762" spans="1:1">
      <c r="A4762" s="149" t="s">
        <v>6742</v>
      </c>
    </row>
    <row r="4763" spans="1:1">
      <c r="A4763" s="149" t="s">
        <v>6743</v>
      </c>
    </row>
    <row r="4764" spans="1:1">
      <c r="A4764" s="149" t="s">
        <v>6744</v>
      </c>
    </row>
    <row r="4765" spans="1:1">
      <c r="A4765" s="149" t="s">
        <v>6745</v>
      </c>
    </row>
    <row r="4766" spans="1:1">
      <c r="A4766" s="149" t="s">
        <v>6746</v>
      </c>
    </row>
    <row r="4767" spans="1:1">
      <c r="A4767" s="149" t="s">
        <v>6747</v>
      </c>
    </row>
    <row r="4768" spans="1:1">
      <c r="A4768" s="149" t="s">
        <v>6748</v>
      </c>
    </row>
    <row r="4769" spans="1:1">
      <c r="A4769" s="149" t="s">
        <v>6749</v>
      </c>
    </row>
    <row r="4770" spans="1:1">
      <c r="A4770" s="149" t="s">
        <v>6750</v>
      </c>
    </row>
    <row r="4771" spans="1:1">
      <c r="A4771" s="149" t="s">
        <v>6751</v>
      </c>
    </row>
    <row r="4772" spans="1:1">
      <c r="A4772" s="149" t="s">
        <v>6752</v>
      </c>
    </row>
    <row r="4773" spans="1:1">
      <c r="A4773" s="149" t="s">
        <v>6753</v>
      </c>
    </row>
    <row r="4774" spans="1:1">
      <c r="A4774" s="149" t="s">
        <v>6754</v>
      </c>
    </row>
    <row r="4775" spans="1:1">
      <c r="A4775" s="149" t="s">
        <v>6755</v>
      </c>
    </row>
    <row r="4776" spans="1:1">
      <c r="A4776" s="149" t="s">
        <v>6756</v>
      </c>
    </row>
    <row r="4777" spans="1:1">
      <c r="A4777" s="149" t="s">
        <v>6757</v>
      </c>
    </row>
    <row r="4778" spans="1:1">
      <c r="A4778" s="149" t="s">
        <v>6758</v>
      </c>
    </row>
    <row r="4779" spans="1:1">
      <c r="A4779" s="149" t="s">
        <v>6759</v>
      </c>
    </row>
    <row r="4780" spans="1:1">
      <c r="A4780" s="149" t="s">
        <v>6760</v>
      </c>
    </row>
    <row r="4781" spans="1:1">
      <c r="A4781" s="149" t="s">
        <v>6761</v>
      </c>
    </row>
    <row r="4782" spans="1:1">
      <c r="A4782" s="149" t="s">
        <v>6762</v>
      </c>
    </row>
    <row r="4783" spans="1:1">
      <c r="A4783" s="149" t="s">
        <v>6763</v>
      </c>
    </row>
    <row r="4784" spans="1:1">
      <c r="A4784" s="149" t="s">
        <v>6764</v>
      </c>
    </row>
    <row r="4785" spans="1:1">
      <c r="A4785" s="149" t="s">
        <v>6765</v>
      </c>
    </row>
    <row r="4786" spans="1:1">
      <c r="A4786" s="149" t="s">
        <v>6766</v>
      </c>
    </row>
    <row r="4787" spans="1:1">
      <c r="A4787" s="149" t="s">
        <v>6767</v>
      </c>
    </row>
    <row r="4788" spans="1:1">
      <c r="A4788" s="149" t="s">
        <v>6768</v>
      </c>
    </row>
    <row r="4789" spans="1:1">
      <c r="A4789" s="149" t="s">
        <v>6769</v>
      </c>
    </row>
    <row r="4790" spans="1:1">
      <c r="A4790" s="149" t="s">
        <v>6770</v>
      </c>
    </row>
    <row r="4791" spans="1:1">
      <c r="A4791" s="149" t="s">
        <v>6771</v>
      </c>
    </row>
    <row r="4792" spans="1:1">
      <c r="A4792" s="149" t="s">
        <v>6772</v>
      </c>
    </row>
    <row r="4793" spans="1:1">
      <c r="A4793" s="149" t="s">
        <v>6773</v>
      </c>
    </row>
    <row r="4794" spans="1:1">
      <c r="A4794" s="149" t="s">
        <v>6774</v>
      </c>
    </row>
    <row r="4795" spans="1:1">
      <c r="A4795" s="149" t="s">
        <v>6775</v>
      </c>
    </row>
    <row r="4796" spans="1:1">
      <c r="A4796" s="149" t="s">
        <v>6776</v>
      </c>
    </row>
    <row r="4797" spans="1:1">
      <c r="A4797" s="149" t="s">
        <v>6777</v>
      </c>
    </row>
    <row r="4798" spans="1:1">
      <c r="A4798" s="149" t="s">
        <v>6778</v>
      </c>
    </row>
    <row r="4799" spans="1:1">
      <c r="A4799" s="149" t="s">
        <v>6779</v>
      </c>
    </row>
    <row r="4800" spans="1:1">
      <c r="A4800" s="149" t="s">
        <v>6780</v>
      </c>
    </row>
    <row r="4801" spans="1:1">
      <c r="A4801" s="149" t="s">
        <v>6781</v>
      </c>
    </row>
    <row r="4802" spans="1:1">
      <c r="A4802" s="149" t="s">
        <v>6782</v>
      </c>
    </row>
    <row r="4803" spans="1:1">
      <c r="A4803" s="149" t="s">
        <v>6783</v>
      </c>
    </row>
    <row r="4804" spans="1:1">
      <c r="A4804" s="149" t="s">
        <v>6784</v>
      </c>
    </row>
    <row r="4805" spans="1:1">
      <c r="A4805" s="149" t="s">
        <v>6785</v>
      </c>
    </row>
    <row r="4806" spans="1:1">
      <c r="A4806" s="149" t="s">
        <v>6786</v>
      </c>
    </row>
    <row r="4807" spans="1:1">
      <c r="A4807" s="149" t="s">
        <v>6787</v>
      </c>
    </row>
    <row r="4808" spans="1:1">
      <c r="A4808" s="149" t="s">
        <v>6788</v>
      </c>
    </row>
    <row r="4809" spans="1:1">
      <c r="A4809" s="149" t="s">
        <v>6789</v>
      </c>
    </row>
    <row r="4810" spans="1:1">
      <c r="A4810" s="149" t="s">
        <v>6790</v>
      </c>
    </row>
    <row r="4811" spans="1:1">
      <c r="A4811" s="149" t="s">
        <v>6791</v>
      </c>
    </row>
    <row r="4812" spans="1:1">
      <c r="A4812" s="149" t="s">
        <v>6792</v>
      </c>
    </row>
    <row r="4813" spans="1:1">
      <c r="A4813" s="149" t="s">
        <v>6793</v>
      </c>
    </row>
    <row r="4814" spans="1:1">
      <c r="A4814" s="149" t="s">
        <v>6794</v>
      </c>
    </row>
    <row r="4815" spans="1:1">
      <c r="A4815" s="149" t="s">
        <v>6795</v>
      </c>
    </row>
    <row r="4816" spans="1:1">
      <c r="A4816" s="149" t="s">
        <v>6796</v>
      </c>
    </row>
    <row r="4817" spans="1:1">
      <c r="A4817" s="149" t="s">
        <v>6797</v>
      </c>
    </row>
    <row r="4818" spans="1:1">
      <c r="A4818" s="149" t="s">
        <v>6798</v>
      </c>
    </row>
    <row r="4819" spans="1:1">
      <c r="A4819" s="149" t="s">
        <v>6799</v>
      </c>
    </row>
    <row r="4820" spans="1:1">
      <c r="A4820" s="149" t="s">
        <v>6800</v>
      </c>
    </row>
    <row r="4821" spans="1:1">
      <c r="A4821" s="149" t="s">
        <v>6801</v>
      </c>
    </row>
    <row r="4822" spans="1:1">
      <c r="A4822" s="149" t="s">
        <v>6802</v>
      </c>
    </row>
    <row r="4823" spans="1:1">
      <c r="A4823" s="149" t="s">
        <v>6803</v>
      </c>
    </row>
    <row r="4824" spans="1:1">
      <c r="A4824" s="149" t="s">
        <v>6804</v>
      </c>
    </row>
    <row r="4825" spans="1:1">
      <c r="A4825" s="149" t="s">
        <v>6805</v>
      </c>
    </row>
    <row r="4826" spans="1:1">
      <c r="A4826" s="149" t="s">
        <v>6806</v>
      </c>
    </row>
    <row r="4827" spans="1:1">
      <c r="A4827" s="149" t="s">
        <v>6807</v>
      </c>
    </row>
    <row r="4828" spans="1:1">
      <c r="A4828" s="149" t="s">
        <v>6808</v>
      </c>
    </row>
    <row r="4829" spans="1:1">
      <c r="A4829" s="149" t="s">
        <v>6809</v>
      </c>
    </row>
    <row r="4830" spans="1:1">
      <c r="A4830" s="149" t="s">
        <v>6810</v>
      </c>
    </row>
    <row r="4831" spans="1:1">
      <c r="A4831" s="149" t="s">
        <v>6811</v>
      </c>
    </row>
    <row r="4832" spans="1:1">
      <c r="A4832" s="149" t="s">
        <v>6812</v>
      </c>
    </row>
    <row r="4833" spans="1:1">
      <c r="A4833" s="149" t="s">
        <v>6813</v>
      </c>
    </row>
    <row r="4834" spans="1:1">
      <c r="A4834" s="149" t="s">
        <v>6814</v>
      </c>
    </row>
    <row r="4835" spans="1:1">
      <c r="A4835" s="149" t="s">
        <v>6815</v>
      </c>
    </row>
    <row r="4836" spans="1:1">
      <c r="A4836" s="149" t="s">
        <v>6816</v>
      </c>
    </row>
    <row r="4837" spans="1:1">
      <c r="A4837" s="149" t="s">
        <v>6817</v>
      </c>
    </row>
    <row r="4838" spans="1:1">
      <c r="A4838" s="149" t="s">
        <v>6818</v>
      </c>
    </row>
    <row r="4839" spans="1:1">
      <c r="A4839" s="149" t="s">
        <v>6819</v>
      </c>
    </row>
    <row r="4840" spans="1:1">
      <c r="A4840" s="149" t="s">
        <v>6820</v>
      </c>
    </row>
    <row r="4841" spans="1:1">
      <c r="A4841" s="149" t="s">
        <v>6821</v>
      </c>
    </row>
    <row r="4842" spans="1:1">
      <c r="A4842" s="149" t="s">
        <v>6822</v>
      </c>
    </row>
    <row r="4843" spans="1:1">
      <c r="A4843" s="149" t="s">
        <v>6823</v>
      </c>
    </row>
    <row r="4844" spans="1:1">
      <c r="A4844" s="149" t="s">
        <v>6824</v>
      </c>
    </row>
    <row r="4845" spans="1:1">
      <c r="A4845" s="149" t="s">
        <v>6825</v>
      </c>
    </row>
    <row r="4846" spans="1:1">
      <c r="A4846" s="149" t="s">
        <v>6826</v>
      </c>
    </row>
    <row r="4847" spans="1:1">
      <c r="A4847" s="149" t="s">
        <v>6827</v>
      </c>
    </row>
    <row r="4848" spans="1:1">
      <c r="A4848" s="149" t="s">
        <v>6828</v>
      </c>
    </row>
    <row r="4849" spans="1:1">
      <c r="A4849" s="149" t="s">
        <v>6829</v>
      </c>
    </row>
    <row r="4850" spans="1:1">
      <c r="A4850" s="149" t="s">
        <v>6830</v>
      </c>
    </row>
    <row r="4851" spans="1:1">
      <c r="A4851" s="149" t="s">
        <v>6831</v>
      </c>
    </row>
    <row r="4852" spans="1:1">
      <c r="A4852" s="149" t="s">
        <v>6832</v>
      </c>
    </row>
    <row r="4853" spans="1:1">
      <c r="A4853" s="149" t="s">
        <v>6833</v>
      </c>
    </row>
    <row r="4854" spans="1:1">
      <c r="A4854" s="149" t="s">
        <v>6834</v>
      </c>
    </row>
    <row r="4855" spans="1:1">
      <c r="A4855" s="149" t="s">
        <v>6835</v>
      </c>
    </row>
    <row r="4856" spans="1:1">
      <c r="A4856" s="149" t="s">
        <v>6836</v>
      </c>
    </row>
    <row r="4857" spans="1:1">
      <c r="A4857" s="149" t="s">
        <v>6837</v>
      </c>
    </row>
    <row r="4858" spans="1:1">
      <c r="A4858" s="149" t="s">
        <v>6838</v>
      </c>
    </row>
    <row r="4859" spans="1:1">
      <c r="A4859" s="149" t="s">
        <v>6839</v>
      </c>
    </row>
    <row r="4860" spans="1:1">
      <c r="A4860" s="149" t="s">
        <v>6840</v>
      </c>
    </row>
    <row r="4861" spans="1:1">
      <c r="A4861" s="149" t="s">
        <v>6841</v>
      </c>
    </row>
    <row r="4862" spans="1:1">
      <c r="A4862" s="149" t="s">
        <v>6842</v>
      </c>
    </row>
    <row r="4863" spans="1:1">
      <c r="A4863" s="149" t="s">
        <v>6843</v>
      </c>
    </row>
    <row r="4864" spans="1:1">
      <c r="A4864" s="149" t="s">
        <v>6844</v>
      </c>
    </row>
    <row r="4865" spans="1:1">
      <c r="A4865" s="149" t="s">
        <v>6845</v>
      </c>
    </row>
    <row r="4866" spans="1:1">
      <c r="A4866" s="149" t="s">
        <v>6846</v>
      </c>
    </row>
    <row r="4867" spans="1:1">
      <c r="A4867" s="149" t="s">
        <v>6847</v>
      </c>
    </row>
    <row r="4868" spans="1:1">
      <c r="A4868" s="149" t="s">
        <v>6848</v>
      </c>
    </row>
    <row r="4869" spans="1:1">
      <c r="A4869" s="149" t="s">
        <v>6849</v>
      </c>
    </row>
    <row r="4870" spans="1:1">
      <c r="A4870" s="149" t="s">
        <v>6850</v>
      </c>
    </row>
    <row r="4871" spans="1:1">
      <c r="A4871" s="149" t="s">
        <v>6851</v>
      </c>
    </row>
    <row r="4872" spans="1:1">
      <c r="A4872" s="149" t="s">
        <v>6852</v>
      </c>
    </row>
    <row r="4873" spans="1:1">
      <c r="A4873" s="149" t="s">
        <v>6853</v>
      </c>
    </row>
    <row r="4874" spans="1:1">
      <c r="A4874" s="149" t="s">
        <v>6854</v>
      </c>
    </row>
    <row r="4875" spans="1:1">
      <c r="A4875" s="149" t="s">
        <v>6855</v>
      </c>
    </row>
    <row r="4876" spans="1:1">
      <c r="A4876" s="149" t="s">
        <v>6856</v>
      </c>
    </row>
    <row r="4877" spans="1:1">
      <c r="A4877" s="149" t="s">
        <v>6857</v>
      </c>
    </row>
    <row r="4878" spans="1:1">
      <c r="A4878" s="149" t="s">
        <v>6858</v>
      </c>
    </row>
    <row r="4879" spans="1:1">
      <c r="A4879" s="149" t="s">
        <v>6859</v>
      </c>
    </row>
    <row r="4880" spans="1:1">
      <c r="A4880" s="149" t="s">
        <v>6860</v>
      </c>
    </row>
    <row r="4881" spans="1:1">
      <c r="A4881" s="149" t="s">
        <v>6861</v>
      </c>
    </row>
    <row r="4882" spans="1:1">
      <c r="A4882" s="149" t="s">
        <v>6862</v>
      </c>
    </row>
    <row r="4883" spans="1:1">
      <c r="A4883" s="149" t="s">
        <v>6863</v>
      </c>
    </row>
    <row r="4884" spans="1:1">
      <c r="A4884" s="149" t="s">
        <v>6864</v>
      </c>
    </row>
    <row r="4885" spans="1:1">
      <c r="A4885" s="149" t="s">
        <v>6865</v>
      </c>
    </row>
    <row r="4886" spans="1:1">
      <c r="A4886" s="149" t="s">
        <v>6866</v>
      </c>
    </row>
    <row r="4887" spans="1:1">
      <c r="A4887" s="149" t="s">
        <v>6867</v>
      </c>
    </row>
    <row r="4888" spans="1:1">
      <c r="A4888" s="149" t="s">
        <v>6868</v>
      </c>
    </row>
    <row r="4889" spans="1:1">
      <c r="A4889" s="149" t="s">
        <v>6869</v>
      </c>
    </row>
    <row r="4890" spans="1:1">
      <c r="A4890" s="149" t="s">
        <v>6870</v>
      </c>
    </row>
    <row r="4891" spans="1:1">
      <c r="A4891" s="149" t="s">
        <v>6871</v>
      </c>
    </row>
    <row r="4892" spans="1:1">
      <c r="A4892" s="149" t="s">
        <v>6872</v>
      </c>
    </row>
    <row r="4893" spans="1:1">
      <c r="A4893" s="149" t="s">
        <v>6873</v>
      </c>
    </row>
    <row r="4894" spans="1:1">
      <c r="A4894" s="149" t="s">
        <v>6874</v>
      </c>
    </row>
    <row r="4895" spans="1:1">
      <c r="A4895" s="149" t="s">
        <v>6875</v>
      </c>
    </row>
    <row r="4896" spans="1:1">
      <c r="A4896" s="149" t="s">
        <v>6876</v>
      </c>
    </row>
    <row r="4897" spans="1:1">
      <c r="A4897" s="149" t="s">
        <v>6877</v>
      </c>
    </row>
    <row r="4898" spans="1:1">
      <c r="A4898" s="149" t="s">
        <v>6878</v>
      </c>
    </row>
    <row r="4899" spans="1:1">
      <c r="A4899" s="149" t="s">
        <v>6879</v>
      </c>
    </row>
    <row r="4900" spans="1:1">
      <c r="A4900" s="149" t="s">
        <v>6880</v>
      </c>
    </row>
    <row r="4901" spans="1:1">
      <c r="A4901" s="149" t="s">
        <v>6881</v>
      </c>
    </row>
    <row r="4902" spans="1:1">
      <c r="A4902" s="149" t="s">
        <v>6882</v>
      </c>
    </row>
    <row r="4903" spans="1:1">
      <c r="A4903" s="149" t="s">
        <v>6883</v>
      </c>
    </row>
    <row r="4904" spans="1:1">
      <c r="A4904" s="149" t="s">
        <v>6884</v>
      </c>
    </row>
    <row r="4905" spans="1:1">
      <c r="A4905" s="149" t="s">
        <v>6885</v>
      </c>
    </row>
    <row r="4906" spans="1:1">
      <c r="A4906" s="149" t="s">
        <v>6886</v>
      </c>
    </row>
    <row r="4907" spans="1:1">
      <c r="A4907" s="149" t="s">
        <v>6887</v>
      </c>
    </row>
    <row r="4908" spans="1:1">
      <c r="A4908" s="149" t="s">
        <v>6888</v>
      </c>
    </row>
    <row r="4909" spans="1:1">
      <c r="A4909" s="149" t="s">
        <v>6889</v>
      </c>
    </row>
    <row r="4910" spans="1:1">
      <c r="A4910" s="149" t="s">
        <v>6890</v>
      </c>
    </row>
    <row r="4911" spans="1:1">
      <c r="A4911" s="149" t="s">
        <v>6891</v>
      </c>
    </row>
    <row r="4912" spans="1:1">
      <c r="A4912" s="149" t="s">
        <v>6892</v>
      </c>
    </row>
    <row r="4913" spans="1:1">
      <c r="A4913" s="149" t="s">
        <v>6893</v>
      </c>
    </row>
    <row r="4914" spans="1:1">
      <c r="A4914" s="149" t="s">
        <v>6894</v>
      </c>
    </row>
    <row r="4915" spans="1:1">
      <c r="A4915" s="149" t="s">
        <v>6895</v>
      </c>
    </row>
    <row r="4916" spans="1:1">
      <c r="A4916" s="149" t="s">
        <v>6896</v>
      </c>
    </row>
    <row r="4917" spans="1:1">
      <c r="A4917" s="149" t="s">
        <v>6897</v>
      </c>
    </row>
    <row r="4918" spans="1:1">
      <c r="A4918" s="149" t="s">
        <v>6898</v>
      </c>
    </row>
    <row r="4919" spans="1:1">
      <c r="A4919" s="149" t="s">
        <v>6899</v>
      </c>
    </row>
    <row r="4920" spans="1:1">
      <c r="A4920" s="149" t="s">
        <v>6900</v>
      </c>
    </row>
    <row r="4921" spans="1:1">
      <c r="A4921" s="149" t="s">
        <v>6901</v>
      </c>
    </row>
    <row r="4922" spans="1:1">
      <c r="A4922" s="149" t="s">
        <v>6902</v>
      </c>
    </row>
    <row r="4923" spans="1:1">
      <c r="A4923" s="149" t="s">
        <v>6903</v>
      </c>
    </row>
    <row r="4924" spans="1:1">
      <c r="A4924" s="149" t="s">
        <v>6904</v>
      </c>
    </row>
    <row r="4925" spans="1:1">
      <c r="A4925" s="149" t="s">
        <v>6905</v>
      </c>
    </row>
    <row r="4926" spans="1:1">
      <c r="A4926" s="149" t="s">
        <v>6906</v>
      </c>
    </row>
    <row r="4927" spans="1:1">
      <c r="A4927" s="149" t="s">
        <v>6907</v>
      </c>
    </row>
    <row r="4928" spans="1:1">
      <c r="A4928" s="149" t="s">
        <v>6908</v>
      </c>
    </row>
    <row r="4929" spans="1:1">
      <c r="A4929" s="149" t="s">
        <v>6909</v>
      </c>
    </row>
    <row r="4930" spans="1:1">
      <c r="A4930" s="149" t="s">
        <v>6910</v>
      </c>
    </row>
    <row r="4931" spans="1:1">
      <c r="A4931" s="149" t="s">
        <v>6911</v>
      </c>
    </row>
    <row r="4932" spans="1:1">
      <c r="A4932" s="149" t="s">
        <v>6912</v>
      </c>
    </row>
    <row r="4933" spans="1:1">
      <c r="A4933" s="149" t="s">
        <v>6913</v>
      </c>
    </row>
    <row r="4934" spans="1:1">
      <c r="A4934" s="149" t="s">
        <v>6914</v>
      </c>
    </row>
    <row r="4935" spans="1:1">
      <c r="A4935" s="149" t="s">
        <v>6915</v>
      </c>
    </row>
    <row r="4936" spans="1:1">
      <c r="A4936" s="149" t="s">
        <v>6916</v>
      </c>
    </row>
    <row r="4937" spans="1:1">
      <c r="A4937" s="149" t="s">
        <v>6917</v>
      </c>
    </row>
    <row r="4938" spans="1:1">
      <c r="A4938" s="149" t="s">
        <v>6918</v>
      </c>
    </row>
    <row r="4939" spans="1:1">
      <c r="A4939" s="149" t="s">
        <v>6919</v>
      </c>
    </row>
    <row r="4940" spans="1:1">
      <c r="A4940" s="149" t="s">
        <v>6920</v>
      </c>
    </row>
    <row r="4941" spans="1:1">
      <c r="A4941" s="149" t="s">
        <v>6921</v>
      </c>
    </row>
    <row r="4942" spans="1:1">
      <c r="A4942" s="149" t="s">
        <v>6922</v>
      </c>
    </row>
    <row r="4943" spans="1:1">
      <c r="A4943" s="149" t="s">
        <v>6923</v>
      </c>
    </row>
    <row r="4944" spans="1:1">
      <c r="A4944" s="149" t="s">
        <v>6924</v>
      </c>
    </row>
    <row r="4945" spans="1:1">
      <c r="A4945" s="149" t="s">
        <v>6925</v>
      </c>
    </row>
    <row r="4946" spans="1:1">
      <c r="A4946" s="149" t="s">
        <v>6926</v>
      </c>
    </row>
    <row r="4947" spans="1:1">
      <c r="A4947" s="149" t="s">
        <v>6927</v>
      </c>
    </row>
    <row r="4948" spans="1:1">
      <c r="A4948" s="149" t="s">
        <v>6928</v>
      </c>
    </row>
    <row r="4949" spans="1:1">
      <c r="A4949" s="149" t="s">
        <v>6929</v>
      </c>
    </row>
    <row r="4950" spans="1:1">
      <c r="A4950" s="149" t="s">
        <v>6930</v>
      </c>
    </row>
    <row r="4951" spans="1:1">
      <c r="A4951" s="149" t="s">
        <v>6931</v>
      </c>
    </row>
    <row r="4952" spans="1:1">
      <c r="A4952" s="149" t="s">
        <v>6932</v>
      </c>
    </row>
    <row r="4953" spans="1:1">
      <c r="A4953" s="149" t="s">
        <v>6933</v>
      </c>
    </row>
    <row r="4954" spans="1:1">
      <c r="A4954" s="149" t="s">
        <v>6934</v>
      </c>
    </row>
    <row r="4955" spans="1:1">
      <c r="A4955" s="149" t="s">
        <v>6935</v>
      </c>
    </row>
    <row r="4956" spans="1:1">
      <c r="A4956" s="149" t="s">
        <v>6936</v>
      </c>
    </row>
    <row r="4957" spans="1:1">
      <c r="A4957" s="149" t="s">
        <v>6937</v>
      </c>
    </row>
    <row r="4958" spans="1:1">
      <c r="A4958" s="149" t="s">
        <v>6938</v>
      </c>
    </row>
    <row r="4959" spans="1:1">
      <c r="A4959" s="149" t="s">
        <v>6939</v>
      </c>
    </row>
    <row r="4960" spans="1:1">
      <c r="A4960" s="149" t="s">
        <v>6940</v>
      </c>
    </row>
    <row r="4961" spans="1:1">
      <c r="A4961" s="149" t="s">
        <v>6941</v>
      </c>
    </row>
    <row r="4962" spans="1:1">
      <c r="A4962" s="149" t="s">
        <v>6942</v>
      </c>
    </row>
    <row r="4963" spans="1:1">
      <c r="A4963" s="149" t="s">
        <v>6943</v>
      </c>
    </row>
    <row r="4964" spans="1:1">
      <c r="A4964" s="149" t="s">
        <v>6944</v>
      </c>
    </row>
    <row r="4965" spans="1:1">
      <c r="A4965" s="149" t="s">
        <v>6945</v>
      </c>
    </row>
    <row r="4966" spans="1:1">
      <c r="A4966" s="149" t="s">
        <v>6946</v>
      </c>
    </row>
    <row r="4967" spans="1:1">
      <c r="A4967" s="149" t="s">
        <v>6947</v>
      </c>
    </row>
    <row r="4968" spans="1:1">
      <c r="A4968" s="149" t="s">
        <v>6948</v>
      </c>
    </row>
    <row r="4969" spans="1:1">
      <c r="A4969" s="149" t="s">
        <v>6949</v>
      </c>
    </row>
    <row r="4970" spans="1:1">
      <c r="A4970" s="149" t="s">
        <v>6950</v>
      </c>
    </row>
    <row r="4971" spans="1:1">
      <c r="A4971" s="149" t="s">
        <v>6951</v>
      </c>
    </row>
    <row r="4972" spans="1:1">
      <c r="A4972" s="149" t="s">
        <v>6952</v>
      </c>
    </row>
    <row r="4973" spans="1:1">
      <c r="A4973" s="149" t="s">
        <v>6953</v>
      </c>
    </row>
    <row r="4974" spans="1:1">
      <c r="A4974" s="149" t="s">
        <v>6954</v>
      </c>
    </row>
    <row r="4975" spans="1:1">
      <c r="A4975" s="149" t="s">
        <v>6955</v>
      </c>
    </row>
    <row r="4976" spans="1:1">
      <c r="A4976" s="149" t="s">
        <v>6956</v>
      </c>
    </row>
    <row r="4977" spans="1:1">
      <c r="A4977" s="149" t="s">
        <v>6957</v>
      </c>
    </row>
    <row r="4978" spans="1:1">
      <c r="A4978" s="149" t="s">
        <v>6958</v>
      </c>
    </row>
    <row r="4979" spans="1:1">
      <c r="A4979" s="149" t="s">
        <v>6959</v>
      </c>
    </row>
    <row r="4980" spans="1:1">
      <c r="A4980" s="149" t="s">
        <v>6960</v>
      </c>
    </row>
    <row r="4981" spans="1:1">
      <c r="A4981" s="149" t="s">
        <v>6961</v>
      </c>
    </row>
    <row r="4982" spans="1:1">
      <c r="A4982" s="149" t="s">
        <v>6962</v>
      </c>
    </row>
    <row r="4983" spans="1:1">
      <c r="A4983" s="149" t="s">
        <v>6963</v>
      </c>
    </row>
    <row r="4984" spans="1:1">
      <c r="A4984" s="149" t="s">
        <v>6964</v>
      </c>
    </row>
    <row r="4985" spans="1:1">
      <c r="A4985" s="149" t="s">
        <v>6965</v>
      </c>
    </row>
    <row r="4986" spans="1:1">
      <c r="A4986" s="149" t="s">
        <v>6966</v>
      </c>
    </row>
    <row r="4987" spans="1:1">
      <c r="A4987" s="149" t="s">
        <v>6967</v>
      </c>
    </row>
    <row r="4988" spans="1:1">
      <c r="A4988" s="149" t="s">
        <v>6968</v>
      </c>
    </row>
    <row r="4989" spans="1:1">
      <c r="A4989" s="149" t="s">
        <v>6969</v>
      </c>
    </row>
    <row r="4990" spans="1:1">
      <c r="A4990" s="149" t="s">
        <v>6970</v>
      </c>
    </row>
    <row r="4991" spans="1:1">
      <c r="A4991" s="149" t="s">
        <v>6971</v>
      </c>
    </row>
    <row r="4992" spans="1:1">
      <c r="A4992" s="149" t="s">
        <v>6972</v>
      </c>
    </row>
    <row r="4993" spans="1:1">
      <c r="A4993" s="149" t="s">
        <v>6973</v>
      </c>
    </row>
    <row r="4994" spans="1:1">
      <c r="A4994" s="149" t="s">
        <v>6974</v>
      </c>
    </row>
    <row r="4995" spans="1:1">
      <c r="A4995" s="149" t="s">
        <v>6975</v>
      </c>
    </row>
    <row r="4996" spans="1:1">
      <c r="A4996" s="149" t="s">
        <v>6976</v>
      </c>
    </row>
    <row r="4997" spans="1:1">
      <c r="A4997" s="149" t="s">
        <v>6977</v>
      </c>
    </row>
    <row r="4998" spans="1:1">
      <c r="A4998" s="149" t="s">
        <v>6978</v>
      </c>
    </row>
    <row r="4999" spans="1:1">
      <c r="A4999" s="149" t="s">
        <v>6979</v>
      </c>
    </row>
    <row r="5000" spans="1:1">
      <c r="A5000" s="149" t="s">
        <v>6980</v>
      </c>
    </row>
    <row r="5001" spans="1:1">
      <c r="A5001" s="149" t="s">
        <v>6981</v>
      </c>
    </row>
    <row r="5002" spans="1:1">
      <c r="A5002" s="149" t="s">
        <v>6982</v>
      </c>
    </row>
    <row r="5003" spans="1:1">
      <c r="A5003" s="149" t="s">
        <v>6983</v>
      </c>
    </row>
    <row r="5004" spans="1:1">
      <c r="A5004" s="149" t="s">
        <v>6984</v>
      </c>
    </row>
    <row r="5005" spans="1:1">
      <c r="A5005" s="149" t="s">
        <v>6985</v>
      </c>
    </row>
    <row r="5006" spans="1:1">
      <c r="A5006" s="149" t="s">
        <v>6986</v>
      </c>
    </row>
    <row r="5007" spans="1:1">
      <c r="A5007" s="149" t="s">
        <v>6987</v>
      </c>
    </row>
    <row r="5008" spans="1:1">
      <c r="A5008" s="149" t="s">
        <v>6988</v>
      </c>
    </row>
    <row r="5009" spans="1:1">
      <c r="A5009" s="149" t="s">
        <v>6989</v>
      </c>
    </row>
    <row r="5010" spans="1:1">
      <c r="A5010" s="149" t="s">
        <v>6990</v>
      </c>
    </row>
    <row r="5011" spans="1:1">
      <c r="A5011" s="149" t="s">
        <v>6991</v>
      </c>
    </row>
    <row r="5012" spans="1:1">
      <c r="A5012" s="149" t="s">
        <v>6992</v>
      </c>
    </row>
    <row r="5013" spans="1:1">
      <c r="A5013" s="149" t="s">
        <v>6993</v>
      </c>
    </row>
    <row r="5014" spans="1:1">
      <c r="A5014" s="149" t="s">
        <v>6994</v>
      </c>
    </row>
    <row r="5015" spans="1:1">
      <c r="A5015" s="149" t="s">
        <v>6995</v>
      </c>
    </row>
    <row r="5016" spans="1:1">
      <c r="A5016" s="149" t="s">
        <v>6996</v>
      </c>
    </row>
    <row r="5017" spans="1:1">
      <c r="A5017" s="149" t="s">
        <v>6997</v>
      </c>
    </row>
    <row r="5018" spans="1:1">
      <c r="A5018" s="149" t="s">
        <v>6998</v>
      </c>
    </row>
    <row r="5019" spans="1:1">
      <c r="A5019" s="149" t="s">
        <v>6999</v>
      </c>
    </row>
    <row r="5020" spans="1:1">
      <c r="A5020" s="149" t="s">
        <v>7000</v>
      </c>
    </row>
    <row r="5021" spans="1:1">
      <c r="A5021" s="149" t="s">
        <v>7001</v>
      </c>
    </row>
    <row r="5022" spans="1:1">
      <c r="A5022" s="149" t="s">
        <v>7002</v>
      </c>
    </row>
    <row r="5023" spans="1:1">
      <c r="A5023" s="149" t="s">
        <v>7003</v>
      </c>
    </row>
    <row r="5024" spans="1:1">
      <c r="A5024" s="149" t="s">
        <v>7004</v>
      </c>
    </row>
    <row r="5025" spans="1:1">
      <c r="A5025" s="149" t="s">
        <v>7005</v>
      </c>
    </row>
    <row r="5026" spans="1:1">
      <c r="A5026" s="149" t="s">
        <v>7006</v>
      </c>
    </row>
    <row r="5027" spans="1:1">
      <c r="A5027" s="149" t="s">
        <v>7007</v>
      </c>
    </row>
    <row r="5028" spans="1:1">
      <c r="A5028" s="149" t="s">
        <v>7008</v>
      </c>
    </row>
    <row r="5029" spans="1:1">
      <c r="A5029" s="149" t="s">
        <v>7009</v>
      </c>
    </row>
    <row r="5030" spans="1:1">
      <c r="A5030" s="149" t="s">
        <v>7010</v>
      </c>
    </row>
    <row r="5031" spans="1:1">
      <c r="A5031" s="149" t="s">
        <v>7011</v>
      </c>
    </row>
    <row r="5032" spans="1:1">
      <c r="A5032" s="149" t="s">
        <v>7012</v>
      </c>
    </row>
    <row r="5033" spans="1:1">
      <c r="A5033" s="149" t="s">
        <v>7013</v>
      </c>
    </row>
    <row r="5034" spans="1:1">
      <c r="A5034" s="149" t="s">
        <v>7014</v>
      </c>
    </row>
    <row r="5035" spans="1:1">
      <c r="A5035" s="149" t="s">
        <v>7015</v>
      </c>
    </row>
    <row r="5036" spans="1:1">
      <c r="A5036" s="149" t="s">
        <v>7016</v>
      </c>
    </row>
    <row r="5037" spans="1:1">
      <c r="A5037" s="149" t="s">
        <v>7017</v>
      </c>
    </row>
    <row r="5038" spans="1:1">
      <c r="A5038" s="149" t="s">
        <v>7018</v>
      </c>
    </row>
    <row r="5039" spans="1:1">
      <c r="A5039" s="149" t="s">
        <v>7019</v>
      </c>
    </row>
    <row r="5040" spans="1:1">
      <c r="A5040" s="149" t="s">
        <v>7020</v>
      </c>
    </row>
    <row r="5041" spans="1:1">
      <c r="A5041" s="149" t="s">
        <v>7021</v>
      </c>
    </row>
    <row r="5042" spans="1:1">
      <c r="A5042" s="149" t="s">
        <v>7022</v>
      </c>
    </row>
    <row r="5043" spans="1:1">
      <c r="A5043" s="149" t="s">
        <v>7023</v>
      </c>
    </row>
    <row r="5044" spans="1:1">
      <c r="A5044" s="149" t="s">
        <v>7024</v>
      </c>
    </row>
    <row r="5045" spans="1:1">
      <c r="A5045" s="149" t="s">
        <v>7025</v>
      </c>
    </row>
    <row r="5046" spans="1:1">
      <c r="A5046" s="149" t="s">
        <v>7026</v>
      </c>
    </row>
    <row r="5047" spans="1:1">
      <c r="A5047" s="149" t="s">
        <v>7027</v>
      </c>
    </row>
    <row r="5048" spans="1:1">
      <c r="A5048" s="149" t="s">
        <v>7028</v>
      </c>
    </row>
    <row r="5049" spans="1:1">
      <c r="A5049" s="149" t="s">
        <v>7029</v>
      </c>
    </row>
    <row r="5050" spans="1:1">
      <c r="A5050" s="149" t="s">
        <v>7030</v>
      </c>
    </row>
    <row r="5051" spans="1:1">
      <c r="A5051" s="149" t="s">
        <v>7031</v>
      </c>
    </row>
    <row r="5052" spans="1:1">
      <c r="A5052" s="149" t="s">
        <v>7032</v>
      </c>
    </row>
    <row r="5053" spans="1:1">
      <c r="A5053" s="149" t="s">
        <v>7033</v>
      </c>
    </row>
    <row r="5054" spans="1:1">
      <c r="A5054" s="149" t="s">
        <v>7034</v>
      </c>
    </row>
    <row r="5055" spans="1:1">
      <c r="A5055" s="149" t="s">
        <v>7035</v>
      </c>
    </row>
    <row r="5056" spans="1:1">
      <c r="A5056" s="149" t="s">
        <v>7036</v>
      </c>
    </row>
    <row r="5057" spans="1:1">
      <c r="A5057" s="149" t="s">
        <v>7037</v>
      </c>
    </row>
    <row r="5058" spans="1:1">
      <c r="A5058" s="149" t="s">
        <v>7038</v>
      </c>
    </row>
    <row r="5059" spans="1:1">
      <c r="A5059" s="149" t="s">
        <v>7039</v>
      </c>
    </row>
    <row r="5060" spans="1:1">
      <c r="A5060" s="149" t="s">
        <v>7040</v>
      </c>
    </row>
    <row r="5061" spans="1:1">
      <c r="A5061" s="149" t="s">
        <v>7041</v>
      </c>
    </row>
    <row r="5062" spans="1:1">
      <c r="A5062" s="149" t="s">
        <v>7042</v>
      </c>
    </row>
    <row r="5063" spans="1:1">
      <c r="A5063" s="149" t="s">
        <v>7043</v>
      </c>
    </row>
    <row r="5064" spans="1:1">
      <c r="A5064" s="149" t="s">
        <v>7044</v>
      </c>
    </row>
    <row r="5065" spans="1:1">
      <c r="A5065" s="149" t="s">
        <v>7045</v>
      </c>
    </row>
    <row r="5066" spans="1:1">
      <c r="A5066" s="149" t="s">
        <v>7046</v>
      </c>
    </row>
    <row r="5067" spans="1:1">
      <c r="A5067" s="149" t="s">
        <v>7047</v>
      </c>
    </row>
    <row r="5068" spans="1:1">
      <c r="A5068" s="149" t="s">
        <v>7048</v>
      </c>
    </row>
    <row r="5069" spans="1:1">
      <c r="A5069" s="149" t="s">
        <v>7049</v>
      </c>
    </row>
    <row r="5070" spans="1:1">
      <c r="A5070" s="149" t="s">
        <v>7050</v>
      </c>
    </row>
    <row r="5071" spans="1:1">
      <c r="A5071" s="149" t="s">
        <v>7051</v>
      </c>
    </row>
    <row r="5072" spans="1:1">
      <c r="A5072" s="149" t="s">
        <v>7052</v>
      </c>
    </row>
    <row r="5073" spans="1:1">
      <c r="A5073" s="149" t="s">
        <v>7053</v>
      </c>
    </row>
    <row r="5074" spans="1:1">
      <c r="A5074" s="149" t="s">
        <v>7054</v>
      </c>
    </row>
    <row r="5075" spans="1:1">
      <c r="A5075" s="149" t="s">
        <v>7055</v>
      </c>
    </row>
    <row r="5076" spans="1:1">
      <c r="A5076" s="149" t="s">
        <v>7056</v>
      </c>
    </row>
    <row r="5077" spans="1:1">
      <c r="A5077" s="149" t="s">
        <v>7057</v>
      </c>
    </row>
    <row r="5078" spans="1:1">
      <c r="A5078" s="149" t="s">
        <v>7058</v>
      </c>
    </row>
    <row r="5079" spans="1:1">
      <c r="A5079" s="149" t="s">
        <v>7059</v>
      </c>
    </row>
    <row r="5080" spans="1:1">
      <c r="A5080" s="149" t="s">
        <v>7060</v>
      </c>
    </row>
    <row r="5081" spans="1:1">
      <c r="A5081" s="149" t="s">
        <v>7061</v>
      </c>
    </row>
    <row r="5082" spans="1:1">
      <c r="A5082" s="149" t="s">
        <v>7062</v>
      </c>
    </row>
    <row r="5083" spans="1:1">
      <c r="A5083" s="149" t="s">
        <v>7063</v>
      </c>
    </row>
    <row r="5084" spans="1:1">
      <c r="A5084" s="149" t="s">
        <v>7064</v>
      </c>
    </row>
    <row r="5085" spans="1:1">
      <c r="A5085" s="149" t="s">
        <v>7065</v>
      </c>
    </row>
    <row r="5086" spans="1:1">
      <c r="A5086" s="149" t="s">
        <v>7066</v>
      </c>
    </row>
    <row r="5087" spans="1:1">
      <c r="A5087" s="149" t="s">
        <v>7067</v>
      </c>
    </row>
    <row r="5088" spans="1:1">
      <c r="A5088" s="149" t="s">
        <v>7068</v>
      </c>
    </row>
    <row r="5089" spans="1:1">
      <c r="A5089" s="149" t="s">
        <v>7069</v>
      </c>
    </row>
    <row r="5090" spans="1:1">
      <c r="A5090" s="149" t="s">
        <v>7070</v>
      </c>
    </row>
    <row r="5091" spans="1:1">
      <c r="A5091" s="149" t="s">
        <v>7071</v>
      </c>
    </row>
    <row r="5092" spans="1:1">
      <c r="A5092" s="149" t="s">
        <v>7072</v>
      </c>
    </row>
    <row r="5093" spans="1:1">
      <c r="A5093" s="149" t="s">
        <v>7073</v>
      </c>
    </row>
    <row r="5094" spans="1:1">
      <c r="A5094" s="149" t="s">
        <v>7074</v>
      </c>
    </row>
    <row r="5095" spans="1:1">
      <c r="A5095" s="149" t="s">
        <v>7075</v>
      </c>
    </row>
    <row r="5096" spans="1:1">
      <c r="A5096" s="149" t="s">
        <v>7076</v>
      </c>
    </row>
    <row r="5097" spans="1:1">
      <c r="A5097" s="149" t="s">
        <v>7077</v>
      </c>
    </row>
    <row r="5098" spans="1:1">
      <c r="A5098" s="149" t="s">
        <v>7078</v>
      </c>
    </row>
    <row r="5099" spans="1:1">
      <c r="A5099" s="149" t="s">
        <v>7079</v>
      </c>
    </row>
    <row r="5100" spans="1:1">
      <c r="A5100" s="149" t="s">
        <v>7080</v>
      </c>
    </row>
    <row r="5101" spans="1:1">
      <c r="A5101" s="149" t="s">
        <v>7081</v>
      </c>
    </row>
    <row r="5102" spans="1:1">
      <c r="A5102" s="149" t="s">
        <v>7082</v>
      </c>
    </row>
    <row r="5103" spans="1:1">
      <c r="A5103" s="149" t="s">
        <v>7083</v>
      </c>
    </row>
    <row r="5104" spans="1:1">
      <c r="A5104" s="149" t="s">
        <v>7084</v>
      </c>
    </row>
    <row r="5105" spans="1:1">
      <c r="A5105" s="149" t="s">
        <v>7085</v>
      </c>
    </row>
    <row r="5106" spans="1:1">
      <c r="A5106" s="149" t="s">
        <v>7086</v>
      </c>
    </row>
    <row r="5107" spans="1:1">
      <c r="A5107" s="149" t="s">
        <v>7087</v>
      </c>
    </row>
    <row r="5108" spans="1:1">
      <c r="A5108" s="149" t="s">
        <v>7088</v>
      </c>
    </row>
    <row r="5109" spans="1:1">
      <c r="A5109" s="149" t="s">
        <v>7089</v>
      </c>
    </row>
    <row r="5110" spans="1:1">
      <c r="A5110" s="149" t="s">
        <v>7090</v>
      </c>
    </row>
    <row r="5111" spans="1:1">
      <c r="A5111" s="149" t="s">
        <v>7091</v>
      </c>
    </row>
    <row r="5112" spans="1:1">
      <c r="A5112" s="149" t="s">
        <v>7092</v>
      </c>
    </row>
    <row r="5113" spans="1:1">
      <c r="A5113" s="149" t="s">
        <v>7093</v>
      </c>
    </row>
    <row r="5114" spans="1:1">
      <c r="A5114" s="149" t="s">
        <v>7094</v>
      </c>
    </row>
    <row r="5115" spans="1:1">
      <c r="A5115" s="149" t="s">
        <v>7095</v>
      </c>
    </row>
    <row r="5116" spans="1:1">
      <c r="A5116" s="149" t="s">
        <v>7096</v>
      </c>
    </row>
    <row r="5117" spans="1:1">
      <c r="A5117" s="149" t="s">
        <v>7097</v>
      </c>
    </row>
    <row r="5118" spans="1:1">
      <c r="A5118" s="149" t="s">
        <v>7098</v>
      </c>
    </row>
    <row r="5119" spans="1:1">
      <c r="A5119" s="149" t="s">
        <v>7099</v>
      </c>
    </row>
    <row r="5120" spans="1:1">
      <c r="A5120" s="149" t="s">
        <v>7100</v>
      </c>
    </row>
    <row r="5121" spans="1:1">
      <c r="A5121" s="149" t="s">
        <v>7101</v>
      </c>
    </row>
    <row r="5122" spans="1:1">
      <c r="A5122" s="149" t="s">
        <v>7102</v>
      </c>
    </row>
    <row r="5123" spans="1:1">
      <c r="A5123" s="149" t="s">
        <v>7103</v>
      </c>
    </row>
    <row r="5124" spans="1:1">
      <c r="A5124" s="149" t="s">
        <v>7104</v>
      </c>
    </row>
    <row r="5125" spans="1:1">
      <c r="A5125" s="149" t="s">
        <v>7105</v>
      </c>
    </row>
    <row r="5126" spans="1:1">
      <c r="A5126" s="149" t="s">
        <v>7106</v>
      </c>
    </row>
    <row r="5127" spans="1:1">
      <c r="A5127" s="149" t="s">
        <v>7107</v>
      </c>
    </row>
    <row r="5128" spans="1:1">
      <c r="A5128" s="149" t="s">
        <v>7108</v>
      </c>
    </row>
    <row r="5129" spans="1:1">
      <c r="A5129" s="149" t="s">
        <v>7109</v>
      </c>
    </row>
    <row r="5130" spans="1:1">
      <c r="A5130" s="149" t="s">
        <v>7110</v>
      </c>
    </row>
    <row r="5131" spans="1:1">
      <c r="A5131" s="149" t="s">
        <v>7111</v>
      </c>
    </row>
    <row r="5132" spans="1:1">
      <c r="A5132" s="149" t="s">
        <v>7112</v>
      </c>
    </row>
    <row r="5133" spans="1:1">
      <c r="A5133" s="149" t="s">
        <v>7113</v>
      </c>
    </row>
    <row r="5134" spans="1:1">
      <c r="A5134" s="149" t="s">
        <v>7114</v>
      </c>
    </row>
    <row r="5135" spans="1:1">
      <c r="A5135" s="149" t="s">
        <v>7115</v>
      </c>
    </row>
    <row r="5136" spans="1:1">
      <c r="A5136" s="149" t="s">
        <v>7116</v>
      </c>
    </row>
    <row r="5137" spans="1:1">
      <c r="A5137" s="149" t="s">
        <v>7117</v>
      </c>
    </row>
    <row r="5138" spans="1:1">
      <c r="A5138" s="149" t="s">
        <v>7118</v>
      </c>
    </row>
    <row r="5139" spans="1:1">
      <c r="A5139" s="149" t="s">
        <v>7119</v>
      </c>
    </row>
    <row r="5140" spans="1:1">
      <c r="A5140" s="149" t="s">
        <v>7120</v>
      </c>
    </row>
    <row r="5141" spans="1:1">
      <c r="A5141" s="149" t="s">
        <v>7121</v>
      </c>
    </row>
    <row r="5142" spans="1:1">
      <c r="A5142" s="149" t="s">
        <v>7122</v>
      </c>
    </row>
    <row r="5143" spans="1:1">
      <c r="A5143" s="149" t="s">
        <v>7123</v>
      </c>
    </row>
    <row r="5144" spans="1:1">
      <c r="A5144" s="149" t="s">
        <v>7124</v>
      </c>
    </row>
    <row r="5145" spans="1:1">
      <c r="A5145" s="149" t="s">
        <v>7125</v>
      </c>
    </row>
    <row r="5146" spans="1:1">
      <c r="A5146" s="149" t="s">
        <v>7126</v>
      </c>
    </row>
    <row r="5147" spans="1:1">
      <c r="A5147" s="149" t="s">
        <v>7127</v>
      </c>
    </row>
    <row r="5148" spans="1:1">
      <c r="A5148" s="149" t="s">
        <v>7128</v>
      </c>
    </row>
    <row r="5149" spans="1:1">
      <c r="A5149" s="149" t="s">
        <v>7129</v>
      </c>
    </row>
    <row r="5150" spans="1:1">
      <c r="A5150" s="149" t="s">
        <v>7130</v>
      </c>
    </row>
    <row r="5151" spans="1:1">
      <c r="A5151" s="149" t="s">
        <v>7131</v>
      </c>
    </row>
    <row r="5152" spans="1:1">
      <c r="A5152" s="149" t="s">
        <v>7132</v>
      </c>
    </row>
    <row r="5153" spans="1:1">
      <c r="A5153" s="149" t="s">
        <v>7133</v>
      </c>
    </row>
    <row r="5154" spans="1:1">
      <c r="A5154" s="149" t="s">
        <v>7134</v>
      </c>
    </row>
    <row r="5155" spans="1:1">
      <c r="A5155" s="149" t="s">
        <v>7135</v>
      </c>
    </row>
    <row r="5156" spans="1:1">
      <c r="A5156" s="149" t="s">
        <v>7136</v>
      </c>
    </row>
    <row r="5157" spans="1:1">
      <c r="A5157" s="149" t="s">
        <v>7137</v>
      </c>
    </row>
    <row r="5158" spans="1:1">
      <c r="A5158" s="149" t="s">
        <v>7138</v>
      </c>
    </row>
    <row r="5159" spans="1:1">
      <c r="A5159" s="149" t="s">
        <v>7139</v>
      </c>
    </row>
    <row r="5160" spans="1:1">
      <c r="A5160" s="149" t="s">
        <v>7140</v>
      </c>
    </row>
    <row r="5161" spans="1:1">
      <c r="A5161" s="149" t="s">
        <v>7141</v>
      </c>
    </row>
    <row r="5162" spans="1:1">
      <c r="A5162" s="149" t="s">
        <v>7142</v>
      </c>
    </row>
    <row r="5163" spans="1:1">
      <c r="A5163" s="149" t="s">
        <v>7143</v>
      </c>
    </row>
    <row r="5164" spans="1:1">
      <c r="A5164" s="149" t="s">
        <v>7144</v>
      </c>
    </row>
    <row r="5165" spans="1:1">
      <c r="A5165" s="149" t="s">
        <v>7145</v>
      </c>
    </row>
    <row r="5166" spans="1:1">
      <c r="A5166" s="149" t="s">
        <v>7146</v>
      </c>
    </row>
    <row r="5167" spans="1:1">
      <c r="A5167" s="149" t="s">
        <v>7147</v>
      </c>
    </row>
    <row r="5168" spans="1:1">
      <c r="A5168" s="149" t="s">
        <v>7148</v>
      </c>
    </row>
    <row r="5169" spans="1:1">
      <c r="A5169" s="149" t="s">
        <v>7149</v>
      </c>
    </row>
    <row r="5170" spans="1:1">
      <c r="A5170" s="149" t="s">
        <v>7150</v>
      </c>
    </row>
    <row r="5171" spans="1:1">
      <c r="A5171" s="149" t="s">
        <v>7151</v>
      </c>
    </row>
    <row r="5172" spans="1:1">
      <c r="A5172" s="149" t="s">
        <v>7152</v>
      </c>
    </row>
    <row r="5173" spans="1:1">
      <c r="A5173" s="149" t="s">
        <v>7153</v>
      </c>
    </row>
    <row r="5174" spans="1:1">
      <c r="A5174" s="149" t="s">
        <v>7154</v>
      </c>
    </row>
    <row r="5175" spans="1:1">
      <c r="A5175" s="149" t="s">
        <v>7155</v>
      </c>
    </row>
    <row r="5176" spans="1:1">
      <c r="A5176" s="149" t="s">
        <v>7156</v>
      </c>
    </row>
    <row r="5177" spans="1:1">
      <c r="A5177" s="149" t="s">
        <v>7157</v>
      </c>
    </row>
    <row r="5178" spans="1:1">
      <c r="A5178" s="149" t="s">
        <v>7158</v>
      </c>
    </row>
    <row r="5179" spans="1:1">
      <c r="A5179" s="149" t="s">
        <v>7159</v>
      </c>
    </row>
    <row r="5180" spans="1:1">
      <c r="A5180" s="149" t="s">
        <v>7160</v>
      </c>
    </row>
    <row r="5181" spans="1:1">
      <c r="A5181" s="149" t="s">
        <v>7161</v>
      </c>
    </row>
    <row r="5182" spans="1:1">
      <c r="A5182" s="149" t="s">
        <v>7162</v>
      </c>
    </row>
    <row r="5183" spans="1:1">
      <c r="A5183" s="149" t="s">
        <v>7163</v>
      </c>
    </row>
    <row r="5184" spans="1:1">
      <c r="A5184" s="149" t="s">
        <v>7164</v>
      </c>
    </row>
    <row r="5185" spans="1:1">
      <c r="A5185" s="149" t="s">
        <v>7165</v>
      </c>
    </row>
    <row r="5186" spans="1:1">
      <c r="A5186" s="149" t="s">
        <v>7166</v>
      </c>
    </row>
    <row r="5187" spans="1:1">
      <c r="A5187" s="149" t="s">
        <v>7167</v>
      </c>
    </row>
    <row r="5188" spans="1:1">
      <c r="A5188" s="149" t="s">
        <v>7168</v>
      </c>
    </row>
    <row r="5189" spans="1:1">
      <c r="A5189" s="149" t="s">
        <v>7169</v>
      </c>
    </row>
    <row r="5190" spans="1:1">
      <c r="A5190" s="149" t="s">
        <v>7170</v>
      </c>
    </row>
    <row r="5191" spans="1:1">
      <c r="A5191" s="149" t="s">
        <v>7171</v>
      </c>
    </row>
    <row r="5192" spans="1:1">
      <c r="A5192" s="149" t="s">
        <v>7172</v>
      </c>
    </row>
    <row r="5193" spans="1:1">
      <c r="A5193" s="149" t="s">
        <v>7173</v>
      </c>
    </row>
    <row r="5194" spans="1:1">
      <c r="A5194" s="149" t="s">
        <v>7174</v>
      </c>
    </row>
    <row r="5195" spans="1:1">
      <c r="A5195" s="149" t="s">
        <v>7175</v>
      </c>
    </row>
    <row r="5196" spans="1:1">
      <c r="A5196" s="149" t="s">
        <v>7176</v>
      </c>
    </row>
    <row r="5197" spans="1:1">
      <c r="A5197" s="149" t="s">
        <v>7177</v>
      </c>
    </row>
    <row r="5198" spans="1:1">
      <c r="A5198" s="149" t="s">
        <v>7178</v>
      </c>
    </row>
    <row r="5199" spans="1:1">
      <c r="A5199" s="149" t="s">
        <v>7179</v>
      </c>
    </row>
    <row r="5200" spans="1:1">
      <c r="A5200" s="149" t="s">
        <v>7180</v>
      </c>
    </row>
    <row r="5201" spans="1:1">
      <c r="A5201" s="149" t="s">
        <v>7181</v>
      </c>
    </row>
    <row r="5202" spans="1:1">
      <c r="A5202" s="149" t="s">
        <v>7182</v>
      </c>
    </row>
    <row r="5203" spans="1:1">
      <c r="A5203" s="149" t="s">
        <v>7183</v>
      </c>
    </row>
    <row r="5204" spans="1:1">
      <c r="A5204" s="149" t="s">
        <v>7184</v>
      </c>
    </row>
    <row r="5205" spans="1:1">
      <c r="A5205" s="149" t="s">
        <v>7185</v>
      </c>
    </row>
    <row r="5206" spans="1:1">
      <c r="A5206" s="149" t="s">
        <v>7186</v>
      </c>
    </row>
    <row r="5207" spans="1:1">
      <c r="A5207" s="149" t="s">
        <v>7187</v>
      </c>
    </row>
    <row r="5208" spans="1:1">
      <c r="A5208" s="149" t="s">
        <v>7188</v>
      </c>
    </row>
    <row r="5209" spans="1:1">
      <c r="A5209" s="149" t="s">
        <v>7189</v>
      </c>
    </row>
    <row r="5210" spans="1:1">
      <c r="A5210" s="149" t="s">
        <v>7190</v>
      </c>
    </row>
    <row r="5211" spans="1:1">
      <c r="A5211" s="149" t="s">
        <v>7191</v>
      </c>
    </row>
    <row r="5212" spans="1:1">
      <c r="A5212" s="149" t="s">
        <v>7192</v>
      </c>
    </row>
    <row r="5213" spans="1:1">
      <c r="A5213" s="149" t="s">
        <v>7193</v>
      </c>
    </row>
    <row r="5214" spans="1:1">
      <c r="A5214" s="149" t="s">
        <v>7194</v>
      </c>
    </row>
    <row r="5215" spans="1:1">
      <c r="A5215" s="149" t="s">
        <v>7195</v>
      </c>
    </row>
    <row r="5216" spans="1:1">
      <c r="A5216" s="149" t="s">
        <v>7196</v>
      </c>
    </row>
    <row r="5217" spans="1:1">
      <c r="A5217" s="149" t="s">
        <v>7197</v>
      </c>
    </row>
    <row r="5218" spans="1:1">
      <c r="A5218" s="149" t="s">
        <v>7198</v>
      </c>
    </row>
    <row r="5219" spans="1:1">
      <c r="A5219" s="149" t="s">
        <v>7199</v>
      </c>
    </row>
    <row r="5220" spans="1:1">
      <c r="A5220" s="149" t="s">
        <v>7200</v>
      </c>
    </row>
    <row r="5221" spans="1:1">
      <c r="A5221" s="149" t="s">
        <v>7201</v>
      </c>
    </row>
    <row r="5222" spans="1:1">
      <c r="A5222" s="149" t="s">
        <v>7202</v>
      </c>
    </row>
    <row r="5223" spans="1:1">
      <c r="A5223" s="149" t="s">
        <v>7203</v>
      </c>
    </row>
    <row r="5224" spans="1:1">
      <c r="A5224" s="149" t="s">
        <v>7204</v>
      </c>
    </row>
    <row r="5225" spans="1:1">
      <c r="A5225" s="149" t="s">
        <v>7205</v>
      </c>
    </row>
    <row r="5226" spans="1:1">
      <c r="A5226" s="149" t="s">
        <v>7206</v>
      </c>
    </row>
    <row r="5227" spans="1:1">
      <c r="A5227" s="149" t="s">
        <v>7207</v>
      </c>
    </row>
    <row r="5228" spans="1:1">
      <c r="A5228" s="149" t="s">
        <v>7208</v>
      </c>
    </row>
    <row r="5229" spans="1:1">
      <c r="A5229" s="149" t="s">
        <v>7209</v>
      </c>
    </row>
    <row r="5230" spans="1:1">
      <c r="A5230" s="149" t="s">
        <v>7210</v>
      </c>
    </row>
    <row r="5231" spans="1:1">
      <c r="A5231" s="149" t="s">
        <v>7211</v>
      </c>
    </row>
    <row r="5232" spans="1:1">
      <c r="A5232" s="149" t="s">
        <v>7212</v>
      </c>
    </row>
    <row r="5233" spans="1:1">
      <c r="A5233" s="149" t="s">
        <v>7213</v>
      </c>
    </row>
    <row r="5234" spans="1:1">
      <c r="A5234" s="149" t="s">
        <v>7214</v>
      </c>
    </row>
    <row r="5235" spans="1:1">
      <c r="A5235" s="149" t="s">
        <v>7215</v>
      </c>
    </row>
    <row r="5236" spans="1:1">
      <c r="A5236" s="149" t="s">
        <v>7216</v>
      </c>
    </row>
    <row r="5237" spans="1:1">
      <c r="A5237" s="149" t="s">
        <v>7217</v>
      </c>
    </row>
    <row r="5238" spans="1:1">
      <c r="A5238" s="149" t="s">
        <v>7218</v>
      </c>
    </row>
    <row r="5239" spans="1:1">
      <c r="A5239" s="149" t="s">
        <v>7219</v>
      </c>
    </row>
    <row r="5240" spans="1:1">
      <c r="A5240" s="149" t="s">
        <v>7220</v>
      </c>
    </row>
    <row r="5241" spans="1:1">
      <c r="A5241" s="149" t="s">
        <v>7221</v>
      </c>
    </row>
    <row r="5242" spans="1:1">
      <c r="A5242" s="149" t="s">
        <v>7222</v>
      </c>
    </row>
    <row r="5243" spans="1:1">
      <c r="A5243" s="149" t="s">
        <v>7223</v>
      </c>
    </row>
    <row r="5244" spans="1:1">
      <c r="A5244" s="149" t="s">
        <v>7224</v>
      </c>
    </row>
    <row r="5245" spans="1:1">
      <c r="A5245" s="149" t="s">
        <v>7225</v>
      </c>
    </row>
    <row r="5246" spans="1:1">
      <c r="A5246" s="149" t="s">
        <v>7226</v>
      </c>
    </row>
    <row r="5247" spans="1:1">
      <c r="A5247" s="149" t="s">
        <v>7227</v>
      </c>
    </row>
    <row r="5248" spans="1:1">
      <c r="A5248" s="149" t="s">
        <v>7228</v>
      </c>
    </row>
    <row r="5249" spans="1:1">
      <c r="A5249" s="149" t="s">
        <v>7229</v>
      </c>
    </row>
    <row r="5250" spans="1:1">
      <c r="A5250" s="149" t="s">
        <v>7230</v>
      </c>
    </row>
    <row r="5251" spans="1:1">
      <c r="A5251" s="149" t="s">
        <v>7231</v>
      </c>
    </row>
    <row r="5252" spans="1:1">
      <c r="A5252" s="149" t="s">
        <v>7232</v>
      </c>
    </row>
    <row r="5253" spans="1:1">
      <c r="A5253" s="149" t="s">
        <v>7233</v>
      </c>
    </row>
    <row r="5254" spans="1:1">
      <c r="A5254" s="149" t="s">
        <v>7234</v>
      </c>
    </row>
    <row r="5255" spans="1:1">
      <c r="A5255" s="149" t="s">
        <v>7235</v>
      </c>
    </row>
    <row r="5256" spans="1:1">
      <c r="A5256" s="149" t="s">
        <v>7236</v>
      </c>
    </row>
    <row r="5257" spans="1:1">
      <c r="A5257" s="149" t="s">
        <v>7237</v>
      </c>
    </row>
    <row r="5258" spans="1:1">
      <c r="A5258" s="149" t="s">
        <v>7238</v>
      </c>
    </row>
    <row r="5259" spans="1:1">
      <c r="A5259" s="149" t="s">
        <v>7239</v>
      </c>
    </row>
    <row r="5260" spans="1:1">
      <c r="A5260" s="149" t="s">
        <v>7240</v>
      </c>
    </row>
    <row r="5261" spans="1:1">
      <c r="A5261" s="149" t="s">
        <v>7241</v>
      </c>
    </row>
    <row r="5262" spans="1:1">
      <c r="A5262" s="149" t="s">
        <v>7242</v>
      </c>
    </row>
    <row r="5263" spans="1:1">
      <c r="A5263" s="149" t="s">
        <v>7243</v>
      </c>
    </row>
    <row r="5264" spans="1:1">
      <c r="A5264" s="149" t="s">
        <v>7244</v>
      </c>
    </row>
    <row r="5265" spans="1:1">
      <c r="A5265" s="149" t="s">
        <v>7245</v>
      </c>
    </row>
    <row r="5266" spans="1:1">
      <c r="A5266" s="149" t="s">
        <v>7246</v>
      </c>
    </row>
    <row r="5267" spans="1:1">
      <c r="A5267" s="149" t="s">
        <v>7247</v>
      </c>
    </row>
    <row r="5268" spans="1:1">
      <c r="A5268" s="149" t="s">
        <v>7248</v>
      </c>
    </row>
    <row r="5269" spans="1:1">
      <c r="A5269" s="149" t="s">
        <v>7249</v>
      </c>
    </row>
    <row r="5270" spans="1:1">
      <c r="A5270" s="149" t="s">
        <v>7250</v>
      </c>
    </row>
    <row r="5271" spans="1:1">
      <c r="A5271" s="149" t="s">
        <v>7251</v>
      </c>
    </row>
    <row r="5272" spans="1:1">
      <c r="A5272" s="149" t="s">
        <v>7252</v>
      </c>
    </row>
    <row r="5273" spans="1:1">
      <c r="A5273" s="149" t="s">
        <v>7253</v>
      </c>
    </row>
    <row r="5274" spans="1:1">
      <c r="A5274" s="149" t="s">
        <v>7254</v>
      </c>
    </row>
    <row r="5275" spans="1:1">
      <c r="A5275" s="149" t="s">
        <v>7255</v>
      </c>
    </row>
    <row r="5276" spans="1:1">
      <c r="A5276" s="149" t="s">
        <v>7256</v>
      </c>
    </row>
    <row r="5277" spans="1:1">
      <c r="A5277" s="149" t="s">
        <v>7257</v>
      </c>
    </row>
    <row r="5278" spans="1:1">
      <c r="A5278" s="149" t="s">
        <v>7258</v>
      </c>
    </row>
    <row r="5279" spans="1:1">
      <c r="A5279" s="149" t="s">
        <v>7259</v>
      </c>
    </row>
    <row r="5280" spans="1:1">
      <c r="A5280" s="149" t="s">
        <v>7260</v>
      </c>
    </row>
    <row r="5281" spans="1:1">
      <c r="A5281" s="149" t="s">
        <v>7261</v>
      </c>
    </row>
    <row r="5282" spans="1:1">
      <c r="A5282" s="149" t="s">
        <v>7262</v>
      </c>
    </row>
    <row r="5283" spans="1:1">
      <c r="A5283" s="149" t="s">
        <v>7263</v>
      </c>
    </row>
    <row r="5284" spans="1:1">
      <c r="A5284" s="149" t="s">
        <v>7264</v>
      </c>
    </row>
    <row r="5285" spans="1:1">
      <c r="A5285" s="149" t="s">
        <v>7265</v>
      </c>
    </row>
    <row r="5286" spans="1:1">
      <c r="A5286" s="149" t="s">
        <v>7266</v>
      </c>
    </row>
    <row r="5287" spans="1:1">
      <c r="A5287" s="149" t="s">
        <v>7267</v>
      </c>
    </row>
    <row r="5288" spans="1:1">
      <c r="A5288" s="149" t="s">
        <v>7268</v>
      </c>
    </row>
    <row r="5289" spans="1:1">
      <c r="A5289" s="149" t="s">
        <v>7269</v>
      </c>
    </row>
    <row r="5290" spans="1:1">
      <c r="A5290" s="149" t="s">
        <v>7270</v>
      </c>
    </row>
    <row r="5291" spans="1:1">
      <c r="A5291" s="149" t="s">
        <v>7271</v>
      </c>
    </row>
    <row r="5292" spans="1:1">
      <c r="A5292" s="149" t="s">
        <v>7272</v>
      </c>
    </row>
    <row r="5293" spans="1:1">
      <c r="A5293" s="149" t="s">
        <v>7273</v>
      </c>
    </row>
    <row r="5294" spans="1:1">
      <c r="A5294" s="149" t="s">
        <v>7274</v>
      </c>
    </row>
    <row r="5295" spans="1:1">
      <c r="A5295" s="149" t="s">
        <v>7275</v>
      </c>
    </row>
    <row r="5296" spans="1:1">
      <c r="A5296" s="149" t="s">
        <v>7276</v>
      </c>
    </row>
    <row r="5297" spans="1:1">
      <c r="A5297" s="149" t="s">
        <v>7277</v>
      </c>
    </row>
    <row r="5298" spans="1:1">
      <c r="A5298" s="149" t="s">
        <v>7278</v>
      </c>
    </row>
    <row r="5299" spans="1:1">
      <c r="A5299" s="149" t="s">
        <v>7279</v>
      </c>
    </row>
    <row r="5300" spans="1:1">
      <c r="A5300" s="149" t="s">
        <v>7280</v>
      </c>
    </row>
    <row r="5301" spans="1:1">
      <c r="A5301" s="149" t="s">
        <v>7281</v>
      </c>
    </row>
    <row r="5302" spans="1:1">
      <c r="A5302" s="149" t="s">
        <v>7282</v>
      </c>
    </row>
    <row r="5303" spans="1:1">
      <c r="A5303" s="149" t="s">
        <v>7283</v>
      </c>
    </row>
    <row r="5304" spans="1:1">
      <c r="A5304" s="149" t="s">
        <v>7284</v>
      </c>
    </row>
    <row r="5305" spans="1:1">
      <c r="A5305" s="149" t="s">
        <v>7285</v>
      </c>
    </row>
    <row r="5306" spans="1:1">
      <c r="A5306" s="149" t="s">
        <v>7286</v>
      </c>
    </row>
    <row r="5307" spans="1:1">
      <c r="A5307" s="149" t="s">
        <v>7287</v>
      </c>
    </row>
    <row r="5308" spans="1:1">
      <c r="A5308" s="149" t="s">
        <v>7288</v>
      </c>
    </row>
    <row r="5309" spans="1:1">
      <c r="A5309" s="149" t="s">
        <v>7289</v>
      </c>
    </row>
    <row r="5310" spans="1:1">
      <c r="A5310" s="149" t="s">
        <v>7290</v>
      </c>
    </row>
    <row r="5311" spans="1:1">
      <c r="A5311" s="149" t="s">
        <v>7291</v>
      </c>
    </row>
    <row r="5312" spans="1:1">
      <c r="A5312" s="149" t="s">
        <v>7292</v>
      </c>
    </row>
    <row r="5313" spans="1:1">
      <c r="A5313" s="149" t="s">
        <v>7293</v>
      </c>
    </row>
    <row r="5314" spans="1:1">
      <c r="A5314" s="149" t="s">
        <v>7294</v>
      </c>
    </row>
    <row r="5315" spans="1:1">
      <c r="A5315" s="149" t="s">
        <v>7295</v>
      </c>
    </row>
    <row r="5316" spans="1:1">
      <c r="A5316" s="149" t="s">
        <v>7296</v>
      </c>
    </row>
    <row r="5317" spans="1:1">
      <c r="A5317" s="149" t="s">
        <v>7297</v>
      </c>
    </row>
    <row r="5318" spans="1:1">
      <c r="A5318" s="149" t="s">
        <v>7298</v>
      </c>
    </row>
    <row r="5319" spans="1:1">
      <c r="A5319" s="149" t="s">
        <v>7299</v>
      </c>
    </row>
    <row r="5320" spans="1:1">
      <c r="A5320" s="149" t="s">
        <v>7300</v>
      </c>
    </row>
    <row r="5321" spans="1:1">
      <c r="A5321" s="149" t="s">
        <v>7301</v>
      </c>
    </row>
    <row r="5322" spans="1:1">
      <c r="A5322" s="149" t="s">
        <v>7302</v>
      </c>
    </row>
    <row r="5323" spans="1:1">
      <c r="A5323" s="149" t="s">
        <v>7303</v>
      </c>
    </row>
    <row r="5324" spans="1:1">
      <c r="A5324" s="149" t="s">
        <v>7304</v>
      </c>
    </row>
    <row r="5325" spans="1:1">
      <c r="A5325" s="149" t="s">
        <v>7305</v>
      </c>
    </row>
    <row r="5326" spans="1:1">
      <c r="A5326" s="149" t="s">
        <v>7306</v>
      </c>
    </row>
    <row r="5327" spans="1:1">
      <c r="A5327" s="149" t="s">
        <v>7307</v>
      </c>
    </row>
    <row r="5328" spans="1:1">
      <c r="A5328" s="149" t="s">
        <v>7308</v>
      </c>
    </row>
    <row r="5329" spans="1:1">
      <c r="A5329" s="149" t="s">
        <v>7309</v>
      </c>
    </row>
    <row r="5330" spans="1:1">
      <c r="A5330" s="149" t="s">
        <v>7310</v>
      </c>
    </row>
    <row r="5331" spans="1:1">
      <c r="A5331" s="149" t="s">
        <v>7311</v>
      </c>
    </row>
    <row r="5332" spans="1:1">
      <c r="A5332" s="149" t="s">
        <v>7312</v>
      </c>
    </row>
    <row r="5333" spans="1:1">
      <c r="A5333" s="149" t="s">
        <v>7313</v>
      </c>
    </row>
    <row r="5334" spans="1:1">
      <c r="A5334" s="149" t="s">
        <v>7314</v>
      </c>
    </row>
    <row r="5335" spans="1:1">
      <c r="A5335" s="149" t="s">
        <v>7315</v>
      </c>
    </row>
    <row r="5336" spans="1:1">
      <c r="A5336" s="149" t="s">
        <v>7316</v>
      </c>
    </row>
    <row r="5337" spans="1:1">
      <c r="A5337" s="149" t="s">
        <v>7317</v>
      </c>
    </row>
    <row r="5338" spans="1:1">
      <c r="A5338" s="149" t="s">
        <v>7318</v>
      </c>
    </row>
    <row r="5339" spans="1:1">
      <c r="A5339" s="149" t="s">
        <v>7319</v>
      </c>
    </row>
    <row r="5340" spans="1:1">
      <c r="A5340" s="149" t="s">
        <v>7320</v>
      </c>
    </row>
    <row r="5341" spans="1:1">
      <c r="A5341" s="149" t="s">
        <v>7321</v>
      </c>
    </row>
    <row r="5342" spans="1:1">
      <c r="A5342" s="149" t="s">
        <v>7322</v>
      </c>
    </row>
    <row r="5343" spans="1:1">
      <c r="A5343" s="149" t="s">
        <v>7323</v>
      </c>
    </row>
    <row r="5344" spans="1:1">
      <c r="A5344" s="149" t="s">
        <v>7324</v>
      </c>
    </row>
    <row r="5345" spans="1:1">
      <c r="A5345" s="149" t="s">
        <v>7325</v>
      </c>
    </row>
    <row r="5346" spans="1:1">
      <c r="A5346" s="149" t="s">
        <v>7326</v>
      </c>
    </row>
    <row r="5347" spans="1:1">
      <c r="A5347" s="149" t="s">
        <v>7327</v>
      </c>
    </row>
    <row r="5348" spans="1:1">
      <c r="A5348" s="149" t="s">
        <v>7328</v>
      </c>
    </row>
    <row r="5349" spans="1:1">
      <c r="A5349" s="149" t="s">
        <v>7329</v>
      </c>
    </row>
    <row r="5350" spans="1:1">
      <c r="A5350" s="149" t="s">
        <v>7330</v>
      </c>
    </row>
    <row r="5351" spans="1:1">
      <c r="A5351" s="149" t="s">
        <v>7331</v>
      </c>
    </row>
    <row r="5352" spans="1:1">
      <c r="A5352" s="149" t="s">
        <v>7332</v>
      </c>
    </row>
    <row r="5353" spans="1:1">
      <c r="A5353" s="149" t="s">
        <v>7333</v>
      </c>
    </row>
    <row r="5354" spans="1:1">
      <c r="A5354" s="149" t="s">
        <v>7334</v>
      </c>
    </row>
    <row r="5355" spans="1:1">
      <c r="A5355" s="149" t="s">
        <v>7335</v>
      </c>
    </row>
    <row r="5356" spans="1:1">
      <c r="A5356" s="149" t="s">
        <v>7336</v>
      </c>
    </row>
    <row r="5357" spans="1:1">
      <c r="A5357" s="149" t="s">
        <v>7337</v>
      </c>
    </row>
    <row r="5358" spans="1:1">
      <c r="A5358" s="149" t="s">
        <v>7338</v>
      </c>
    </row>
    <row r="5359" spans="1:1">
      <c r="A5359" s="149" t="s">
        <v>7339</v>
      </c>
    </row>
    <row r="5360" spans="1:1">
      <c r="A5360" s="149" t="s">
        <v>7340</v>
      </c>
    </row>
    <row r="5361" spans="1:1">
      <c r="A5361" s="149" t="s">
        <v>7341</v>
      </c>
    </row>
    <row r="5362" spans="1:1">
      <c r="A5362" s="149" t="s">
        <v>7342</v>
      </c>
    </row>
    <row r="5363" spans="1:1">
      <c r="A5363" s="149" t="s">
        <v>7343</v>
      </c>
    </row>
    <row r="5364" spans="1:1">
      <c r="A5364" s="149" t="s">
        <v>7344</v>
      </c>
    </row>
    <row r="5365" spans="1:1">
      <c r="A5365" s="149" t="s">
        <v>7345</v>
      </c>
    </row>
    <row r="5366" spans="1:1">
      <c r="A5366" s="149" t="s">
        <v>7346</v>
      </c>
    </row>
    <row r="5367" spans="1:1">
      <c r="A5367" s="149" t="s">
        <v>7347</v>
      </c>
    </row>
    <row r="5368" spans="1:1">
      <c r="A5368" s="149" t="s">
        <v>7348</v>
      </c>
    </row>
    <row r="5369" spans="1:1">
      <c r="A5369" s="149" t="s">
        <v>7349</v>
      </c>
    </row>
    <row r="5370" spans="1:1">
      <c r="A5370" s="149" t="s">
        <v>7350</v>
      </c>
    </row>
    <row r="5371" spans="1:1">
      <c r="A5371" s="149" t="s">
        <v>7351</v>
      </c>
    </row>
    <row r="5372" spans="1:1">
      <c r="A5372" s="149" t="s">
        <v>7352</v>
      </c>
    </row>
    <row r="5373" spans="1:1">
      <c r="A5373" s="149" t="s">
        <v>7353</v>
      </c>
    </row>
    <row r="5374" spans="1:1">
      <c r="A5374" s="149" t="s">
        <v>7354</v>
      </c>
    </row>
    <row r="5375" spans="1:1">
      <c r="A5375" s="149" t="s">
        <v>7355</v>
      </c>
    </row>
    <row r="5376" spans="1:1">
      <c r="A5376" s="149" t="s">
        <v>7356</v>
      </c>
    </row>
    <row r="5377" spans="1:1">
      <c r="A5377" s="149" t="s">
        <v>7357</v>
      </c>
    </row>
    <row r="5378" spans="1:1">
      <c r="A5378" s="149" t="s">
        <v>7358</v>
      </c>
    </row>
    <row r="5379" spans="1:1">
      <c r="A5379" s="149" t="s">
        <v>7359</v>
      </c>
    </row>
    <row r="5380" spans="1:1">
      <c r="A5380" s="149" t="s">
        <v>7360</v>
      </c>
    </row>
    <row r="5381" spans="1:1">
      <c r="A5381" s="149" t="s">
        <v>7361</v>
      </c>
    </row>
    <row r="5382" spans="1:1">
      <c r="A5382" s="149" t="s">
        <v>7362</v>
      </c>
    </row>
    <row r="5383" spans="1:1">
      <c r="A5383" s="149" t="s">
        <v>7363</v>
      </c>
    </row>
    <row r="5384" spans="1:1">
      <c r="A5384" s="149" t="s">
        <v>7364</v>
      </c>
    </row>
    <row r="5385" spans="1:1">
      <c r="A5385" s="149" t="s">
        <v>7365</v>
      </c>
    </row>
    <row r="5386" spans="1:1">
      <c r="A5386" s="149" t="s">
        <v>7366</v>
      </c>
    </row>
    <row r="5387" spans="1:1">
      <c r="A5387" s="149" t="s">
        <v>7367</v>
      </c>
    </row>
    <row r="5388" spans="1:1">
      <c r="A5388" s="149" t="s">
        <v>7368</v>
      </c>
    </row>
    <row r="5389" spans="1:1">
      <c r="A5389" s="149" t="s">
        <v>7369</v>
      </c>
    </row>
    <row r="5390" spans="1:1">
      <c r="A5390" s="149" t="s">
        <v>7370</v>
      </c>
    </row>
    <row r="5391" spans="1:1">
      <c r="A5391" s="149" t="s">
        <v>7371</v>
      </c>
    </row>
    <row r="5392" spans="1:1">
      <c r="A5392" s="149" t="s">
        <v>7372</v>
      </c>
    </row>
    <row r="5393" spans="1:1">
      <c r="A5393" s="149" t="s">
        <v>7373</v>
      </c>
    </row>
    <row r="5394" spans="1:1">
      <c r="A5394" s="149" t="s">
        <v>7374</v>
      </c>
    </row>
    <row r="5395" spans="1:1">
      <c r="A5395" s="149" t="s">
        <v>7375</v>
      </c>
    </row>
    <row r="5396" spans="1:1">
      <c r="A5396" s="149" t="s">
        <v>7376</v>
      </c>
    </row>
    <row r="5397" spans="1:1">
      <c r="A5397" s="149" t="s">
        <v>7377</v>
      </c>
    </row>
    <row r="5398" spans="1:1">
      <c r="A5398" s="149" t="s">
        <v>7378</v>
      </c>
    </row>
    <row r="5399" spans="1:1">
      <c r="A5399" s="149" t="s">
        <v>7379</v>
      </c>
    </row>
    <row r="5400" spans="1:1">
      <c r="A5400" s="149" t="s">
        <v>7380</v>
      </c>
    </row>
    <row r="5401" spans="1:1">
      <c r="A5401" s="149" t="s">
        <v>7381</v>
      </c>
    </row>
    <row r="5402" spans="1:1">
      <c r="A5402" s="149" t="s">
        <v>7382</v>
      </c>
    </row>
    <row r="5403" spans="1:1">
      <c r="A5403" s="149" t="s">
        <v>7383</v>
      </c>
    </row>
    <row r="5404" spans="1:1">
      <c r="A5404" s="149" t="s">
        <v>7384</v>
      </c>
    </row>
    <row r="5405" spans="1:1">
      <c r="A5405" s="149" t="s">
        <v>7385</v>
      </c>
    </row>
    <row r="5406" spans="1:1">
      <c r="A5406" s="149" t="s">
        <v>7386</v>
      </c>
    </row>
    <row r="5407" spans="1:1">
      <c r="A5407" s="149" t="s">
        <v>7387</v>
      </c>
    </row>
    <row r="5408" spans="1:1">
      <c r="A5408" s="149" t="s">
        <v>7388</v>
      </c>
    </row>
    <row r="5409" spans="1:1">
      <c r="A5409" s="149" t="s">
        <v>7389</v>
      </c>
    </row>
    <row r="5410" spans="1:1">
      <c r="A5410" s="149" t="s">
        <v>7390</v>
      </c>
    </row>
    <row r="5411" spans="1:1">
      <c r="A5411" s="149" t="s">
        <v>7391</v>
      </c>
    </row>
    <row r="5412" spans="1:1">
      <c r="A5412" s="149" t="s">
        <v>7392</v>
      </c>
    </row>
    <row r="5413" spans="1:1">
      <c r="A5413" s="149" t="s">
        <v>7393</v>
      </c>
    </row>
    <row r="5414" spans="1:1">
      <c r="A5414" s="149" t="s">
        <v>7394</v>
      </c>
    </row>
    <row r="5415" spans="1:1">
      <c r="A5415" s="149" t="s">
        <v>7395</v>
      </c>
    </row>
    <row r="5416" spans="1:1">
      <c r="A5416" s="149" t="s">
        <v>7396</v>
      </c>
    </row>
    <row r="5417" spans="1:1">
      <c r="A5417" s="149" t="s">
        <v>7397</v>
      </c>
    </row>
    <row r="5418" spans="1:1">
      <c r="A5418" s="149" t="s">
        <v>7398</v>
      </c>
    </row>
    <row r="5419" spans="1:1">
      <c r="A5419" s="149" t="s">
        <v>7399</v>
      </c>
    </row>
    <row r="5420" spans="1:1">
      <c r="A5420" s="149" t="s">
        <v>7400</v>
      </c>
    </row>
    <row r="5421" spans="1:1">
      <c r="A5421" s="149" t="s">
        <v>7401</v>
      </c>
    </row>
    <row r="5422" spans="1:1">
      <c r="A5422" s="149" t="s">
        <v>7402</v>
      </c>
    </row>
    <row r="5423" spans="1:1">
      <c r="A5423" s="149" t="s">
        <v>7403</v>
      </c>
    </row>
    <row r="5424" spans="1:1">
      <c r="A5424" s="149" t="s">
        <v>7404</v>
      </c>
    </row>
    <row r="5425" spans="1:1">
      <c r="A5425" s="149" t="s">
        <v>7405</v>
      </c>
    </row>
    <row r="5426" spans="1:1">
      <c r="A5426" s="149" t="s">
        <v>7406</v>
      </c>
    </row>
    <row r="5427" spans="1:1">
      <c r="A5427" s="149" t="s">
        <v>7407</v>
      </c>
    </row>
    <row r="5428" spans="1:1">
      <c r="A5428" s="149" t="s">
        <v>7408</v>
      </c>
    </row>
    <row r="5429" spans="1:1">
      <c r="A5429" s="149" t="s">
        <v>7409</v>
      </c>
    </row>
    <row r="5430" spans="1:1">
      <c r="A5430" s="149" t="s">
        <v>7410</v>
      </c>
    </row>
    <row r="5431" spans="1:1">
      <c r="A5431" s="149" t="s">
        <v>7411</v>
      </c>
    </row>
    <row r="5432" spans="1:1">
      <c r="A5432" s="149" t="s">
        <v>7412</v>
      </c>
    </row>
    <row r="5433" spans="1:1">
      <c r="A5433" s="149" t="s">
        <v>7413</v>
      </c>
    </row>
    <row r="5434" spans="1:1">
      <c r="A5434" s="149" t="s">
        <v>7414</v>
      </c>
    </row>
    <row r="5435" spans="1:1">
      <c r="A5435" s="149" t="s">
        <v>7415</v>
      </c>
    </row>
    <row r="5436" spans="1:1">
      <c r="A5436" s="149" t="s">
        <v>7416</v>
      </c>
    </row>
    <row r="5437" spans="1:1">
      <c r="A5437" s="149" t="s">
        <v>7417</v>
      </c>
    </row>
    <row r="5438" spans="1:1">
      <c r="A5438" s="149" t="s">
        <v>7418</v>
      </c>
    </row>
    <row r="5439" spans="1:1">
      <c r="A5439" s="149" t="s">
        <v>7419</v>
      </c>
    </row>
    <row r="5440" spans="1:1">
      <c r="A5440" s="149" t="s">
        <v>7420</v>
      </c>
    </row>
    <row r="5441" spans="1:1">
      <c r="A5441" s="149" t="s">
        <v>7421</v>
      </c>
    </row>
    <row r="5442" spans="1:1">
      <c r="A5442" s="149" t="s">
        <v>7422</v>
      </c>
    </row>
    <row r="5443" spans="1:1">
      <c r="A5443" s="149" t="s">
        <v>7423</v>
      </c>
    </row>
    <row r="5444" spans="1:1">
      <c r="A5444" s="149" t="s">
        <v>7424</v>
      </c>
    </row>
    <row r="5445" spans="1:1">
      <c r="A5445" s="149" t="s">
        <v>7425</v>
      </c>
    </row>
    <row r="5446" spans="1:1">
      <c r="A5446" s="149" t="s">
        <v>7426</v>
      </c>
    </row>
    <row r="5447" spans="1:1">
      <c r="A5447" s="149" t="s">
        <v>7427</v>
      </c>
    </row>
    <row r="5448" spans="1:1">
      <c r="A5448" s="149" t="s">
        <v>7428</v>
      </c>
    </row>
    <row r="5449" spans="1:1">
      <c r="A5449" s="149" t="s">
        <v>7429</v>
      </c>
    </row>
    <row r="5450" spans="1:1">
      <c r="A5450" s="149" t="s">
        <v>7430</v>
      </c>
    </row>
    <row r="5451" spans="1:1">
      <c r="A5451" s="149" t="s">
        <v>7431</v>
      </c>
    </row>
    <row r="5452" spans="1:1">
      <c r="A5452" s="149" t="s">
        <v>7432</v>
      </c>
    </row>
    <row r="5453" spans="1:1">
      <c r="A5453" s="149" t="s">
        <v>7433</v>
      </c>
    </row>
    <row r="5454" spans="1:1">
      <c r="A5454" s="149" t="s">
        <v>7434</v>
      </c>
    </row>
    <row r="5455" spans="1:1">
      <c r="A5455" s="149" t="s">
        <v>7435</v>
      </c>
    </row>
    <row r="5456" spans="1:1">
      <c r="A5456" s="149" t="s">
        <v>7436</v>
      </c>
    </row>
    <row r="5457" spans="1:1">
      <c r="A5457" s="149" t="s">
        <v>7437</v>
      </c>
    </row>
    <row r="5458" spans="1:1">
      <c r="A5458" s="149" t="s">
        <v>7438</v>
      </c>
    </row>
    <row r="5459" spans="1:1">
      <c r="A5459" s="149" t="s">
        <v>7439</v>
      </c>
    </row>
    <row r="5460" spans="1:1">
      <c r="A5460" s="149" t="s">
        <v>7440</v>
      </c>
    </row>
    <row r="5461" spans="1:1">
      <c r="A5461" s="149" t="s">
        <v>7441</v>
      </c>
    </row>
    <row r="5462" spans="1:1">
      <c r="A5462" s="149" t="s">
        <v>7442</v>
      </c>
    </row>
    <row r="5463" spans="1:1">
      <c r="A5463" s="149" t="s">
        <v>7443</v>
      </c>
    </row>
    <row r="5464" spans="1:1">
      <c r="A5464" s="149" t="s">
        <v>7444</v>
      </c>
    </row>
    <row r="5465" spans="1:1">
      <c r="A5465" s="149" t="s">
        <v>7445</v>
      </c>
    </row>
    <row r="5466" spans="1:1">
      <c r="A5466" s="149" t="s">
        <v>7446</v>
      </c>
    </row>
    <row r="5467" spans="1:1">
      <c r="A5467" s="149" t="s">
        <v>7447</v>
      </c>
    </row>
    <row r="5468" spans="1:1">
      <c r="A5468" s="149" t="s">
        <v>7448</v>
      </c>
    </row>
    <row r="5469" spans="1:1">
      <c r="A5469" s="149" t="s">
        <v>7449</v>
      </c>
    </row>
    <row r="5470" spans="1:1">
      <c r="A5470" s="149" t="s">
        <v>7450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16"/>
  <sheetViews>
    <sheetView topLeftCell="A4" workbookViewId="0">
      <selection activeCell="I21" sqref="I21"/>
    </sheetView>
  </sheetViews>
  <sheetFormatPr baseColWidth="10" defaultRowHeight="12"/>
  <cols>
    <col min="1" max="1" width="17.7109375" bestFit="1" customWidth="1"/>
    <col min="2" max="2" width="15.85546875" bestFit="1" customWidth="1"/>
    <col min="8" max="8" width="12.28515625" bestFit="1" customWidth="1"/>
  </cols>
  <sheetData>
    <row r="1" spans="1:9" ht="12.75">
      <c r="A1" s="219" t="s">
        <v>9046</v>
      </c>
      <c r="B1" s="219" t="s">
        <v>9047</v>
      </c>
      <c r="C1" s="214"/>
      <c r="D1" s="214"/>
      <c r="E1" s="214"/>
      <c r="F1" s="214"/>
      <c r="G1" s="214"/>
      <c r="H1" s="214"/>
      <c r="I1" s="214"/>
    </row>
    <row r="2" spans="1:9" ht="12.75">
      <c r="A2" s="219" t="s">
        <v>9009</v>
      </c>
      <c r="B2" s="219" t="s">
        <v>9010</v>
      </c>
      <c r="C2" s="214"/>
      <c r="D2" s="214"/>
      <c r="E2" s="214"/>
      <c r="F2" s="214"/>
      <c r="G2" s="214"/>
      <c r="H2" s="214"/>
      <c r="I2" s="214"/>
    </row>
    <row r="3" spans="1:9" ht="12.75">
      <c r="A3" s="219" t="s">
        <v>9011</v>
      </c>
      <c r="B3" s="219"/>
      <c r="C3" s="214"/>
      <c r="D3" s="214"/>
      <c r="E3" s="214"/>
      <c r="F3" s="214"/>
      <c r="G3" s="214"/>
      <c r="H3" s="214"/>
      <c r="I3" s="214"/>
    </row>
    <row r="4" spans="1:9" ht="12.75">
      <c r="A4" s="219" t="s">
        <v>9012</v>
      </c>
      <c r="B4" s="220"/>
      <c r="C4" s="214"/>
      <c r="D4" s="214"/>
      <c r="E4" s="214"/>
      <c r="F4" s="214"/>
      <c r="G4" s="214"/>
      <c r="H4" s="214"/>
      <c r="I4" s="214"/>
    </row>
    <row r="5" spans="1:9" ht="12.75">
      <c r="A5" s="214"/>
      <c r="B5" s="214"/>
      <c r="C5" s="214"/>
      <c r="D5" s="214"/>
      <c r="E5" s="214"/>
      <c r="F5" s="214"/>
      <c r="G5" s="214"/>
      <c r="H5" s="214"/>
      <c r="I5" s="214"/>
    </row>
    <row r="6" spans="1:9" ht="12.75">
      <c r="A6" s="364" t="s">
        <v>9013</v>
      </c>
      <c r="B6" s="216" t="s">
        <v>9014</v>
      </c>
      <c r="C6" s="363" t="s">
        <v>9015</v>
      </c>
      <c r="D6" s="363"/>
      <c r="E6" s="363"/>
      <c r="F6" s="363"/>
      <c r="G6" s="363"/>
      <c r="H6" s="217" t="s">
        <v>9016</v>
      </c>
    </row>
    <row r="7" spans="1:9" ht="12.75">
      <c r="A7" s="364"/>
      <c r="B7" s="216" t="s">
        <v>9017</v>
      </c>
      <c r="C7" s="363" t="s">
        <v>9018</v>
      </c>
      <c r="D7" s="363"/>
      <c r="E7" s="363"/>
      <c r="F7" s="363"/>
      <c r="G7" s="363"/>
      <c r="H7" s="217" t="s">
        <v>9016</v>
      </c>
    </row>
    <row r="8" spans="1:9" ht="12.75">
      <c r="A8" s="364"/>
      <c r="B8" s="216" t="s">
        <v>9019</v>
      </c>
      <c r="C8" s="363" t="s">
        <v>9020</v>
      </c>
      <c r="D8" s="363"/>
      <c r="E8" s="363"/>
      <c r="F8" s="363"/>
      <c r="G8" s="363"/>
      <c r="H8" s="217" t="s">
        <v>9016</v>
      </c>
    </row>
    <row r="9" spans="1:9" ht="12.75">
      <c r="A9" s="216" t="s">
        <v>9021</v>
      </c>
      <c r="B9" s="216" t="s">
        <v>9014</v>
      </c>
      <c r="C9" s="363" t="s">
        <v>9022</v>
      </c>
      <c r="D9" s="363"/>
      <c r="E9" s="363"/>
      <c r="F9" s="363"/>
      <c r="G9" s="363"/>
      <c r="H9" s="218" t="s">
        <v>251</v>
      </c>
    </row>
    <row r="10" spans="1:9" ht="12.75">
      <c r="A10" s="216" t="s">
        <v>9023</v>
      </c>
      <c r="B10" s="216" t="s">
        <v>9024</v>
      </c>
      <c r="C10" s="363" t="s">
        <v>9025</v>
      </c>
      <c r="D10" s="363"/>
      <c r="E10" s="363"/>
      <c r="F10" s="363"/>
      <c r="G10" s="363"/>
      <c r="H10" s="218" t="s">
        <v>9026</v>
      </c>
    </row>
    <row r="11" spans="1:9" ht="12.75">
      <c r="A11" s="216" t="s">
        <v>9027</v>
      </c>
      <c r="B11" s="216" t="s">
        <v>9028</v>
      </c>
      <c r="C11" s="363" t="s">
        <v>9029</v>
      </c>
      <c r="D11" s="363"/>
      <c r="E11" s="363"/>
      <c r="F11" s="363"/>
      <c r="G11" s="363"/>
      <c r="H11" s="218" t="s">
        <v>9030</v>
      </c>
    </row>
    <row r="12" spans="1:9" ht="12.75">
      <c r="A12" s="216" t="s">
        <v>9031</v>
      </c>
      <c r="B12" s="216" t="s">
        <v>9032</v>
      </c>
      <c r="C12" s="363" t="s">
        <v>9033</v>
      </c>
      <c r="D12" s="363"/>
      <c r="E12" s="363"/>
      <c r="F12" s="363"/>
      <c r="G12" s="363"/>
      <c r="H12" s="218" t="s">
        <v>9034</v>
      </c>
    </row>
    <row r="13" spans="1:9" ht="12.75">
      <c r="A13" s="216" t="s">
        <v>9035</v>
      </c>
      <c r="B13" s="216" t="s">
        <v>9036</v>
      </c>
      <c r="C13" s="363" t="s">
        <v>9037</v>
      </c>
      <c r="D13" s="363"/>
      <c r="E13" s="363"/>
      <c r="F13" s="363"/>
      <c r="G13" s="363"/>
      <c r="H13" s="218" t="s">
        <v>9034</v>
      </c>
    </row>
    <row r="14" spans="1:9" ht="12.75">
      <c r="A14" s="216" t="s">
        <v>9035</v>
      </c>
      <c r="B14" s="216" t="s">
        <v>7863</v>
      </c>
      <c r="C14" s="363" t="s">
        <v>9038</v>
      </c>
      <c r="D14" s="363"/>
      <c r="E14" s="363"/>
      <c r="F14" s="363"/>
      <c r="G14" s="363"/>
      <c r="H14" s="218" t="s">
        <v>9034</v>
      </c>
    </row>
    <row r="15" spans="1:9" ht="12.75">
      <c r="A15" s="216" t="s">
        <v>9039</v>
      </c>
      <c r="B15" s="216" t="s">
        <v>9040</v>
      </c>
      <c r="C15" s="363" t="s">
        <v>9041</v>
      </c>
      <c r="D15" s="363"/>
      <c r="E15" s="363"/>
      <c r="F15" s="363"/>
      <c r="G15" s="363"/>
      <c r="H15" s="218" t="s">
        <v>9034</v>
      </c>
    </row>
    <row r="16" spans="1:9" ht="12.75">
      <c r="A16" s="216" t="s">
        <v>9042</v>
      </c>
      <c r="B16" s="216" t="s">
        <v>9043</v>
      </c>
      <c r="C16" s="363" t="s">
        <v>9044</v>
      </c>
      <c r="D16" s="363"/>
      <c r="E16" s="363"/>
      <c r="F16" s="363"/>
      <c r="G16" s="363"/>
      <c r="H16" s="218" t="s">
        <v>9034</v>
      </c>
    </row>
    <row r="17" spans="1:14" ht="12.75">
      <c r="A17" s="216" t="s">
        <v>9045</v>
      </c>
      <c r="B17" s="216" t="s">
        <v>9042</v>
      </c>
      <c r="C17" s="219"/>
      <c r="D17" s="219"/>
      <c r="E17" s="219"/>
      <c r="F17" s="219"/>
      <c r="G17" s="219"/>
      <c r="H17" s="219"/>
    </row>
    <row r="19" spans="1:14" s="215" customFormat="1" ht="12.75">
      <c r="A19" s="214"/>
      <c r="B19" s="365" t="s">
        <v>9013</v>
      </c>
      <c r="C19" s="365"/>
      <c r="D19" s="365"/>
      <c r="E19" s="216" t="s">
        <v>9021</v>
      </c>
      <c r="F19" s="216" t="s">
        <v>9023</v>
      </c>
      <c r="G19" s="344" t="s">
        <v>9027</v>
      </c>
      <c r="I19" s="216" t="s">
        <v>9031</v>
      </c>
      <c r="J19" s="248" t="s">
        <v>9035</v>
      </c>
      <c r="K19" s="216" t="s">
        <v>9035</v>
      </c>
      <c r="L19" s="216" t="s">
        <v>9039</v>
      </c>
      <c r="M19" s="216" t="s">
        <v>9042</v>
      </c>
      <c r="N19" s="216" t="s">
        <v>9045</v>
      </c>
    </row>
    <row r="20" spans="1:14" s="215" customFormat="1" ht="12.75">
      <c r="A20" s="216" t="s">
        <v>213</v>
      </c>
      <c r="B20" s="216" t="s">
        <v>9014</v>
      </c>
      <c r="C20" s="216" t="s">
        <v>9017</v>
      </c>
      <c r="D20" s="216" t="s">
        <v>9019</v>
      </c>
      <c r="E20" s="216" t="s">
        <v>9014</v>
      </c>
      <c r="F20" s="248" t="s">
        <v>9024</v>
      </c>
      <c r="G20" s="249" t="s">
        <v>9028</v>
      </c>
      <c r="H20" s="345" t="s">
        <v>213</v>
      </c>
      <c r="I20" s="216" t="s">
        <v>9032</v>
      </c>
      <c r="J20" s="248" t="s">
        <v>9036</v>
      </c>
      <c r="K20" s="216" t="s">
        <v>7863</v>
      </c>
      <c r="L20" s="216" t="s">
        <v>9040</v>
      </c>
      <c r="M20" s="216" t="s">
        <v>9043</v>
      </c>
      <c r="N20" s="216" t="s">
        <v>9042</v>
      </c>
    </row>
    <row r="21" spans="1:14" ht="12.75">
      <c r="A21" s="247">
        <v>41588.668067129627</v>
      </c>
      <c r="B21" s="221">
        <v>20</v>
      </c>
      <c r="C21" s="246"/>
      <c r="D21" s="246"/>
      <c r="E21" s="221">
        <v>52.8</v>
      </c>
      <c r="F21" s="245"/>
      <c r="G21" s="244"/>
      <c r="H21" s="250" t="s">
        <v>9094</v>
      </c>
      <c r="I21" s="251">
        <v>28.19</v>
      </c>
      <c r="J21" s="245"/>
      <c r="K21" s="221"/>
      <c r="L21" s="221"/>
      <c r="M21" s="221"/>
      <c r="N21" s="221"/>
    </row>
    <row r="22" spans="1:14" ht="12.75">
      <c r="A22" s="247">
        <v>41588.709733796299</v>
      </c>
      <c r="B22" s="221">
        <v>20</v>
      </c>
      <c r="C22" s="246"/>
      <c r="D22" s="246"/>
      <c r="E22" s="221">
        <v>51.6</v>
      </c>
      <c r="F22" s="245"/>
      <c r="G22" s="244"/>
      <c r="H22" s="250" t="s">
        <v>9095</v>
      </c>
      <c r="I22" s="251">
        <v>19.559999999999999</v>
      </c>
      <c r="J22" s="245"/>
      <c r="K22" s="221"/>
      <c r="L22" s="221"/>
      <c r="M22" s="221"/>
      <c r="N22" s="221"/>
    </row>
    <row r="23" spans="1:14" ht="12.75">
      <c r="A23" s="247">
        <v>41588.751400462963</v>
      </c>
      <c r="B23" s="221">
        <v>20</v>
      </c>
      <c r="C23" s="246"/>
      <c r="D23" s="246"/>
      <c r="E23" s="221">
        <v>51</v>
      </c>
      <c r="F23" s="245"/>
      <c r="G23" s="244"/>
      <c r="H23" s="250" t="s">
        <v>9096</v>
      </c>
      <c r="I23" s="251">
        <v>0</v>
      </c>
      <c r="J23" s="245"/>
      <c r="K23" s="221"/>
      <c r="L23" s="221"/>
      <c r="M23" s="221"/>
      <c r="N23" s="221"/>
    </row>
    <row r="24" spans="1:14" ht="12.75">
      <c r="A24" s="247">
        <v>41588.793067129627</v>
      </c>
      <c r="B24" s="221">
        <v>20</v>
      </c>
      <c r="C24" s="246"/>
      <c r="D24" s="246"/>
      <c r="E24" s="221">
        <v>52.2</v>
      </c>
      <c r="F24" s="245"/>
      <c r="G24" s="244"/>
      <c r="H24" s="250" t="s">
        <v>9097</v>
      </c>
      <c r="I24" s="251">
        <v>1.52</v>
      </c>
      <c r="J24" s="245"/>
      <c r="K24" s="221"/>
      <c r="L24" s="221"/>
      <c r="M24" s="221"/>
      <c r="N24" s="221"/>
    </row>
    <row r="25" spans="1:14" ht="12.75">
      <c r="A25" s="247">
        <v>41588.834733796299</v>
      </c>
      <c r="B25" s="221">
        <v>20</v>
      </c>
      <c r="C25" s="246"/>
      <c r="D25" s="246"/>
      <c r="E25" s="221">
        <v>52.2</v>
      </c>
      <c r="F25" s="245"/>
      <c r="G25" s="244"/>
      <c r="H25" s="250" t="s">
        <v>9098</v>
      </c>
      <c r="I25" s="251">
        <v>0</v>
      </c>
      <c r="J25" s="245"/>
      <c r="K25" s="221"/>
      <c r="L25" s="221"/>
      <c r="M25" s="221"/>
      <c r="N25" s="221"/>
    </row>
    <row r="26" spans="1:14" ht="12.75">
      <c r="A26" s="247">
        <v>41588.876400462963</v>
      </c>
      <c r="B26" s="221">
        <v>20</v>
      </c>
      <c r="C26" s="246"/>
      <c r="D26" s="246"/>
      <c r="E26" s="221">
        <v>52.2</v>
      </c>
      <c r="F26" s="245"/>
      <c r="G26" s="244"/>
      <c r="H26" s="250" t="s">
        <v>9099</v>
      </c>
      <c r="I26" s="251">
        <v>0</v>
      </c>
      <c r="J26" s="245"/>
      <c r="K26" s="221"/>
      <c r="L26" s="221"/>
      <c r="M26" s="221"/>
      <c r="N26" s="221"/>
    </row>
    <row r="27" spans="1:14" ht="12.75">
      <c r="A27" s="247">
        <v>41588.918067129627</v>
      </c>
      <c r="B27" s="221">
        <v>20</v>
      </c>
      <c r="C27" s="246"/>
      <c r="D27" s="246"/>
      <c r="E27" s="221">
        <v>51</v>
      </c>
      <c r="F27" s="245"/>
      <c r="G27" s="244"/>
      <c r="H27" s="250" t="s">
        <v>9100</v>
      </c>
      <c r="I27" s="251">
        <v>0</v>
      </c>
      <c r="J27" s="245"/>
      <c r="K27" s="221"/>
      <c r="L27" s="221"/>
      <c r="M27" s="221"/>
      <c r="N27" s="221"/>
    </row>
    <row r="28" spans="1:14" ht="12.75">
      <c r="A28" s="247">
        <v>41588.959733796299</v>
      </c>
      <c r="B28" s="221">
        <v>20</v>
      </c>
      <c r="C28" s="246"/>
      <c r="D28" s="246"/>
      <c r="E28" s="221">
        <v>51.6</v>
      </c>
      <c r="F28" s="245"/>
      <c r="G28" s="244"/>
      <c r="H28" s="250" t="s">
        <v>9101</v>
      </c>
      <c r="I28" s="251">
        <v>0</v>
      </c>
      <c r="J28" s="245"/>
      <c r="K28" s="221"/>
      <c r="L28" s="221"/>
      <c r="M28" s="221"/>
      <c r="N28" s="221"/>
    </row>
    <row r="29" spans="1:14" ht="12.75">
      <c r="A29" s="247">
        <v>41589.001400462963</v>
      </c>
      <c r="B29" s="221">
        <v>20</v>
      </c>
      <c r="C29" s="246"/>
      <c r="D29" s="246"/>
      <c r="E29" s="221">
        <v>51</v>
      </c>
      <c r="F29" s="245"/>
      <c r="G29" s="244"/>
      <c r="H29" s="250" t="s">
        <v>9102</v>
      </c>
      <c r="I29" s="251">
        <v>0</v>
      </c>
      <c r="J29" s="245"/>
      <c r="K29" s="221"/>
      <c r="L29" s="221"/>
      <c r="M29" s="221"/>
      <c r="N29" s="221"/>
    </row>
    <row r="30" spans="1:14" ht="12.75">
      <c r="A30" s="247">
        <v>41589.043067129627</v>
      </c>
      <c r="B30" s="221">
        <v>20</v>
      </c>
      <c r="C30" s="246"/>
      <c r="D30" s="246"/>
      <c r="E30" s="221">
        <v>50.4</v>
      </c>
      <c r="F30" s="245"/>
      <c r="G30" s="244"/>
      <c r="H30" s="250" t="s">
        <v>9103</v>
      </c>
      <c r="I30" s="251">
        <v>0</v>
      </c>
      <c r="J30" s="245"/>
      <c r="K30" s="221"/>
      <c r="L30" s="221"/>
      <c r="M30" s="221"/>
      <c r="N30" s="221"/>
    </row>
    <row r="31" spans="1:14" ht="12.75">
      <c r="A31" s="247">
        <v>41589.084733796299</v>
      </c>
      <c r="B31" s="221">
        <v>20</v>
      </c>
      <c r="C31" s="246"/>
      <c r="D31" s="246"/>
      <c r="E31" s="221">
        <v>50.4</v>
      </c>
      <c r="F31" s="245"/>
      <c r="G31" s="244"/>
      <c r="H31" s="250" t="s">
        <v>9104</v>
      </c>
      <c r="I31" s="251">
        <v>0</v>
      </c>
      <c r="J31" s="245"/>
      <c r="K31" s="221"/>
      <c r="L31" s="221"/>
      <c r="M31" s="221"/>
      <c r="N31" s="221"/>
    </row>
    <row r="32" spans="1:14" ht="12.75">
      <c r="A32" s="247">
        <v>41589.126400462963</v>
      </c>
      <c r="B32" s="221">
        <v>20</v>
      </c>
      <c r="C32" s="246"/>
      <c r="D32" s="246"/>
      <c r="E32" s="221">
        <v>49.2</v>
      </c>
      <c r="F32" s="245"/>
      <c r="G32" s="244"/>
      <c r="H32" s="250" t="s">
        <v>9105</v>
      </c>
      <c r="I32" s="251">
        <v>0.51</v>
      </c>
      <c r="J32" s="245"/>
      <c r="K32" s="221"/>
      <c r="L32" s="221"/>
      <c r="M32" s="221"/>
      <c r="N32" s="221"/>
    </row>
    <row r="33" spans="1:14" ht="12.75">
      <c r="A33" s="247">
        <v>41589.168067129627</v>
      </c>
      <c r="B33" s="221">
        <v>20</v>
      </c>
      <c r="C33" s="246"/>
      <c r="D33" s="246"/>
      <c r="E33" s="221">
        <v>49.8</v>
      </c>
      <c r="F33" s="245"/>
      <c r="G33" s="244"/>
      <c r="H33" s="250" t="s">
        <v>9106</v>
      </c>
      <c r="I33" s="251">
        <v>7.37</v>
      </c>
      <c r="J33" s="245"/>
      <c r="K33" s="221"/>
      <c r="L33" s="221"/>
      <c r="M33" s="221"/>
      <c r="N33" s="221"/>
    </row>
    <row r="34" spans="1:14" ht="12.75">
      <c r="A34" s="247">
        <v>41589.209733796299</v>
      </c>
      <c r="B34" s="221">
        <v>20</v>
      </c>
      <c r="C34" s="246"/>
      <c r="D34" s="246"/>
      <c r="E34" s="221">
        <v>49.2</v>
      </c>
      <c r="F34" s="245"/>
      <c r="G34" s="244"/>
      <c r="H34" s="250" t="s">
        <v>9107</v>
      </c>
      <c r="I34" s="251">
        <v>0.25</v>
      </c>
      <c r="J34" s="245"/>
      <c r="K34" s="221"/>
      <c r="L34" s="221"/>
      <c r="M34" s="221"/>
      <c r="N34" s="221"/>
    </row>
    <row r="35" spans="1:14" ht="12.75">
      <c r="A35" s="247">
        <v>41589.251400462963</v>
      </c>
      <c r="B35" s="221">
        <v>20</v>
      </c>
      <c r="C35" s="246"/>
      <c r="D35" s="246"/>
      <c r="E35" s="221">
        <v>48.6</v>
      </c>
      <c r="F35" s="245"/>
      <c r="G35" s="244"/>
      <c r="H35" s="250">
        <v>41284</v>
      </c>
      <c r="I35" s="251">
        <v>0</v>
      </c>
      <c r="J35" s="245"/>
      <c r="K35" s="221"/>
      <c r="L35" s="221"/>
      <c r="M35" s="221"/>
      <c r="N35" s="221"/>
    </row>
    <row r="36" spans="1:14" ht="12.75">
      <c r="A36" s="247">
        <v>41589.293067129627</v>
      </c>
      <c r="B36" s="221">
        <v>20</v>
      </c>
      <c r="C36" s="246"/>
      <c r="D36" s="246"/>
      <c r="E36" s="221">
        <v>49.2</v>
      </c>
      <c r="F36" s="245"/>
      <c r="G36" s="244"/>
      <c r="H36" s="250">
        <v>41315</v>
      </c>
      <c r="I36" s="251">
        <v>0</v>
      </c>
      <c r="J36" s="245"/>
      <c r="K36" s="221"/>
      <c r="L36" s="221"/>
      <c r="M36" s="221"/>
      <c r="N36" s="221"/>
    </row>
    <row r="37" spans="1:14" ht="12.75">
      <c r="A37" s="247">
        <v>41589.334733796299</v>
      </c>
      <c r="B37" s="221">
        <v>20.5</v>
      </c>
      <c r="C37" s="246"/>
      <c r="D37" s="246"/>
      <c r="E37" s="221">
        <v>49.2</v>
      </c>
      <c r="F37" s="245"/>
      <c r="G37" s="244"/>
      <c r="H37" s="250">
        <v>41343</v>
      </c>
      <c r="I37" s="251">
        <v>0</v>
      </c>
      <c r="J37" s="245"/>
      <c r="K37" s="221"/>
      <c r="L37" s="221"/>
      <c r="M37" s="221"/>
      <c r="N37" s="221"/>
    </row>
    <row r="38" spans="1:14" ht="12.75">
      <c r="A38" s="247">
        <v>41589.376400462963</v>
      </c>
      <c r="B38" s="221">
        <v>20.5</v>
      </c>
      <c r="C38" s="246"/>
      <c r="D38" s="246"/>
      <c r="E38" s="221">
        <v>48</v>
      </c>
      <c r="F38" s="245"/>
      <c r="G38" s="244"/>
      <c r="H38" s="250">
        <v>41374</v>
      </c>
      <c r="I38" s="251">
        <v>8.89</v>
      </c>
      <c r="J38" s="245"/>
      <c r="K38" s="221"/>
      <c r="L38" s="221"/>
      <c r="M38" s="221"/>
      <c r="N38" s="221"/>
    </row>
    <row r="39" spans="1:14" ht="12.75">
      <c r="A39" s="247">
        <v>41589.418067129627</v>
      </c>
      <c r="B39" s="221">
        <v>20.5</v>
      </c>
      <c r="E39" s="221">
        <v>46.8</v>
      </c>
      <c r="H39" s="250">
        <v>41404</v>
      </c>
      <c r="I39" s="251">
        <v>6.1</v>
      </c>
    </row>
    <row r="40" spans="1:14" ht="12.75">
      <c r="A40" s="247">
        <v>41589.459733796299</v>
      </c>
      <c r="B40" s="221">
        <v>20.5</v>
      </c>
      <c r="E40" s="221">
        <v>46.8</v>
      </c>
      <c r="H40" s="250">
        <v>41435</v>
      </c>
      <c r="I40" s="251">
        <v>0</v>
      </c>
    </row>
    <row r="41" spans="1:14" ht="12.75">
      <c r="A41" s="247">
        <v>41589.501400462963</v>
      </c>
      <c r="B41" s="221">
        <v>20.5</v>
      </c>
      <c r="E41" s="221">
        <v>46.8</v>
      </c>
      <c r="H41" s="250">
        <v>41465</v>
      </c>
      <c r="I41" s="251">
        <v>0</v>
      </c>
    </row>
    <row r="42" spans="1:14" ht="12.75">
      <c r="A42" s="247">
        <v>41589.543067129627</v>
      </c>
      <c r="B42" s="221">
        <v>21</v>
      </c>
      <c r="E42" s="221">
        <v>46.8</v>
      </c>
      <c r="H42" s="250">
        <v>41496</v>
      </c>
      <c r="I42" s="251">
        <v>0</v>
      </c>
    </row>
    <row r="43" spans="1:14" ht="12.75">
      <c r="A43" s="247">
        <v>41589.584733796299</v>
      </c>
      <c r="B43" s="221">
        <v>21</v>
      </c>
      <c r="E43" s="221">
        <v>46.8</v>
      </c>
      <c r="H43" s="250">
        <v>41527</v>
      </c>
      <c r="I43" s="251">
        <v>0</v>
      </c>
    </row>
    <row r="44" spans="1:14" ht="12.75">
      <c r="A44" s="247">
        <v>41589.626400462963</v>
      </c>
      <c r="B44" s="221">
        <v>21</v>
      </c>
      <c r="E44" s="221">
        <v>46.8</v>
      </c>
      <c r="H44" s="250">
        <v>41557</v>
      </c>
      <c r="I44" s="251">
        <v>0.25</v>
      </c>
    </row>
    <row r="45" spans="1:14" ht="12.75">
      <c r="A45" s="247">
        <v>41589.668067129627</v>
      </c>
      <c r="B45" s="221">
        <v>21</v>
      </c>
      <c r="E45" s="221">
        <v>46.8</v>
      </c>
      <c r="H45" s="250">
        <v>41588</v>
      </c>
      <c r="I45" s="251">
        <v>0.51</v>
      </c>
    </row>
    <row r="46" spans="1:14" ht="12.75">
      <c r="A46" s="247">
        <v>41589.709733796299</v>
      </c>
      <c r="B46" s="221">
        <v>21</v>
      </c>
      <c r="E46" s="221">
        <v>46.2</v>
      </c>
      <c r="H46" s="250">
        <v>41618</v>
      </c>
      <c r="I46" s="251">
        <v>5.84</v>
      </c>
    </row>
    <row r="47" spans="1:14" ht="12.75">
      <c r="A47" s="247">
        <v>41589.751400462963</v>
      </c>
      <c r="B47" s="221">
        <v>21</v>
      </c>
      <c r="E47" s="221">
        <v>46.2</v>
      </c>
      <c r="H47" s="250" t="s">
        <v>9108</v>
      </c>
      <c r="I47" s="251">
        <v>0</v>
      </c>
    </row>
    <row r="48" spans="1:14" ht="12.75">
      <c r="A48" s="247">
        <v>41589.793067129627</v>
      </c>
      <c r="B48" s="221">
        <v>21</v>
      </c>
      <c r="E48" s="221">
        <v>46.2</v>
      </c>
      <c r="H48" s="250" t="s">
        <v>9109</v>
      </c>
      <c r="I48" s="251">
        <v>12.7</v>
      </c>
    </row>
    <row r="49" spans="1:9" ht="12.75">
      <c r="A49" s="247">
        <v>41589.834733796299</v>
      </c>
      <c r="B49" s="221">
        <v>21</v>
      </c>
      <c r="E49" s="221">
        <v>46.2</v>
      </c>
      <c r="H49" s="250" t="s">
        <v>9110</v>
      </c>
      <c r="I49" s="251">
        <v>19.809999999999999</v>
      </c>
    </row>
    <row r="50" spans="1:9" ht="12.75">
      <c r="A50" s="247">
        <v>41589.876400462963</v>
      </c>
      <c r="B50" s="221">
        <v>20.5</v>
      </c>
      <c r="E50" s="221">
        <v>46.2</v>
      </c>
      <c r="H50" s="250" t="s">
        <v>9111</v>
      </c>
      <c r="I50" s="251">
        <v>2.29</v>
      </c>
    </row>
    <row r="51" spans="1:9" ht="12.75">
      <c r="A51" s="247">
        <v>41589.918067129627</v>
      </c>
      <c r="B51" s="221">
        <v>20.5</v>
      </c>
      <c r="E51" s="221">
        <v>46.2</v>
      </c>
      <c r="H51" s="250" t="s">
        <v>9112</v>
      </c>
      <c r="I51" s="251">
        <v>0</v>
      </c>
    </row>
    <row r="52" spans="1:9" ht="12.75">
      <c r="A52" s="247">
        <v>41589.959733796299</v>
      </c>
      <c r="B52" s="221">
        <v>20</v>
      </c>
      <c r="E52" s="221">
        <v>47.4</v>
      </c>
      <c r="H52" s="250" t="s">
        <v>9113</v>
      </c>
      <c r="I52" s="251">
        <v>0</v>
      </c>
    </row>
    <row r="53" spans="1:9" ht="12.75">
      <c r="A53" s="247">
        <v>41590.001400462963</v>
      </c>
      <c r="B53" s="221">
        <v>20</v>
      </c>
      <c r="E53" s="221">
        <v>47.4</v>
      </c>
      <c r="H53" s="250" t="s">
        <v>9114</v>
      </c>
      <c r="I53" s="251">
        <v>0</v>
      </c>
    </row>
    <row r="54" spans="1:9" ht="12.75">
      <c r="A54" s="247">
        <v>41590.043067129627</v>
      </c>
      <c r="B54" s="221">
        <v>20</v>
      </c>
      <c r="E54" s="221">
        <v>48</v>
      </c>
      <c r="H54" s="250" t="s">
        <v>9115</v>
      </c>
      <c r="I54" s="251">
        <v>10.67</v>
      </c>
    </row>
    <row r="55" spans="1:9" ht="12.75">
      <c r="A55" s="247">
        <v>41590.084733796299</v>
      </c>
      <c r="B55" s="221">
        <v>20</v>
      </c>
      <c r="E55" s="221">
        <v>48</v>
      </c>
      <c r="H55" s="250" t="s">
        <v>9116</v>
      </c>
      <c r="I55" s="251">
        <v>0.51</v>
      </c>
    </row>
    <row r="56" spans="1:9" ht="12.75">
      <c r="A56" s="247">
        <v>41590.126400462963</v>
      </c>
      <c r="B56" s="221">
        <v>20</v>
      </c>
      <c r="E56" s="221">
        <v>47.4</v>
      </c>
      <c r="H56" s="250" t="s">
        <v>9117</v>
      </c>
      <c r="I56" s="251">
        <v>2.0299999999999998</v>
      </c>
    </row>
    <row r="57" spans="1:9" ht="12.75">
      <c r="A57" s="247">
        <v>41590.168067129627</v>
      </c>
      <c r="B57" s="221">
        <v>20</v>
      </c>
      <c r="E57" s="221">
        <v>46.8</v>
      </c>
      <c r="H57" s="250" t="s">
        <v>9118</v>
      </c>
      <c r="I57" s="251">
        <v>6.6</v>
      </c>
    </row>
    <row r="58" spans="1:9" ht="12.75">
      <c r="A58" s="247">
        <v>41590.209733796299</v>
      </c>
      <c r="B58" s="221">
        <v>20</v>
      </c>
      <c r="E58" s="221">
        <v>47.4</v>
      </c>
      <c r="H58" s="250" t="s">
        <v>9119</v>
      </c>
      <c r="I58" s="251">
        <v>0</v>
      </c>
    </row>
    <row r="59" spans="1:9" ht="12.75">
      <c r="A59" s="247">
        <v>41590.251400462963</v>
      </c>
      <c r="B59" s="221">
        <v>20</v>
      </c>
      <c r="E59" s="221">
        <v>47.4</v>
      </c>
      <c r="H59" s="250" t="s">
        <v>9120</v>
      </c>
      <c r="I59" s="251">
        <v>9.14</v>
      </c>
    </row>
    <row r="60" spans="1:9" ht="12.75">
      <c r="A60" s="247">
        <v>41590.293067129627</v>
      </c>
      <c r="B60" s="221">
        <v>20</v>
      </c>
      <c r="E60" s="221">
        <v>48</v>
      </c>
      <c r="H60" s="250" t="s">
        <v>9121</v>
      </c>
      <c r="I60" s="251">
        <v>6.6</v>
      </c>
    </row>
    <row r="61" spans="1:9" ht="12.75">
      <c r="A61" s="247">
        <v>41590.334733796299</v>
      </c>
      <c r="B61" s="221">
        <v>20</v>
      </c>
      <c r="E61" s="221">
        <v>48</v>
      </c>
      <c r="H61" s="250" t="s">
        <v>9122</v>
      </c>
      <c r="I61" s="251">
        <v>5.33</v>
      </c>
    </row>
    <row r="62" spans="1:9" ht="12.75">
      <c r="A62" s="247">
        <v>41590.376400462963</v>
      </c>
      <c r="B62" s="221">
        <v>20</v>
      </c>
      <c r="E62" s="221">
        <v>48</v>
      </c>
      <c r="H62" s="250" t="s">
        <v>9123</v>
      </c>
      <c r="I62" s="251">
        <v>5.08</v>
      </c>
    </row>
    <row r="63" spans="1:9" ht="12.75">
      <c r="A63" s="247">
        <v>41590.418067129627</v>
      </c>
      <c r="B63" s="221">
        <v>20.5</v>
      </c>
      <c r="E63" s="221">
        <v>48</v>
      </c>
      <c r="H63" s="250" t="s">
        <v>9124</v>
      </c>
      <c r="I63" s="251">
        <v>0.25</v>
      </c>
    </row>
    <row r="64" spans="1:9" ht="12.75">
      <c r="A64" s="247">
        <v>41590.459733796299</v>
      </c>
      <c r="B64" s="221">
        <v>21.5</v>
      </c>
      <c r="E64" s="221">
        <v>49.2</v>
      </c>
      <c r="H64" s="250" t="s">
        <v>9125</v>
      </c>
      <c r="I64" s="251">
        <v>0</v>
      </c>
    </row>
    <row r="65" spans="1:9" ht="12.75">
      <c r="A65" s="247">
        <v>41590.501400462963</v>
      </c>
      <c r="B65" s="221">
        <v>21.5</v>
      </c>
      <c r="E65" s="221">
        <v>48</v>
      </c>
      <c r="H65" s="250" t="s">
        <v>9126</v>
      </c>
      <c r="I65" s="251">
        <v>0</v>
      </c>
    </row>
    <row r="66" spans="1:9" ht="12.75">
      <c r="A66" s="247">
        <v>41590.543067129627</v>
      </c>
      <c r="B66" s="221">
        <v>22</v>
      </c>
      <c r="E66" s="221">
        <v>47.4</v>
      </c>
      <c r="H66" s="250">
        <v>41285</v>
      </c>
      <c r="I66" s="251">
        <v>6.86</v>
      </c>
    </row>
    <row r="67" spans="1:9" ht="12.75">
      <c r="A67" s="247">
        <v>41590.584733796299</v>
      </c>
      <c r="B67" s="221">
        <v>22</v>
      </c>
      <c r="E67" s="221">
        <v>47.4</v>
      </c>
      <c r="H67" s="250">
        <v>41316</v>
      </c>
      <c r="I67" s="251">
        <v>3.05</v>
      </c>
    </row>
    <row r="68" spans="1:9" ht="12.75">
      <c r="A68" s="247">
        <v>41590.626400462963</v>
      </c>
      <c r="B68" s="221">
        <v>22.5</v>
      </c>
      <c r="E68" s="221">
        <v>47.4</v>
      </c>
      <c r="H68" s="250">
        <v>41344</v>
      </c>
      <c r="I68" s="251">
        <v>1.78</v>
      </c>
    </row>
    <row r="69" spans="1:9" ht="12.75">
      <c r="A69" s="247">
        <v>41590.668067129627</v>
      </c>
      <c r="B69" s="221">
        <v>22.5</v>
      </c>
      <c r="E69" s="221">
        <v>48</v>
      </c>
      <c r="H69" s="250">
        <v>41375</v>
      </c>
      <c r="I69" s="251">
        <v>18.29</v>
      </c>
    </row>
    <row r="70" spans="1:9" ht="12.75">
      <c r="A70" s="247">
        <v>41590.709733796299</v>
      </c>
      <c r="B70" s="221">
        <v>22.5</v>
      </c>
      <c r="E70" s="221">
        <v>48</v>
      </c>
      <c r="H70" s="250">
        <v>41405</v>
      </c>
      <c r="I70" s="251">
        <v>4.83</v>
      </c>
    </row>
    <row r="71" spans="1:9" ht="12.75">
      <c r="A71" s="247">
        <v>41590.751400462963</v>
      </c>
      <c r="B71" s="221">
        <v>22</v>
      </c>
      <c r="E71" s="221">
        <v>48.6</v>
      </c>
      <c r="H71" s="250">
        <v>41436</v>
      </c>
      <c r="I71" s="251">
        <v>2.54</v>
      </c>
    </row>
    <row r="72" spans="1:9" ht="12.75">
      <c r="A72" s="247">
        <v>41590.793067129627</v>
      </c>
      <c r="B72" s="221">
        <v>21.5</v>
      </c>
      <c r="E72" s="221">
        <v>48.6</v>
      </c>
      <c r="H72" s="250">
        <v>41466</v>
      </c>
      <c r="I72" s="251">
        <v>0</v>
      </c>
    </row>
    <row r="73" spans="1:9" ht="12.75">
      <c r="A73" s="247">
        <v>41590.834733796299</v>
      </c>
      <c r="B73" s="221">
        <v>21.5</v>
      </c>
      <c r="E73" s="221">
        <v>49.2</v>
      </c>
      <c r="H73" s="250">
        <v>41497</v>
      </c>
      <c r="I73" s="251">
        <v>5.33</v>
      </c>
    </row>
    <row r="74" spans="1:9" ht="12.75">
      <c r="A74" s="247">
        <v>41590.876400462963</v>
      </c>
      <c r="B74" s="221">
        <v>21.5</v>
      </c>
      <c r="E74" s="221">
        <v>50.4</v>
      </c>
      <c r="H74" s="250">
        <v>41528</v>
      </c>
      <c r="I74" s="251">
        <v>7.87</v>
      </c>
    </row>
    <row r="75" spans="1:9" ht="12.75">
      <c r="A75" s="247">
        <v>41590.918067129627</v>
      </c>
      <c r="B75" s="221">
        <v>21</v>
      </c>
      <c r="E75" s="221">
        <v>50.4</v>
      </c>
      <c r="H75" s="250">
        <v>41558</v>
      </c>
      <c r="I75" s="251">
        <v>13.97</v>
      </c>
    </row>
    <row r="76" spans="1:9" ht="12.75">
      <c r="A76" s="247">
        <v>41590.959733796299</v>
      </c>
      <c r="B76" s="221">
        <v>21</v>
      </c>
      <c r="E76" s="221">
        <v>51.6</v>
      </c>
      <c r="H76" s="250">
        <v>41589</v>
      </c>
      <c r="I76" s="251">
        <v>0</v>
      </c>
    </row>
    <row r="77" spans="1:9" ht="12.75">
      <c r="A77" s="247">
        <v>41591.001400462963</v>
      </c>
      <c r="B77" s="221">
        <v>21</v>
      </c>
      <c r="E77" s="221">
        <v>51.6</v>
      </c>
      <c r="H77" s="250">
        <v>41619</v>
      </c>
      <c r="I77" s="251">
        <v>0.25</v>
      </c>
    </row>
    <row r="78" spans="1:9" ht="12.75">
      <c r="A78" s="247">
        <v>41591.043067129627</v>
      </c>
      <c r="B78" s="221">
        <v>21</v>
      </c>
      <c r="E78" s="221">
        <v>52.2</v>
      </c>
      <c r="H78" s="250" t="s">
        <v>9127</v>
      </c>
      <c r="I78" s="251">
        <v>0.76</v>
      </c>
    </row>
    <row r="79" spans="1:9" ht="12.75">
      <c r="A79" s="247">
        <v>41591.084733796299</v>
      </c>
      <c r="B79" s="221">
        <v>21</v>
      </c>
      <c r="E79" s="221">
        <v>52.2</v>
      </c>
      <c r="H79" s="250" t="s">
        <v>9128</v>
      </c>
      <c r="I79" s="251">
        <v>1.52</v>
      </c>
    </row>
    <row r="80" spans="1:9" ht="12.75">
      <c r="A80" s="247">
        <v>41591.126400462963</v>
      </c>
      <c r="B80" s="221">
        <v>20.5</v>
      </c>
      <c r="E80" s="221">
        <v>52.2</v>
      </c>
      <c r="H80" s="250" t="s">
        <v>9129</v>
      </c>
      <c r="I80" s="251">
        <v>4.57</v>
      </c>
    </row>
    <row r="81" spans="1:9" ht="12.75">
      <c r="A81" s="247">
        <v>41591.168067129627</v>
      </c>
      <c r="B81" s="221">
        <v>20.5</v>
      </c>
      <c r="E81" s="221">
        <v>52.2</v>
      </c>
      <c r="H81" s="250" t="s">
        <v>9130</v>
      </c>
      <c r="I81" s="251">
        <v>0</v>
      </c>
    </row>
    <row r="82" spans="1:9" ht="12.75">
      <c r="A82" s="247">
        <v>41591.209733796299</v>
      </c>
      <c r="B82" s="221">
        <v>20.5</v>
      </c>
      <c r="E82" s="221">
        <v>52.8</v>
      </c>
      <c r="H82" s="250" t="s">
        <v>9131</v>
      </c>
      <c r="I82" s="251">
        <v>0</v>
      </c>
    </row>
    <row r="83" spans="1:9" ht="12.75">
      <c r="A83" s="247">
        <v>41591.251400462963</v>
      </c>
      <c r="B83" s="221">
        <v>20.5</v>
      </c>
      <c r="E83" s="221">
        <v>52.2</v>
      </c>
      <c r="H83" s="250" t="s">
        <v>9132</v>
      </c>
      <c r="I83" s="251">
        <v>0</v>
      </c>
    </row>
    <row r="84" spans="1:9" ht="12.75">
      <c r="A84" s="247">
        <v>41591.293067129627</v>
      </c>
      <c r="B84" s="221">
        <v>21</v>
      </c>
      <c r="E84" s="221">
        <v>52.2</v>
      </c>
      <c r="H84" s="250" t="s">
        <v>9133</v>
      </c>
      <c r="I84" s="251">
        <v>0.76</v>
      </c>
    </row>
    <row r="85" spans="1:9" ht="12.75">
      <c r="A85" s="247">
        <v>41591.334733796299</v>
      </c>
      <c r="B85" s="221">
        <v>21</v>
      </c>
      <c r="E85" s="221">
        <v>51.6</v>
      </c>
      <c r="H85" s="250" t="s">
        <v>9134</v>
      </c>
      <c r="I85" s="251">
        <v>4.83</v>
      </c>
    </row>
    <row r="86" spans="1:9" ht="12.75">
      <c r="A86" s="247">
        <v>41591.376400462963</v>
      </c>
      <c r="B86" s="221">
        <v>21</v>
      </c>
      <c r="E86" s="221">
        <v>51.6</v>
      </c>
      <c r="H86" s="250" t="s">
        <v>9135</v>
      </c>
      <c r="I86" s="251">
        <v>5.08</v>
      </c>
    </row>
    <row r="87" spans="1:9" ht="12.75">
      <c r="A87" s="247">
        <v>41591.418067129627</v>
      </c>
      <c r="B87" s="221">
        <v>21</v>
      </c>
      <c r="E87" s="221">
        <v>51.6</v>
      </c>
      <c r="H87" s="250" t="s">
        <v>9136</v>
      </c>
      <c r="I87" s="251">
        <v>1.27</v>
      </c>
    </row>
    <row r="88" spans="1:9" ht="12.75">
      <c r="A88" s="247">
        <v>41591.459733796299</v>
      </c>
      <c r="B88" s="221">
        <v>21.5</v>
      </c>
      <c r="E88" s="221">
        <v>51.6</v>
      </c>
      <c r="H88" s="250" t="s">
        <v>9137</v>
      </c>
      <c r="I88" s="251">
        <v>0.25</v>
      </c>
    </row>
    <row r="89" spans="1:9" ht="12.75">
      <c r="A89" s="247">
        <v>41591.501400462963</v>
      </c>
      <c r="B89" s="221">
        <v>21.5</v>
      </c>
      <c r="E89" s="221">
        <v>50.4</v>
      </c>
      <c r="H89" s="250" t="s">
        <v>9138</v>
      </c>
      <c r="I89" s="251">
        <v>0</v>
      </c>
    </row>
    <row r="90" spans="1:9" ht="12.75">
      <c r="A90" s="247">
        <v>41591.543067129627</v>
      </c>
      <c r="B90" s="221">
        <v>21.5</v>
      </c>
      <c r="E90" s="221">
        <v>51</v>
      </c>
      <c r="H90" s="250" t="s">
        <v>9139</v>
      </c>
      <c r="I90" s="251">
        <v>0</v>
      </c>
    </row>
    <row r="91" spans="1:9" ht="12.75">
      <c r="A91" s="247">
        <v>41591.584733796299</v>
      </c>
      <c r="B91" s="221">
        <v>21.5</v>
      </c>
      <c r="E91" s="221">
        <v>50.4</v>
      </c>
      <c r="H91" s="250" t="s">
        <v>9140</v>
      </c>
      <c r="I91" s="251">
        <v>0</v>
      </c>
    </row>
    <row r="92" spans="1:9" ht="12.75">
      <c r="A92" s="247">
        <v>41591.626400462963</v>
      </c>
      <c r="B92" s="221">
        <v>21.5</v>
      </c>
      <c r="E92" s="221">
        <v>50.4</v>
      </c>
      <c r="H92" s="250" t="s">
        <v>9141</v>
      </c>
      <c r="I92" s="251">
        <v>0.25</v>
      </c>
    </row>
    <row r="93" spans="1:9" ht="12.75">
      <c r="A93" s="247">
        <v>41591.668067129627</v>
      </c>
      <c r="B93" s="221">
        <v>21.5</v>
      </c>
      <c r="E93" s="221">
        <v>51</v>
      </c>
      <c r="H93" s="250" t="s">
        <v>9142</v>
      </c>
      <c r="I93" s="251">
        <v>0</v>
      </c>
    </row>
    <row r="94" spans="1:9" ht="12.75">
      <c r="A94" s="247">
        <v>41591.709733796299</v>
      </c>
      <c r="B94" s="221">
        <v>21.5</v>
      </c>
      <c r="E94" s="221">
        <v>49.2</v>
      </c>
      <c r="H94" s="250" t="s">
        <v>9143</v>
      </c>
      <c r="I94" s="251">
        <v>0</v>
      </c>
    </row>
    <row r="95" spans="1:9" ht="12.75">
      <c r="A95" s="247">
        <v>41591.751400462963</v>
      </c>
      <c r="B95" s="221">
        <v>21.5</v>
      </c>
      <c r="E95" s="221">
        <v>49.8</v>
      </c>
      <c r="H95" s="250" t="s">
        <v>9144</v>
      </c>
      <c r="I95" s="251">
        <v>0.76</v>
      </c>
    </row>
    <row r="96" spans="1:9" ht="12.75">
      <c r="A96" s="247">
        <v>41591.793067129627</v>
      </c>
      <c r="B96" s="221">
        <v>21.5</v>
      </c>
      <c r="E96" s="221">
        <v>49.8</v>
      </c>
      <c r="H96" s="250">
        <v>41286</v>
      </c>
      <c r="I96" s="251">
        <v>0.25</v>
      </c>
    </row>
    <row r="97" spans="1:9" ht="12.75">
      <c r="A97" s="247">
        <v>41591.834733796299</v>
      </c>
      <c r="B97" s="221">
        <v>21.5</v>
      </c>
      <c r="E97" s="221">
        <v>50.4</v>
      </c>
      <c r="H97" s="250">
        <v>41317</v>
      </c>
      <c r="I97" s="251">
        <v>0</v>
      </c>
    </row>
    <row r="98" spans="1:9" ht="12.75">
      <c r="A98" s="247">
        <v>41591.876400462963</v>
      </c>
      <c r="B98" s="221">
        <v>21</v>
      </c>
      <c r="E98" s="221">
        <v>50.4</v>
      </c>
      <c r="H98" s="250">
        <v>41345</v>
      </c>
      <c r="I98" s="251">
        <v>0</v>
      </c>
    </row>
    <row r="99" spans="1:9" ht="12.75">
      <c r="A99" s="247">
        <v>41591.918067129627</v>
      </c>
      <c r="B99" s="221">
        <v>20.5</v>
      </c>
      <c r="E99" s="221">
        <v>50.4</v>
      </c>
      <c r="H99" s="250">
        <v>41376</v>
      </c>
      <c r="I99" s="251">
        <v>0</v>
      </c>
    </row>
    <row r="100" spans="1:9" ht="12.75">
      <c r="A100" s="247">
        <v>41591.959733796299</v>
      </c>
      <c r="B100" s="221">
        <v>20.5</v>
      </c>
      <c r="E100" s="221">
        <v>50.4</v>
      </c>
      <c r="H100" s="250">
        <v>41406</v>
      </c>
      <c r="I100" s="251">
        <v>0</v>
      </c>
    </row>
    <row r="101" spans="1:9" ht="12.75">
      <c r="A101" s="247">
        <v>41592.001400462963</v>
      </c>
      <c r="B101" s="221">
        <v>20.5</v>
      </c>
      <c r="E101" s="221">
        <v>49.8</v>
      </c>
      <c r="H101" s="250">
        <v>41437</v>
      </c>
      <c r="I101" s="251">
        <v>0.25</v>
      </c>
    </row>
    <row r="102" spans="1:9" ht="12.75">
      <c r="A102" s="247">
        <v>41592.043067129627</v>
      </c>
      <c r="B102" s="221">
        <v>20.5</v>
      </c>
      <c r="E102" s="221">
        <v>49.2</v>
      </c>
      <c r="H102" s="250">
        <v>41467</v>
      </c>
      <c r="I102" s="251">
        <v>0</v>
      </c>
    </row>
    <row r="103" spans="1:9" ht="12.75">
      <c r="A103" s="247">
        <v>41592.084733796299</v>
      </c>
      <c r="B103" s="221">
        <v>20.5</v>
      </c>
      <c r="E103" s="221">
        <v>49.2</v>
      </c>
      <c r="H103" s="250">
        <v>41498</v>
      </c>
      <c r="I103" s="251">
        <v>0</v>
      </c>
    </row>
    <row r="104" spans="1:9" ht="12.75">
      <c r="A104" s="247">
        <v>41592.126400462963</v>
      </c>
      <c r="B104" s="221">
        <v>20</v>
      </c>
      <c r="E104" s="221">
        <v>48.6</v>
      </c>
      <c r="H104" s="250">
        <v>41529</v>
      </c>
      <c r="I104" s="251">
        <v>0</v>
      </c>
    </row>
    <row r="105" spans="1:9" ht="12.75">
      <c r="A105" s="247">
        <v>41592.168067129627</v>
      </c>
      <c r="B105" s="221">
        <v>20</v>
      </c>
      <c r="E105" s="221">
        <v>48</v>
      </c>
      <c r="H105" s="250">
        <v>41559</v>
      </c>
      <c r="I105" s="251">
        <v>0</v>
      </c>
    </row>
    <row r="106" spans="1:9" ht="12.75">
      <c r="A106" s="247">
        <v>41592.209733796299</v>
      </c>
      <c r="B106" s="221">
        <v>20</v>
      </c>
      <c r="E106" s="221">
        <v>48.6</v>
      </c>
      <c r="H106" s="250">
        <v>41590</v>
      </c>
      <c r="I106" s="251">
        <v>0.25</v>
      </c>
    </row>
    <row r="107" spans="1:9" ht="12.75">
      <c r="A107" s="247">
        <v>41592.251400462963</v>
      </c>
      <c r="B107" s="221">
        <v>20</v>
      </c>
      <c r="E107" s="221">
        <v>47.4</v>
      </c>
      <c r="H107" s="250">
        <v>41620</v>
      </c>
      <c r="I107" s="251">
        <v>0</v>
      </c>
    </row>
    <row r="108" spans="1:9" ht="12.75">
      <c r="A108" s="247">
        <v>41592.293067129627</v>
      </c>
      <c r="B108" s="221">
        <v>20</v>
      </c>
      <c r="E108" s="221">
        <v>47.4</v>
      </c>
      <c r="H108" s="250" t="s">
        <v>9145</v>
      </c>
      <c r="I108" s="251">
        <v>0.25</v>
      </c>
    </row>
    <row r="109" spans="1:9" ht="12.75">
      <c r="A109" s="247">
        <v>41592.334733796299</v>
      </c>
      <c r="B109" s="221">
        <v>20.5</v>
      </c>
      <c r="E109" s="221">
        <v>47.4</v>
      </c>
      <c r="H109" s="250" t="s">
        <v>9146</v>
      </c>
      <c r="I109" s="251">
        <v>3.05</v>
      </c>
    </row>
    <row r="110" spans="1:9" ht="12.75">
      <c r="A110" s="247">
        <v>41592.376400462963</v>
      </c>
      <c r="B110" s="221">
        <v>20.5</v>
      </c>
      <c r="E110" s="221">
        <v>48</v>
      </c>
      <c r="H110" s="250" t="s">
        <v>9147</v>
      </c>
      <c r="I110" s="251">
        <v>0.25</v>
      </c>
    </row>
    <row r="111" spans="1:9" ht="12.75">
      <c r="A111" s="247">
        <v>41592.418067129627</v>
      </c>
      <c r="B111" s="221">
        <v>21.5</v>
      </c>
      <c r="E111" s="221">
        <v>46.2</v>
      </c>
      <c r="H111" s="250" t="s">
        <v>9148</v>
      </c>
      <c r="I111" s="251">
        <v>0</v>
      </c>
    </row>
    <row r="112" spans="1:9" ht="12.75">
      <c r="A112" s="247">
        <v>41592.459733796299</v>
      </c>
      <c r="B112" s="221">
        <v>22</v>
      </c>
      <c r="E112" s="221">
        <v>44.4</v>
      </c>
      <c r="H112" s="250" t="s">
        <v>9149</v>
      </c>
      <c r="I112" s="251">
        <v>0</v>
      </c>
    </row>
    <row r="113" spans="1:9" ht="12.75">
      <c r="A113" s="247">
        <v>41592.501400462963</v>
      </c>
      <c r="B113" s="221">
        <v>21.5</v>
      </c>
      <c r="E113" s="221">
        <v>44.4</v>
      </c>
      <c r="H113" s="250" t="s">
        <v>9150</v>
      </c>
      <c r="I113" s="251">
        <v>0</v>
      </c>
    </row>
    <row r="114" spans="1:9" ht="12.75">
      <c r="A114" s="247">
        <v>41592.543067129627</v>
      </c>
      <c r="B114" s="221">
        <v>21.5</v>
      </c>
      <c r="E114" s="221">
        <v>45</v>
      </c>
      <c r="H114" s="250" t="s">
        <v>9151</v>
      </c>
      <c r="I114" s="251">
        <v>2.29</v>
      </c>
    </row>
    <row r="115" spans="1:9" ht="12.75">
      <c r="A115" s="247">
        <v>41592.584733796299</v>
      </c>
      <c r="B115" s="221">
        <v>21.5</v>
      </c>
      <c r="E115" s="221">
        <v>45.6</v>
      </c>
      <c r="H115" s="250" t="s">
        <v>9152</v>
      </c>
      <c r="I115" s="251">
        <v>0</v>
      </c>
    </row>
    <row r="116" spans="1:9" ht="12.75">
      <c r="A116" s="247">
        <v>41592.626400462963</v>
      </c>
      <c r="B116" s="221">
        <v>21.5</v>
      </c>
      <c r="E116" s="221">
        <v>45.6</v>
      </c>
      <c r="H116" s="250" t="s">
        <v>9153</v>
      </c>
      <c r="I116" s="251">
        <v>0</v>
      </c>
    </row>
    <row r="117" spans="1:9" ht="12.75">
      <c r="A117" s="247">
        <v>41592.668067129627</v>
      </c>
      <c r="B117" s="221">
        <v>21.5</v>
      </c>
      <c r="E117" s="221">
        <v>45.6</v>
      </c>
      <c r="H117" s="250" t="s">
        <v>9154</v>
      </c>
      <c r="I117" s="251">
        <v>1.52</v>
      </c>
    </row>
    <row r="118" spans="1:9" ht="12.75">
      <c r="A118" s="247">
        <v>41592.709733796299</v>
      </c>
      <c r="B118" s="221">
        <v>21.5</v>
      </c>
      <c r="E118" s="221">
        <v>45.6</v>
      </c>
      <c r="H118" s="250" t="s">
        <v>9155</v>
      </c>
      <c r="I118" s="251">
        <v>0.51</v>
      </c>
    </row>
    <row r="119" spans="1:9" ht="12.75">
      <c r="A119" s="247">
        <v>41592.751400462963</v>
      </c>
      <c r="B119" s="221">
        <v>21.5</v>
      </c>
      <c r="E119" s="221">
        <v>46.2</v>
      </c>
      <c r="H119" s="250" t="s">
        <v>9156</v>
      </c>
      <c r="I119" s="251">
        <v>8.89</v>
      </c>
    </row>
    <row r="120" spans="1:9" ht="12.75">
      <c r="A120" s="247">
        <v>41592.793067129627</v>
      </c>
      <c r="B120" s="221">
        <v>21</v>
      </c>
      <c r="E120" s="221">
        <v>46.8</v>
      </c>
      <c r="H120" s="250" t="s">
        <v>9157</v>
      </c>
      <c r="I120" s="251">
        <v>7.62</v>
      </c>
    </row>
    <row r="121" spans="1:9" ht="12.75">
      <c r="A121" s="247">
        <v>41592.834733796299</v>
      </c>
      <c r="B121" s="221">
        <v>21</v>
      </c>
      <c r="E121" s="221">
        <v>47.4</v>
      </c>
      <c r="H121" s="250" t="s">
        <v>9158</v>
      </c>
      <c r="I121" s="251">
        <v>0.76</v>
      </c>
    </row>
    <row r="122" spans="1:9" ht="12.75">
      <c r="A122" s="247">
        <v>41592.876400462963</v>
      </c>
      <c r="B122" s="221">
        <v>21</v>
      </c>
      <c r="E122" s="221">
        <v>48</v>
      </c>
      <c r="H122" s="250" t="s">
        <v>9159</v>
      </c>
      <c r="I122" s="251">
        <v>0</v>
      </c>
    </row>
    <row r="123" spans="1:9" ht="12.75">
      <c r="A123" s="247">
        <v>41592.918067129627</v>
      </c>
      <c r="B123" s="221">
        <v>20.5</v>
      </c>
      <c r="E123" s="221">
        <v>47.4</v>
      </c>
      <c r="H123" s="250" t="s">
        <v>9160</v>
      </c>
      <c r="I123" s="251">
        <v>4.0599999999999996</v>
      </c>
    </row>
    <row r="124" spans="1:9" ht="12.75">
      <c r="A124" s="247">
        <v>41592.959733796299</v>
      </c>
      <c r="B124" s="221">
        <v>20.5</v>
      </c>
      <c r="E124" s="221">
        <v>47.4</v>
      </c>
      <c r="H124" s="250" t="s">
        <v>9161</v>
      </c>
      <c r="I124" s="251">
        <v>0</v>
      </c>
    </row>
    <row r="125" spans="1:9" ht="12.75">
      <c r="A125" s="247">
        <v>41593.001400462963</v>
      </c>
      <c r="B125" s="221">
        <v>20.5</v>
      </c>
      <c r="E125" s="221">
        <v>47.4</v>
      </c>
      <c r="H125" s="250" t="s">
        <v>9162</v>
      </c>
      <c r="I125" s="251">
        <v>0</v>
      </c>
    </row>
    <row r="126" spans="1:9" ht="12.75">
      <c r="A126" s="247">
        <v>41593.043067129627</v>
      </c>
      <c r="B126" s="221">
        <v>20.5</v>
      </c>
      <c r="E126" s="221">
        <v>46.2</v>
      </c>
      <c r="H126" s="250" t="s">
        <v>9163</v>
      </c>
      <c r="I126" s="251">
        <v>1.02</v>
      </c>
    </row>
    <row r="127" spans="1:9" ht="12.75">
      <c r="A127" s="247">
        <v>41593.084733796299</v>
      </c>
      <c r="B127" s="221">
        <v>20</v>
      </c>
      <c r="E127" s="221">
        <v>46.2</v>
      </c>
      <c r="H127" s="250">
        <v>41640</v>
      </c>
      <c r="I127" s="251">
        <v>1.78</v>
      </c>
    </row>
    <row r="128" spans="1:9" ht="12.75">
      <c r="A128" s="247">
        <v>41593.126400462963</v>
      </c>
      <c r="B128" s="221">
        <v>20</v>
      </c>
      <c r="E128" s="221">
        <v>46.2</v>
      </c>
      <c r="H128" s="250">
        <v>41671</v>
      </c>
      <c r="I128" s="251">
        <v>9.4</v>
      </c>
    </row>
    <row r="129" spans="1:9" ht="12.75">
      <c r="A129" s="247">
        <v>41593.168067129627</v>
      </c>
      <c r="B129" s="221">
        <v>20</v>
      </c>
      <c r="E129" s="221">
        <v>45.6</v>
      </c>
      <c r="H129" s="250">
        <v>41699</v>
      </c>
      <c r="I129" s="251">
        <v>0.25</v>
      </c>
    </row>
    <row r="130" spans="1:9" ht="12.75">
      <c r="A130" s="247">
        <v>41593.209733796299</v>
      </c>
      <c r="B130" s="221">
        <v>20</v>
      </c>
      <c r="E130" s="221">
        <v>45.6</v>
      </c>
      <c r="H130" s="250">
        <v>41730</v>
      </c>
      <c r="I130" s="251">
        <v>5.84</v>
      </c>
    </row>
    <row r="131" spans="1:9" ht="12.75">
      <c r="A131" s="247">
        <v>41593.251400462963</v>
      </c>
      <c r="B131" s="221">
        <v>20</v>
      </c>
      <c r="E131" s="221">
        <v>45</v>
      </c>
      <c r="H131" s="250">
        <v>41760</v>
      </c>
      <c r="I131" s="251">
        <v>0.25</v>
      </c>
    </row>
    <row r="132" spans="1:9" ht="12.75">
      <c r="A132" s="247">
        <v>41593.293067129627</v>
      </c>
      <c r="B132" s="221">
        <v>20.5</v>
      </c>
      <c r="E132" s="221">
        <v>45</v>
      </c>
      <c r="H132" s="250">
        <v>41791</v>
      </c>
      <c r="I132" s="251">
        <v>0.25</v>
      </c>
    </row>
    <row r="133" spans="1:9" ht="12.75">
      <c r="A133" s="247">
        <v>41593.334733796299</v>
      </c>
      <c r="B133" s="221">
        <v>20.5</v>
      </c>
      <c r="E133" s="221">
        <v>45</v>
      </c>
      <c r="H133" s="250">
        <v>41821</v>
      </c>
      <c r="I133" s="251">
        <v>0</v>
      </c>
    </row>
    <row r="134" spans="1:9" ht="12.75">
      <c r="A134" s="247">
        <v>41593.376400462963</v>
      </c>
      <c r="B134" s="221">
        <v>20.5</v>
      </c>
      <c r="E134" s="221">
        <v>45</v>
      </c>
      <c r="H134" s="250">
        <v>41852</v>
      </c>
      <c r="I134" s="251">
        <v>0</v>
      </c>
    </row>
    <row r="135" spans="1:9" ht="12.75">
      <c r="A135" s="247">
        <v>41593.418067129627</v>
      </c>
      <c r="B135" s="221">
        <v>22</v>
      </c>
      <c r="E135" s="221">
        <v>44.4</v>
      </c>
      <c r="H135" s="250">
        <v>41883</v>
      </c>
      <c r="I135" s="251">
        <v>0</v>
      </c>
    </row>
    <row r="136" spans="1:9" ht="12.75">
      <c r="A136" s="247">
        <v>41593.459733796299</v>
      </c>
      <c r="B136" s="221">
        <v>20.5</v>
      </c>
      <c r="E136" s="221">
        <v>45</v>
      </c>
      <c r="H136" s="250">
        <v>41913</v>
      </c>
      <c r="I136" s="251">
        <v>0</v>
      </c>
    </row>
    <row r="137" spans="1:9" ht="12.75">
      <c r="A137" s="247">
        <v>41593.501400462963</v>
      </c>
      <c r="B137" s="221">
        <v>21</v>
      </c>
      <c r="E137" s="221">
        <v>46.8</v>
      </c>
      <c r="H137" s="250">
        <v>41944</v>
      </c>
      <c r="I137" s="251">
        <v>0</v>
      </c>
    </row>
    <row r="138" spans="1:9" ht="12.75">
      <c r="A138" s="247">
        <v>41593.543067129627</v>
      </c>
      <c r="B138" s="221">
        <v>21</v>
      </c>
      <c r="E138" s="221">
        <v>44.4</v>
      </c>
      <c r="H138" s="250">
        <v>41974</v>
      </c>
      <c r="I138" s="251">
        <v>0</v>
      </c>
    </row>
    <row r="139" spans="1:9" ht="12.75">
      <c r="A139" s="247">
        <v>41593.584733796299</v>
      </c>
      <c r="B139" s="221">
        <v>20.5</v>
      </c>
      <c r="E139" s="221">
        <v>45.6</v>
      </c>
      <c r="H139" s="250" t="s">
        <v>9164</v>
      </c>
      <c r="I139" s="251">
        <v>1.78</v>
      </c>
    </row>
    <row r="140" spans="1:9" ht="12.75">
      <c r="A140" s="247">
        <v>41593.626400462963</v>
      </c>
      <c r="B140" s="221">
        <v>20.5</v>
      </c>
      <c r="E140" s="221">
        <v>45.6</v>
      </c>
      <c r="H140" s="250" t="s">
        <v>9165</v>
      </c>
      <c r="I140" s="251">
        <v>0.76</v>
      </c>
    </row>
    <row r="141" spans="1:9" ht="12.75">
      <c r="A141" s="247">
        <v>41593.668067129627</v>
      </c>
      <c r="B141" s="221">
        <v>20.5</v>
      </c>
      <c r="E141" s="221">
        <v>46.8</v>
      </c>
      <c r="H141" s="250" t="s">
        <v>9166</v>
      </c>
      <c r="I141" s="251">
        <v>1.27</v>
      </c>
    </row>
    <row r="142" spans="1:9" ht="12.75">
      <c r="A142" s="247">
        <v>41593.709733796299</v>
      </c>
      <c r="B142" s="221">
        <v>20.5</v>
      </c>
      <c r="E142" s="221">
        <v>46.2</v>
      </c>
      <c r="H142" s="250" t="s">
        <v>9167</v>
      </c>
      <c r="I142" s="251">
        <v>1.27</v>
      </c>
    </row>
    <row r="143" spans="1:9" ht="12.75">
      <c r="A143" s="247">
        <v>41593.751400462963</v>
      </c>
      <c r="B143" s="221">
        <v>20.5</v>
      </c>
      <c r="E143" s="221">
        <v>46.8</v>
      </c>
      <c r="H143" s="250" t="s">
        <v>9168</v>
      </c>
      <c r="I143" s="251">
        <v>0</v>
      </c>
    </row>
    <row r="144" spans="1:9" ht="12.75">
      <c r="A144" s="247">
        <v>41593.793067129627</v>
      </c>
      <c r="B144" s="221">
        <v>20</v>
      </c>
      <c r="E144" s="221">
        <v>46.8</v>
      </c>
      <c r="H144" s="250" t="s">
        <v>9169</v>
      </c>
      <c r="I144" s="251">
        <v>3.05</v>
      </c>
    </row>
    <row r="145" spans="1:9" ht="12.75">
      <c r="A145" s="247">
        <v>41593.834733796299</v>
      </c>
      <c r="B145" s="221">
        <v>20.5</v>
      </c>
      <c r="E145" s="221">
        <v>49.2</v>
      </c>
      <c r="H145" s="250" t="s">
        <v>9170</v>
      </c>
      <c r="I145" s="251">
        <v>3.56</v>
      </c>
    </row>
    <row r="146" spans="1:9" ht="12.75">
      <c r="A146" s="247">
        <v>41593.876400462963</v>
      </c>
      <c r="B146" s="221">
        <v>20</v>
      </c>
      <c r="E146" s="221">
        <v>49.2</v>
      </c>
      <c r="H146" s="250" t="s">
        <v>9171</v>
      </c>
      <c r="I146" s="251">
        <v>0</v>
      </c>
    </row>
    <row r="147" spans="1:9" ht="12.75">
      <c r="A147" s="247">
        <v>41593.918067129627</v>
      </c>
      <c r="B147" s="221">
        <v>20</v>
      </c>
      <c r="E147" s="221">
        <v>47.4</v>
      </c>
      <c r="H147" s="250" t="s">
        <v>9172</v>
      </c>
      <c r="I147" s="251">
        <v>0</v>
      </c>
    </row>
    <row r="148" spans="1:9" ht="12.75">
      <c r="A148" s="247">
        <v>41593.959733796299</v>
      </c>
      <c r="B148" s="221">
        <v>20</v>
      </c>
      <c r="E148" s="221">
        <v>47.4</v>
      </c>
      <c r="H148" s="250" t="s">
        <v>9173</v>
      </c>
      <c r="I148" s="251">
        <v>2.79</v>
      </c>
    </row>
    <row r="149" spans="1:9" ht="12.75">
      <c r="A149" s="247">
        <v>41594.001400462963</v>
      </c>
      <c r="B149" s="221">
        <v>19.5</v>
      </c>
      <c r="E149" s="221">
        <v>47.4</v>
      </c>
      <c r="H149" s="250" t="s">
        <v>9174</v>
      </c>
      <c r="I149" s="251">
        <v>0.25</v>
      </c>
    </row>
    <row r="150" spans="1:9" ht="12.75">
      <c r="A150" s="247">
        <v>41594.043067129627</v>
      </c>
      <c r="B150" s="221">
        <v>19.5</v>
      </c>
      <c r="E150" s="221">
        <v>46.8</v>
      </c>
      <c r="H150" s="250" t="s">
        <v>9175</v>
      </c>
      <c r="I150" s="251">
        <v>6.6</v>
      </c>
    </row>
    <row r="151" spans="1:9" ht="12.75">
      <c r="A151" s="247">
        <v>41594.084733796299</v>
      </c>
      <c r="B151" s="221">
        <v>19.5</v>
      </c>
      <c r="E151" s="221">
        <v>46.2</v>
      </c>
      <c r="H151" s="250" t="s">
        <v>9176</v>
      </c>
      <c r="I151" s="251">
        <v>4.83</v>
      </c>
    </row>
    <row r="152" spans="1:9" ht="12.75">
      <c r="A152" s="247">
        <v>41594.126400462963</v>
      </c>
      <c r="B152" s="221">
        <v>19.5</v>
      </c>
      <c r="E152" s="221">
        <v>46.8</v>
      </c>
      <c r="H152" s="250" t="s">
        <v>9177</v>
      </c>
      <c r="I152" s="251">
        <v>4.83</v>
      </c>
    </row>
    <row r="153" spans="1:9" ht="12.75">
      <c r="A153" s="247">
        <v>41594.168067129627</v>
      </c>
      <c r="B153" s="221">
        <v>19.5</v>
      </c>
      <c r="E153" s="221">
        <v>46.2</v>
      </c>
      <c r="H153" s="250" t="s">
        <v>9178</v>
      </c>
      <c r="I153" s="251">
        <v>0</v>
      </c>
    </row>
    <row r="154" spans="1:9" ht="12.75">
      <c r="A154" s="247">
        <v>41594.209733796299</v>
      </c>
      <c r="B154" s="221">
        <v>19.5</v>
      </c>
      <c r="E154" s="221">
        <v>46.2</v>
      </c>
      <c r="H154" s="250" t="s">
        <v>9179</v>
      </c>
      <c r="I154" s="251">
        <v>2.79</v>
      </c>
    </row>
    <row r="155" spans="1:9" ht="12.75">
      <c r="A155" s="247">
        <v>41594.251400462963</v>
      </c>
      <c r="B155" s="221">
        <v>19.5</v>
      </c>
      <c r="E155" s="221">
        <v>45.6</v>
      </c>
      <c r="H155" s="250" t="s">
        <v>9180</v>
      </c>
      <c r="I155" s="251">
        <v>6.6</v>
      </c>
    </row>
    <row r="156" spans="1:9" ht="12.75">
      <c r="A156" s="247">
        <v>41594.293067129627</v>
      </c>
      <c r="B156" s="221">
        <v>19</v>
      </c>
      <c r="E156" s="221">
        <v>45.6</v>
      </c>
      <c r="H156" s="250" t="s">
        <v>9181</v>
      </c>
      <c r="I156" s="251">
        <v>0</v>
      </c>
    </row>
    <row r="157" spans="1:9" ht="12.75">
      <c r="A157" s="247">
        <v>41594.334733796299</v>
      </c>
      <c r="B157" s="221">
        <v>19</v>
      </c>
      <c r="E157" s="221">
        <v>45.6</v>
      </c>
      <c r="H157" s="250" t="s">
        <v>9182</v>
      </c>
      <c r="I157" s="251">
        <v>0</v>
      </c>
    </row>
    <row r="158" spans="1:9" ht="12.75">
      <c r="A158" s="247">
        <v>41594.376400462963</v>
      </c>
      <c r="B158" s="221">
        <v>19</v>
      </c>
      <c r="E158" s="221">
        <v>45.6</v>
      </c>
      <c r="H158" s="250">
        <v>41641</v>
      </c>
      <c r="I158" s="251">
        <v>4.57</v>
      </c>
    </row>
    <row r="159" spans="1:9" ht="12.75">
      <c r="A159" s="247">
        <v>41594.418067129627</v>
      </c>
      <c r="B159" s="221">
        <v>19.5</v>
      </c>
      <c r="E159" s="221">
        <v>45.6</v>
      </c>
      <c r="H159" s="250">
        <v>41672</v>
      </c>
      <c r="I159" s="251">
        <v>0.25</v>
      </c>
    </row>
    <row r="160" spans="1:9" ht="12.75">
      <c r="A160" s="247">
        <v>41594.459733796299</v>
      </c>
      <c r="B160" s="221">
        <v>19.5</v>
      </c>
      <c r="E160" s="221">
        <v>45.6</v>
      </c>
      <c r="H160" s="250">
        <v>41700</v>
      </c>
      <c r="I160" s="251">
        <v>0.25</v>
      </c>
    </row>
    <row r="161" spans="1:9" ht="12.75">
      <c r="A161" s="247">
        <v>41594.501400462963</v>
      </c>
      <c r="B161" s="221">
        <v>19.5</v>
      </c>
      <c r="E161" s="221">
        <v>45.6</v>
      </c>
      <c r="H161" s="250">
        <v>41731</v>
      </c>
      <c r="I161" s="251">
        <v>0</v>
      </c>
    </row>
    <row r="162" spans="1:9" ht="12.75">
      <c r="A162" s="247">
        <v>41594.543067129627</v>
      </c>
      <c r="B162" s="221">
        <v>19.5</v>
      </c>
      <c r="E162" s="221">
        <v>45</v>
      </c>
      <c r="H162" s="250">
        <v>41761</v>
      </c>
      <c r="I162" s="251">
        <v>3.3</v>
      </c>
    </row>
    <row r="163" spans="1:9" ht="12.75">
      <c r="A163" s="247">
        <v>41594.584733796299</v>
      </c>
      <c r="B163" s="221">
        <v>19.5</v>
      </c>
      <c r="E163" s="221">
        <v>44.4</v>
      </c>
      <c r="H163" s="250">
        <v>41792</v>
      </c>
      <c r="I163" s="251">
        <v>0</v>
      </c>
    </row>
    <row r="164" spans="1:9" ht="12.75">
      <c r="A164" s="247">
        <v>41594.626400462963</v>
      </c>
      <c r="B164" s="221">
        <v>19.5</v>
      </c>
      <c r="E164" s="221">
        <v>45</v>
      </c>
      <c r="H164" s="250">
        <v>41822</v>
      </c>
      <c r="I164" s="251">
        <v>0.25</v>
      </c>
    </row>
    <row r="165" spans="1:9" ht="12.75">
      <c r="A165" s="247">
        <v>41594.668067129627</v>
      </c>
      <c r="B165" s="221">
        <v>19.5</v>
      </c>
      <c r="E165" s="221">
        <v>45</v>
      </c>
      <c r="H165" s="250">
        <v>41853</v>
      </c>
      <c r="I165" s="251">
        <v>10.16</v>
      </c>
    </row>
    <row r="166" spans="1:9" ht="12.75">
      <c r="A166" s="247">
        <v>41594.709733796299</v>
      </c>
      <c r="B166" s="221">
        <v>19.5</v>
      </c>
      <c r="E166" s="221">
        <v>45</v>
      </c>
      <c r="H166" s="250">
        <v>41884</v>
      </c>
      <c r="I166" s="251">
        <v>4.83</v>
      </c>
    </row>
    <row r="167" spans="1:9" ht="12.75">
      <c r="A167" s="247">
        <v>41594.751400462963</v>
      </c>
      <c r="B167" s="221">
        <v>19.5</v>
      </c>
      <c r="E167" s="221">
        <v>45</v>
      </c>
      <c r="H167" s="250">
        <v>41914</v>
      </c>
      <c r="I167" s="251">
        <v>7.87</v>
      </c>
    </row>
    <row r="168" spans="1:9" ht="12.75">
      <c r="A168" s="247">
        <v>41594.793067129627</v>
      </c>
      <c r="B168" s="221">
        <v>19.5</v>
      </c>
      <c r="E168" s="221">
        <v>45</v>
      </c>
      <c r="H168" s="250">
        <v>41945</v>
      </c>
      <c r="I168" s="251">
        <v>4.0599999999999996</v>
      </c>
    </row>
    <row r="169" spans="1:9" ht="12.75">
      <c r="A169" s="247">
        <v>41594.834733796299</v>
      </c>
      <c r="B169" s="221">
        <v>19.5</v>
      </c>
      <c r="E169" s="221">
        <v>45</v>
      </c>
      <c r="H169" s="250">
        <v>41975</v>
      </c>
      <c r="I169" s="251">
        <v>0.51</v>
      </c>
    </row>
    <row r="170" spans="1:9" ht="12.75">
      <c r="A170" s="247">
        <v>41594.876400462963</v>
      </c>
      <c r="B170" s="221">
        <v>19.5</v>
      </c>
      <c r="E170" s="221">
        <v>44.4</v>
      </c>
      <c r="H170" s="250" t="s">
        <v>9183</v>
      </c>
      <c r="I170" s="251">
        <v>13.97</v>
      </c>
    </row>
    <row r="171" spans="1:9" ht="12.75">
      <c r="A171" s="247">
        <v>41594.918067129627</v>
      </c>
      <c r="B171" s="221">
        <v>19.5</v>
      </c>
      <c r="E171" s="221">
        <v>43.8</v>
      </c>
      <c r="H171" s="250" t="s">
        <v>9184</v>
      </c>
      <c r="I171" s="251">
        <v>2.0299999999999998</v>
      </c>
    </row>
    <row r="172" spans="1:9" ht="12.75">
      <c r="A172" s="247">
        <v>41594.959733796299</v>
      </c>
      <c r="B172" s="221">
        <v>19.5</v>
      </c>
      <c r="E172" s="221">
        <v>43.8</v>
      </c>
      <c r="H172" s="250" t="s">
        <v>9185</v>
      </c>
      <c r="I172" s="251">
        <v>6.6</v>
      </c>
    </row>
    <row r="173" spans="1:9" ht="12.75">
      <c r="A173" s="247">
        <v>41595.001400462963</v>
      </c>
      <c r="B173" s="221">
        <v>19.5</v>
      </c>
      <c r="E173" s="221">
        <v>44.4</v>
      </c>
      <c r="H173" s="250" t="s">
        <v>9186</v>
      </c>
      <c r="I173" s="251">
        <v>0</v>
      </c>
    </row>
    <row r="174" spans="1:9" ht="12.75">
      <c r="A174" s="247">
        <v>41595.043067129627</v>
      </c>
      <c r="B174" s="221">
        <v>19.5</v>
      </c>
      <c r="E174" s="221">
        <v>44.4</v>
      </c>
      <c r="H174" s="250" t="s">
        <v>9187</v>
      </c>
      <c r="I174" s="251">
        <v>0</v>
      </c>
    </row>
    <row r="175" spans="1:9" ht="12.75">
      <c r="A175" s="247">
        <v>41595.084733796299</v>
      </c>
      <c r="B175" s="221">
        <v>19.5</v>
      </c>
      <c r="E175" s="221">
        <v>44.4</v>
      </c>
      <c r="H175" s="250" t="s">
        <v>9188</v>
      </c>
      <c r="I175" s="251">
        <v>0</v>
      </c>
    </row>
    <row r="176" spans="1:9" ht="12.75">
      <c r="A176" s="247">
        <v>41595.126400462963</v>
      </c>
      <c r="B176" s="221">
        <v>19.5</v>
      </c>
      <c r="E176" s="221">
        <v>44.4</v>
      </c>
      <c r="H176" s="250" t="s">
        <v>9189</v>
      </c>
      <c r="I176" s="251">
        <v>0.51</v>
      </c>
    </row>
    <row r="177" spans="1:9" ht="12.75">
      <c r="A177" s="247">
        <v>41595.168067129627</v>
      </c>
      <c r="B177" s="221">
        <v>19.5</v>
      </c>
      <c r="E177" s="221">
        <v>43.8</v>
      </c>
      <c r="H177" s="250" t="s">
        <v>9190</v>
      </c>
      <c r="I177" s="251">
        <v>2.0299999999999998</v>
      </c>
    </row>
    <row r="178" spans="1:9" ht="12.75">
      <c r="A178" s="247">
        <v>41595.209733796299</v>
      </c>
      <c r="B178" s="221">
        <v>19.5</v>
      </c>
      <c r="E178" s="221">
        <v>44.4</v>
      </c>
      <c r="H178" s="250" t="s">
        <v>9191</v>
      </c>
      <c r="I178" s="251">
        <v>1.27</v>
      </c>
    </row>
    <row r="179" spans="1:9" ht="12.75">
      <c r="A179" s="247">
        <v>41595.251400462963</v>
      </c>
      <c r="B179" s="221">
        <v>19.5</v>
      </c>
      <c r="E179" s="221">
        <v>43.8</v>
      </c>
      <c r="H179" s="250" t="s">
        <v>9192</v>
      </c>
      <c r="I179" s="251">
        <v>1.02</v>
      </c>
    </row>
    <row r="180" spans="1:9" ht="12.75">
      <c r="A180" s="247">
        <v>41595.293067129627</v>
      </c>
      <c r="B180" s="221">
        <v>19.5</v>
      </c>
      <c r="E180" s="221">
        <v>43.8</v>
      </c>
      <c r="H180" s="250" t="s">
        <v>9193</v>
      </c>
      <c r="I180" s="251">
        <v>0</v>
      </c>
    </row>
    <row r="181" spans="1:9" ht="12.75">
      <c r="A181" s="247">
        <v>41595.334733796299</v>
      </c>
      <c r="B181" s="221">
        <v>19.5</v>
      </c>
      <c r="E181" s="221">
        <v>43.8</v>
      </c>
      <c r="H181" s="250" t="s">
        <v>9194</v>
      </c>
      <c r="I181" s="251">
        <v>0</v>
      </c>
    </row>
    <row r="182" spans="1:9" ht="12.75">
      <c r="A182" s="247">
        <v>41595.376400462963</v>
      </c>
      <c r="B182" s="221">
        <v>19.5</v>
      </c>
      <c r="E182" s="221">
        <v>43.8</v>
      </c>
      <c r="H182" s="250" t="s">
        <v>9195</v>
      </c>
      <c r="I182" s="251">
        <v>4.0599999999999996</v>
      </c>
    </row>
    <row r="183" spans="1:9" ht="12.75">
      <c r="A183" s="247">
        <v>41595.418067129627</v>
      </c>
      <c r="B183" s="221">
        <v>19.5</v>
      </c>
      <c r="E183" s="221">
        <v>43.8</v>
      </c>
      <c r="H183" s="250" t="s">
        <v>9196</v>
      </c>
      <c r="I183" s="251">
        <v>0.25</v>
      </c>
    </row>
    <row r="184" spans="1:9" ht="12.75">
      <c r="A184" s="247">
        <v>41595.459733796299</v>
      </c>
      <c r="B184" s="221">
        <v>19.5</v>
      </c>
      <c r="E184" s="221">
        <v>43.8</v>
      </c>
      <c r="H184" s="250" t="s">
        <v>9197</v>
      </c>
      <c r="I184" s="251">
        <v>11.68</v>
      </c>
    </row>
    <row r="185" spans="1:9" ht="12.75">
      <c r="A185" s="247">
        <v>41595.501400462963</v>
      </c>
      <c r="B185" s="221">
        <v>19.5</v>
      </c>
      <c r="E185" s="221">
        <v>43.2</v>
      </c>
      <c r="H185" s="250" t="s">
        <v>9198</v>
      </c>
      <c r="I185" s="251">
        <v>11.68</v>
      </c>
    </row>
    <row r="186" spans="1:9" ht="12.75">
      <c r="A186" s="247">
        <v>41595.543067129627</v>
      </c>
      <c r="B186" s="221">
        <v>19.5</v>
      </c>
      <c r="E186" s="221">
        <v>43.8</v>
      </c>
      <c r="H186" s="250">
        <v>41642</v>
      </c>
      <c r="I186" s="251">
        <v>0</v>
      </c>
    </row>
    <row r="187" spans="1:9" ht="12.75">
      <c r="A187" s="247">
        <v>41595.584733796299</v>
      </c>
      <c r="B187" s="221">
        <v>19.5</v>
      </c>
      <c r="E187" s="221">
        <v>44.4</v>
      </c>
      <c r="H187" s="250">
        <v>41673</v>
      </c>
      <c r="I187" s="251">
        <v>0.25</v>
      </c>
    </row>
    <row r="188" spans="1:9" ht="12.75">
      <c r="A188" s="247">
        <v>41595.626400462963</v>
      </c>
      <c r="B188" s="221">
        <v>19.5</v>
      </c>
      <c r="E188" s="221">
        <v>43.8</v>
      </c>
      <c r="H188" s="250">
        <v>41701</v>
      </c>
      <c r="I188" s="251">
        <v>6.35</v>
      </c>
    </row>
    <row r="189" spans="1:9" ht="12.75">
      <c r="A189" s="247">
        <v>41595.668067129627</v>
      </c>
      <c r="B189" s="221">
        <v>19.5</v>
      </c>
      <c r="E189" s="221">
        <v>44.4</v>
      </c>
      <c r="H189" s="250">
        <v>41732</v>
      </c>
      <c r="I189" s="251">
        <v>0</v>
      </c>
    </row>
    <row r="190" spans="1:9" ht="12.75">
      <c r="A190" s="247">
        <v>41595.709733796299</v>
      </c>
      <c r="B190" s="221">
        <v>19.5</v>
      </c>
      <c r="E190" s="221">
        <v>44.4</v>
      </c>
      <c r="H190" s="250">
        <v>41762</v>
      </c>
      <c r="I190" s="251">
        <v>0</v>
      </c>
    </row>
    <row r="191" spans="1:9" ht="12.75">
      <c r="A191" s="247">
        <v>41595.751400462963</v>
      </c>
      <c r="B191" s="221">
        <v>19.5</v>
      </c>
      <c r="E191" s="221">
        <v>44.4</v>
      </c>
      <c r="H191" s="250">
        <v>41793</v>
      </c>
      <c r="I191" s="251">
        <v>0</v>
      </c>
    </row>
    <row r="192" spans="1:9" ht="12.75">
      <c r="A192" s="247">
        <v>41595.793067129627</v>
      </c>
      <c r="B192" s="221">
        <v>19.5</v>
      </c>
      <c r="E192" s="221">
        <v>44.4</v>
      </c>
      <c r="H192" s="250">
        <v>41823</v>
      </c>
      <c r="I192" s="251">
        <v>0</v>
      </c>
    </row>
    <row r="193" spans="1:9" ht="12.75">
      <c r="A193" s="247">
        <v>41595.834733796299</v>
      </c>
      <c r="B193" s="221">
        <v>19.5</v>
      </c>
      <c r="E193" s="221">
        <v>43.8</v>
      </c>
      <c r="H193" s="250">
        <v>41854</v>
      </c>
      <c r="I193" s="251">
        <v>0</v>
      </c>
    </row>
    <row r="194" spans="1:9" ht="12.75">
      <c r="A194" s="247">
        <v>41595.876400462963</v>
      </c>
      <c r="B194" s="221">
        <v>19.5</v>
      </c>
      <c r="E194" s="221">
        <v>44.4</v>
      </c>
      <c r="H194" s="250">
        <v>41885</v>
      </c>
      <c r="I194" s="251">
        <v>0</v>
      </c>
    </row>
    <row r="195" spans="1:9" ht="12.75">
      <c r="A195" s="247">
        <v>41595.918067129627</v>
      </c>
      <c r="B195" s="221">
        <v>19.5</v>
      </c>
      <c r="E195" s="221">
        <v>44.4</v>
      </c>
      <c r="H195" s="250">
        <v>41915</v>
      </c>
      <c r="I195" s="251">
        <v>0</v>
      </c>
    </row>
    <row r="196" spans="1:9" ht="12.75">
      <c r="A196" s="247">
        <v>41595.959733796299</v>
      </c>
      <c r="B196" s="221">
        <v>19.5</v>
      </c>
      <c r="E196" s="221">
        <v>43.8</v>
      </c>
      <c r="H196" s="250">
        <v>41946</v>
      </c>
      <c r="I196" s="251">
        <v>0</v>
      </c>
    </row>
    <row r="197" spans="1:9" ht="12.75">
      <c r="A197" s="247">
        <v>41596.001400462963</v>
      </c>
      <c r="B197" s="221">
        <v>19.5</v>
      </c>
      <c r="E197" s="221">
        <v>44.4</v>
      </c>
      <c r="H197" s="250">
        <v>41976</v>
      </c>
      <c r="I197" s="251">
        <v>0</v>
      </c>
    </row>
    <row r="198" spans="1:9" ht="12.75">
      <c r="A198" s="247">
        <v>41596.043067129627</v>
      </c>
      <c r="B198" s="221">
        <v>19.5</v>
      </c>
      <c r="E198" s="221">
        <v>43.8</v>
      </c>
      <c r="H198" s="250" t="s">
        <v>9199</v>
      </c>
      <c r="I198" s="251">
        <v>0</v>
      </c>
    </row>
    <row r="199" spans="1:9" ht="12.75">
      <c r="A199" s="247">
        <v>41596.084733796299</v>
      </c>
      <c r="B199" s="221">
        <v>19.5</v>
      </c>
      <c r="E199" s="221">
        <v>44.4</v>
      </c>
      <c r="H199" s="250" t="s">
        <v>9200</v>
      </c>
      <c r="I199" s="251">
        <v>0</v>
      </c>
    </row>
    <row r="200" spans="1:9" ht="12.75">
      <c r="A200" s="247">
        <v>41596.126400462963</v>
      </c>
      <c r="B200" s="221">
        <v>19.5</v>
      </c>
      <c r="E200" s="221">
        <v>43.8</v>
      </c>
      <c r="H200" s="250" t="s">
        <v>9201</v>
      </c>
      <c r="I200" s="251">
        <v>0</v>
      </c>
    </row>
    <row r="201" spans="1:9" ht="12.75">
      <c r="A201" s="247">
        <v>41596.168067129627</v>
      </c>
      <c r="B201" s="221">
        <v>19.5</v>
      </c>
      <c r="E201" s="221">
        <v>43.8</v>
      </c>
      <c r="H201" s="250" t="s">
        <v>9202</v>
      </c>
      <c r="I201" s="251">
        <v>0</v>
      </c>
    </row>
    <row r="202" spans="1:9" ht="12.75">
      <c r="A202" s="247">
        <v>41596.209733796299</v>
      </c>
      <c r="B202" s="221">
        <v>19.5</v>
      </c>
      <c r="E202" s="221">
        <v>44.4</v>
      </c>
      <c r="H202" s="250" t="s">
        <v>9203</v>
      </c>
      <c r="I202" s="251">
        <v>0.25</v>
      </c>
    </row>
    <row r="203" spans="1:9" ht="12.75">
      <c r="A203" s="247">
        <v>41596.251400462963</v>
      </c>
      <c r="B203" s="221">
        <v>19.5</v>
      </c>
      <c r="E203" s="221">
        <v>44.4</v>
      </c>
      <c r="H203" s="250" t="s">
        <v>9204</v>
      </c>
      <c r="I203" s="251">
        <v>0</v>
      </c>
    </row>
    <row r="204" spans="1:9" ht="12.75">
      <c r="A204" s="247">
        <v>41596.293067129627</v>
      </c>
      <c r="B204" s="221">
        <v>19.5</v>
      </c>
      <c r="E204" s="221">
        <v>43.8</v>
      </c>
      <c r="H204" s="250" t="s">
        <v>9205</v>
      </c>
      <c r="I204" s="251">
        <v>0</v>
      </c>
    </row>
    <row r="205" spans="1:9" ht="12.75">
      <c r="A205" s="247">
        <v>41596.334733796299</v>
      </c>
      <c r="B205" s="221">
        <v>20</v>
      </c>
      <c r="E205" s="221">
        <v>43.8</v>
      </c>
      <c r="H205" s="250" t="s">
        <v>9206</v>
      </c>
      <c r="I205" s="251">
        <v>0</v>
      </c>
    </row>
    <row r="206" spans="1:9" ht="12.75">
      <c r="A206" s="247">
        <v>41596.376400462963</v>
      </c>
      <c r="B206" s="221">
        <v>20</v>
      </c>
      <c r="E206" s="221">
        <v>43.8</v>
      </c>
      <c r="H206" s="250" t="s">
        <v>9207</v>
      </c>
      <c r="I206" s="251">
        <v>1.52</v>
      </c>
    </row>
    <row r="207" spans="1:9" ht="12.75">
      <c r="A207" s="247">
        <v>41596.418067129627</v>
      </c>
      <c r="B207" s="221">
        <v>21</v>
      </c>
      <c r="E207" s="221">
        <v>42.6</v>
      </c>
      <c r="H207" s="250" t="s">
        <v>9208</v>
      </c>
      <c r="I207" s="251">
        <v>2.54</v>
      </c>
    </row>
    <row r="208" spans="1:9" ht="12.75">
      <c r="A208" s="247">
        <v>41596.459733796299</v>
      </c>
      <c r="B208" s="221">
        <v>15.5</v>
      </c>
      <c r="E208" s="221">
        <v>47.4</v>
      </c>
      <c r="H208" s="250" t="s">
        <v>9209</v>
      </c>
      <c r="I208" s="251">
        <v>4.32</v>
      </c>
    </row>
    <row r="209" spans="1:9" ht="12.75">
      <c r="A209" s="247">
        <v>41596.501400462963</v>
      </c>
      <c r="B209" s="221">
        <v>14</v>
      </c>
      <c r="E209" s="221">
        <v>51</v>
      </c>
      <c r="H209" s="250" t="s">
        <v>9210</v>
      </c>
      <c r="I209" s="251">
        <v>1.52</v>
      </c>
    </row>
    <row r="210" spans="1:9" ht="12.75">
      <c r="A210" s="247">
        <v>41596.543067129627</v>
      </c>
      <c r="B210" s="221">
        <v>16</v>
      </c>
      <c r="E210" s="221">
        <v>57</v>
      </c>
      <c r="H210" s="250" t="s">
        <v>9211</v>
      </c>
      <c r="I210" s="251">
        <v>4.83</v>
      </c>
    </row>
    <row r="211" spans="1:9" ht="12.75">
      <c r="A211" s="247">
        <v>41596.584733796299</v>
      </c>
      <c r="B211" s="221">
        <v>19</v>
      </c>
      <c r="E211" s="221">
        <v>49.2</v>
      </c>
      <c r="H211" s="250" t="s">
        <v>9212</v>
      </c>
      <c r="I211" s="251">
        <v>0</v>
      </c>
    </row>
    <row r="212" spans="1:9" ht="12.75">
      <c r="A212" s="247">
        <v>41596.626400462963</v>
      </c>
      <c r="B212" s="221">
        <v>20</v>
      </c>
      <c r="E212" s="221">
        <v>46.8</v>
      </c>
      <c r="H212" s="250" t="s">
        <v>9213</v>
      </c>
      <c r="I212" s="251">
        <v>0</v>
      </c>
    </row>
    <row r="213" spans="1:9" ht="12.75">
      <c r="A213" s="247">
        <v>41596.668067129627</v>
      </c>
      <c r="B213" s="221">
        <v>20.5</v>
      </c>
      <c r="E213" s="221">
        <v>45.6</v>
      </c>
      <c r="H213" s="250" t="s">
        <v>9214</v>
      </c>
      <c r="I213" s="251">
        <v>0</v>
      </c>
    </row>
    <row r="214" spans="1:9" ht="12.75">
      <c r="A214" s="247">
        <v>41596.709733796299</v>
      </c>
      <c r="B214" s="221">
        <v>21</v>
      </c>
      <c r="E214" s="221">
        <v>45</v>
      </c>
      <c r="H214" s="250" t="s">
        <v>9215</v>
      </c>
      <c r="I214" s="251">
        <v>0</v>
      </c>
    </row>
    <row r="215" spans="1:9" ht="12.75">
      <c r="A215" s="247">
        <v>41596.751400462963</v>
      </c>
      <c r="B215" s="221">
        <v>21.5</v>
      </c>
      <c r="E215" s="221">
        <v>43.2</v>
      </c>
      <c r="H215" s="250" t="s">
        <v>9216</v>
      </c>
      <c r="I215" s="251">
        <v>0</v>
      </c>
    </row>
    <row r="216" spans="1:9" ht="12.75">
      <c r="A216" s="247">
        <v>41596.793067129627</v>
      </c>
      <c r="B216" s="221">
        <v>21.5</v>
      </c>
      <c r="E216" s="221">
        <v>43.2</v>
      </c>
      <c r="H216" s="250" t="s">
        <v>9217</v>
      </c>
      <c r="I216" s="251">
        <v>0</v>
      </c>
    </row>
    <row r="217" spans="1:9" ht="12.75">
      <c r="A217" s="247">
        <v>41596.834733796299</v>
      </c>
      <c r="B217" s="221">
        <v>21.5</v>
      </c>
      <c r="E217" s="221">
        <v>45</v>
      </c>
      <c r="H217" s="250">
        <v>41643</v>
      </c>
      <c r="I217" s="251">
        <v>0</v>
      </c>
    </row>
    <row r="218" spans="1:9" ht="12.75">
      <c r="A218" s="247">
        <v>41596.876400462963</v>
      </c>
      <c r="B218" s="221">
        <v>21.5</v>
      </c>
      <c r="E218" s="221">
        <v>43.8</v>
      </c>
      <c r="H218" s="250">
        <v>41674</v>
      </c>
      <c r="I218" s="251">
        <v>0</v>
      </c>
    </row>
    <row r="219" spans="1:9" ht="12.75">
      <c r="A219" s="247">
        <v>41596.918067129627</v>
      </c>
      <c r="B219" s="221">
        <v>21</v>
      </c>
      <c r="E219" s="221">
        <v>42.6</v>
      </c>
      <c r="H219" s="250">
        <v>41702</v>
      </c>
      <c r="I219" s="251">
        <v>1.78</v>
      </c>
    </row>
    <row r="220" spans="1:9" ht="12.75">
      <c r="A220" s="247">
        <v>41596.959733796299</v>
      </c>
      <c r="B220" s="221">
        <v>21</v>
      </c>
      <c r="E220" s="221">
        <v>42.6</v>
      </c>
      <c r="H220" s="250">
        <v>41733</v>
      </c>
      <c r="I220" s="251">
        <v>2.29</v>
      </c>
    </row>
    <row r="221" spans="1:9" ht="12.75">
      <c r="A221" s="247">
        <v>41597.001400462963</v>
      </c>
      <c r="B221" s="221">
        <v>21</v>
      </c>
      <c r="E221" s="221">
        <v>42.6</v>
      </c>
      <c r="H221" s="250">
        <v>41763</v>
      </c>
      <c r="I221" s="251">
        <v>0.25</v>
      </c>
    </row>
    <row r="222" spans="1:9" ht="12.75">
      <c r="A222" s="247">
        <v>41597.043067129627</v>
      </c>
      <c r="B222" s="221">
        <v>21</v>
      </c>
      <c r="E222" s="221">
        <v>42</v>
      </c>
      <c r="H222" s="250">
        <v>41794</v>
      </c>
      <c r="I222" s="251">
        <v>0</v>
      </c>
    </row>
    <row r="223" spans="1:9" ht="12.75">
      <c r="A223" s="247">
        <v>41597.084733796299</v>
      </c>
      <c r="B223" s="221">
        <v>20.5</v>
      </c>
      <c r="E223" s="221">
        <v>42</v>
      </c>
      <c r="H223" s="250">
        <v>41824</v>
      </c>
      <c r="I223" s="251">
        <v>0</v>
      </c>
    </row>
    <row r="224" spans="1:9" ht="12.75">
      <c r="A224" s="247">
        <v>41597.126400462963</v>
      </c>
      <c r="B224" s="221">
        <v>20.5</v>
      </c>
      <c r="E224" s="221">
        <v>40.799999999999997</v>
      </c>
      <c r="H224" s="250">
        <v>41855</v>
      </c>
      <c r="I224" s="251">
        <v>0</v>
      </c>
    </row>
    <row r="225" spans="1:9" ht="12.75">
      <c r="A225" s="247">
        <v>41597.168067129627</v>
      </c>
      <c r="B225" s="221">
        <v>20.5</v>
      </c>
      <c r="E225" s="221">
        <v>40.799999999999997</v>
      </c>
      <c r="H225" s="250">
        <v>41886</v>
      </c>
      <c r="I225" s="251">
        <v>0</v>
      </c>
    </row>
    <row r="226" spans="1:9" ht="12.75">
      <c r="A226" s="247">
        <v>41597.209733796299</v>
      </c>
      <c r="B226" s="221">
        <v>20.5</v>
      </c>
      <c r="E226" s="221">
        <v>40.799999999999997</v>
      </c>
      <c r="H226" s="250">
        <v>41916</v>
      </c>
      <c r="I226" s="251">
        <v>0</v>
      </c>
    </row>
    <row r="227" spans="1:9" ht="12.75">
      <c r="A227" s="247">
        <v>41597.251400462963</v>
      </c>
      <c r="B227" s="221">
        <v>20.5</v>
      </c>
      <c r="E227" s="221">
        <v>40.200000000000003</v>
      </c>
      <c r="H227" s="250">
        <v>41947</v>
      </c>
      <c r="I227" s="251">
        <v>1.78</v>
      </c>
    </row>
    <row r="228" spans="1:9" ht="12.75">
      <c r="A228" s="247">
        <v>41597.293067129627</v>
      </c>
      <c r="B228" s="221">
        <v>20.5</v>
      </c>
      <c r="E228" s="221">
        <v>39.6</v>
      </c>
      <c r="H228" s="250">
        <v>41977</v>
      </c>
      <c r="I228" s="251">
        <v>0</v>
      </c>
    </row>
    <row r="229" spans="1:9" ht="12.75">
      <c r="A229" s="247">
        <v>41597.334733796299</v>
      </c>
      <c r="B229" s="221">
        <v>20.5</v>
      </c>
      <c r="E229" s="221">
        <v>40.200000000000003</v>
      </c>
      <c r="H229" s="250" t="s">
        <v>9218</v>
      </c>
      <c r="I229" s="251">
        <v>0</v>
      </c>
    </row>
    <row r="230" spans="1:9" ht="12.75">
      <c r="A230" s="247">
        <v>41597.376400462963</v>
      </c>
      <c r="B230" s="221">
        <v>20.5</v>
      </c>
      <c r="E230" s="221">
        <v>40.200000000000003</v>
      </c>
      <c r="H230" s="250" t="s">
        <v>9219</v>
      </c>
      <c r="I230" s="251">
        <v>0</v>
      </c>
    </row>
    <row r="231" spans="1:9" ht="12.75">
      <c r="A231" s="247">
        <v>41597.418067129627</v>
      </c>
      <c r="B231" s="221">
        <v>22</v>
      </c>
      <c r="E231" s="221">
        <v>39.6</v>
      </c>
      <c r="H231" s="250" t="s">
        <v>9220</v>
      </c>
      <c r="I231" s="251">
        <v>0</v>
      </c>
    </row>
    <row r="232" spans="1:9" ht="12.75">
      <c r="A232" s="247">
        <v>41597.459733796299</v>
      </c>
      <c r="B232" s="221">
        <v>23.5</v>
      </c>
      <c r="E232" s="221">
        <v>35.4</v>
      </c>
      <c r="H232" s="250" t="s">
        <v>9221</v>
      </c>
      <c r="I232" s="251">
        <v>0</v>
      </c>
    </row>
    <row r="233" spans="1:9" ht="12.75">
      <c r="A233" s="247">
        <v>41597.501400462963</v>
      </c>
      <c r="B233" s="221">
        <v>24</v>
      </c>
      <c r="E233" s="221">
        <v>35.4</v>
      </c>
      <c r="H233" s="250" t="s">
        <v>9222</v>
      </c>
      <c r="I233" s="251">
        <v>0</v>
      </c>
    </row>
    <row r="234" spans="1:9" ht="12.75">
      <c r="A234" s="247">
        <v>41597.543067129627</v>
      </c>
      <c r="B234" s="221">
        <v>24</v>
      </c>
      <c r="E234" s="221">
        <v>35.4</v>
      </c>
      <c r="H234" s="250" t="s">
        <v>9223</v>
      </c>
      <c r="I234" s="251">
        <v>0</v>
      </c>
    </row>
    <row r="235" spans="1:9" ht="12.75">
      <c r="A235" s="247">
        <v>41597.584733796299</v>
      </c>
      <c r="B235" s="221">
        <v>24</v>
      </c>
      <c r="E235" s="221">
        <v>36</v>
      </c>
      <c r="H235" s="250" t="s">
        <v>9224</v>
      </c>
      <c r="I235" s="251">
        <v>0</v>
      </c>
    </row>
    <row r="236" spans="1:9" ht="12.75">
      <c r="A236" s="247">
        <v>41597.626400462963</v>
      </c>
      <c r="B236" s="221">
        <v>24</v>
      </c>
      <c r="E236" s="221">
        <v>34.799999999999997</v>
      </c>
      <c r="H236" s="250" t="s">
        <v>9225</v>
      </c>
      <c r="I236" s="251">
        <v>0</v>
      </c>
    </row>
    <row r="237" spans="1:9" ht="12.75">
      <c r="A237" s="247">
        <v>41597.668067129627</v>
      </c>
      <c r="B237" s="221">
        <v>24</v>
      </c>
      <c r="E237" s="221">
        <v>36.6</v>
      </c>
      <c r="H237" s="250" t="s">
        <v>9226</v>
      </c>
      <c r="I237" s="251">
        <v>1.02</v>
      </c>
    </row>
    <row r="238" spans="1:9" ht="12.75">
      <c r="A238" s="247">
        <v>41597.709733796299</v>
      </c>
      <c r="B238" s="221">
        <v>24</v>
      </c>
      <c r="E238" s="221">
        <v>36</v>
      </c>
      <c r="H238" s="250" t="s">
        <v>9227</v>
      </c>
      <c r="I238" s="251">
        <v>3.56</v>
      </c>
    </row>
    <row r="239" spans="1:9" ht="12.75">
      <c r="A239" s="247">
        <v>41597.751400462963</v>
      </c>
      <c r="B239" s="221">
        <v>24</v>
      </c>
      <c r="E239" s="221">
        <v>36</v>
      </c>
      <c r="H239" s="250" t="s">
        <v>9228</v>
      </c>
      <c r="I239" s="251">
        <v>3.3</v>
      </c>
    </row>
    <row r="240" spans="1:9" ht="12.75">
      <c r="A240" s="247">
        <v>41597.793067129627</v>
      </c>
      <c r="B240" s="221">
        <v>24</v>
      </c>
      <c r="E240" s="221">
        <v>35.4</v>
      </c>
      <c r="H240" s="250" t="s">
        <v>9229</v>
      </c>
      <c r="I240" s="251">
        <v>1.78</v>
      </c>
    </row>
    <row r="241" spans="1:9" ht="12.75">
      <c r="A241" s="247">
        <v>41597.834733796299</v>
      </c>
      <c r="B241" s="221">
        <v>24</v>
      </c>
      <c r="E241" s="221">
        <v>36</v>
      </c>
      <c r="H241" s="250" t="s">
        <v>9230</v>
      </c>
      <c r="I241" s="251">
        <v>4.32</v>
      </c>
    </row>
    <row r="242" spans="1:9" ht="12.75">
      <c r="A242" s="247">
        <v>41597.876400462963</v>
      </c>
      <c r="B242" s="221">
        <v>24</v>
      </c>
      <c r="E242" s="221">
        <v>33.6</v>
      </c>
      <c r="H242" s="250" t="s">
        <v>9231</v>
      </c>
      <c r="I242" s="251">
        <v>1.27</v>
      </c>
    </row>
    <row r="243" spans="1:9" ht="12.75">
      <c r="A243" s="247">
        <v>41597.918067129627</v>
      </c>
      <c r="B243" s="221">
        <v>24</v>
      </c>
      <c r="E243" s="221">
        <v>33.6</v>
      </c>
      <c r="H243" s="250" t="s">
        <v>9232</v>
      </c>
      <c r="I243" s="251">
        <v>4.0599999999999996</v>
      </c>
    </row>
    <row r="244" spans="1:9" ht="12.75">
      <c r="A244" s="247">
        <v>41597.959733796299</v>
      </c>
      <c r="B244" s="221">
        <v>24</v>
      </c>
      <c r="E244" s="221">
        <v>33</v>
      </c>
      <c r="H244" s="250" t="s">
        <v>9233</v>
      </c>
      <c r="I244" s="251">
        <v>9.91</v>
      </c>
    </row>
    <row r="245" spans="1:9" ht="12.75">
      <c r="A245" s="247">
        <v>41598.001400462963</v>
      </c>
      <c r="B245" s="221">
        <v>24.5</v>
      </c>
      <c r="E245" s="221">
        <v>33</v>
      </c>
      <c r="H245" s="250" t="s">
        <v>9234</v>
      </c>
      <c r="I245" s="251">
        <v>17.27</v>
      </c>
    </row>
    <row r="246" spans="1:9" ht="12.75">
      <c r="A246" s="247">
        <v>41598.043067129627</v>
      </c>
      <c r="B246" s="221">
        <v>24.5</v>
      </c>
      <c r="E246" s="221">
        <v>31.8</v>
      </c>
      <c r="H246" s="250" t="s">
        <v>9235</v>
      </c>
      <c r="I246" s="251">
        <v>0.25</v>
      </c>
    </row>
    <row r="247" spans="1:9" ht="12.75">
      <c r="A247" s="247">
        <v>41598.084733796299</v>
      </c>
      <c r="B247" s="221">
        <v>24.5</v>
      </c>
      <c r="E247" s="221">
        <v>31.8</v>
      </c>
      <c r="H247" s="250">
        <v>41644</v>
      </c>
      <c r="I247" s="251">
        <v>5.33</v>
      </c>
    </row>
    <row r="248" spans="1:9" ht="12.75">
      <c r="A248" s="247">
        <v>41598.126400462963</v>
      </c>
      <c r="B248" s="221">
        <v>24.5</v>
      </c>
      <c r="E248" s="221">
        <v>31.2</v>
      </c>
      <c r="H248" s="250">
        <v>41675</v>
      </c>
      <c r="I248" s="251">
        <v>0.25</v>
      </c>
    </row>
    <row r="249" spans="1:9" ht="12.75">
      <c r="A249" s="247">
        <v>41598.168067129627</v>
      </c>
      <c r="B249" s="221">
        <v>25</v>
      </c>
      <c r="E249" s="221">
        <v>31.2</v>
      </c>
      <c r="H249" s="250">
        <v>41703</v>
      </c>
      <c r="I249" s="251">
        <v>0</v>
      </c>
    </row>
    <row r="250" spans="1:9" ht="12.75">
      <c r="A250" s="247">
        <v>41598.209733796299</v>
      </c>
      <c r="B250" s="221">
        <v>25</v>
      </c>
      <c r="E250" s="221">
        <v>31.2</v>
      </c>
      <c r="H250" s="250">
        <v>41734</v>
      </c>
      <c r="I250" s="251">
        <v>0</v>
      </c>
    </row>
    <row r="251" spans="1:9" ht="12.75">
      <c r="A251" s="247">
        <v>41598.251400462963</v>
      </c>
      <c r="B251" s="221">
        <v>24.5</v>
      </c>
      <c r="E251" s="221">
        <v>31.2</v>
      </c>
      <c r="H251" s="250">
        <v>41764</v>
      </c>
      <c r="I251" s="251">
        <v>0</v>
      </c>
    </row>
    <row r="252" spans="1:9" ht="12.75">
      <c r="A252" s="247">
        <v>41598.293067129627</v>
      </c>
      <c r="B252" s="221">
        <v>25</v>
      </c>
      <c r="E252" s="221">
        <v>29.4</v>
      </c>
      <c r="H252" s="250">
        <v>41795</v>
      </c>
      <c r="I252" s="251">
        <v>0</v>
      </c>
    </row>
    <row r="253" spans="1:9" ht="12.75">
      <c r="A253" s="247">
        <v>41598.334733796299</v>
      </c>
      <c r="B253" s="221">
        <v>25</v>
      </c>
      <c r="E253" s="221">
        <v>30</v>
      </c>
      <c r="H253" s="250">
        <v>41825</v>
      </c>
      <c r="I253" s="251">
        <v>0</v>
      </c>
    </row>
    <row r="254" spans="1:9" ht="12.75">
      <c r="A254" s="247">
        <v>41598.376400462963</v>
      </c>
      <c r="B254" s="221">
        <v>25</v>
      </c>
      <c r="E254" s="221">
        <v>28.2</v>
      </c>
      <c r="H254" s="250">
        <v>41856</v>
      </c>
      <c r="I254" s="251">
        <v>0</v>
      </c>
    </row>
    <row r="255" spans="1:9" ht="12.75">
      <c r="A255" s="247">
        <v>41598.418067129627</v>
      </c>
      <c r="B255" s="221">
        <v>14</v>
      </c>
      <c r="E255" s="221">
        <v>40.799999999999997</v>
      </c>
      <c r="H255" s="250">
        <v>41887</v>
      </c>
      <c r="I255" s="251">
        <v>0.76</v>
      </c>
    </row>
    <row r="256" spans="1:9" ht="12.75">
      <c r="A256" s="247">
        <v>41598.459733796299</v>
      </c>
      <c r="B256" s="221">
        <v>15</v>
      </c>
      <c r="E256" s="221">
        <v>39</v>
      </c>
      <c r="H256" s="250">
        <v>41917</v>
      </c>
      <c r="I256" s="251">
        <v>1.02</v>
      </c>
    </row>
    <row r="257" spans="1:9" ht="12.75">
      <c r="A257" s="247">
        <v>41598.501400462963</v>
      </c>
      <c r="B257" s="221">
        <v>13</v>
      </c>
      <c r="E257" s="221">
        <v>46.2</v>
      </c>
      <c r="H257" s="250">
        <v>41948</v>
      </c>
      <c r="I257" s="251">
        <v>2.29</v>
      </c>
    </row>
    <row r="258" spans="1:9" ht="12.75">
      <c r="A258" s="247">
        <v>41598.543067129627</v>
      </c>
      <c r="B258" s="221">
        <v>9.5</v>
      </c>
      <c r="E258" s="221">
        <v>59.4</v>
      </c>
      <c r="H258" s="250">
        <v>41978</v>
      </c>
      <c r="I258" s="251">
        <v>3.3</v>
      </c>
    </row>
    <row r="259" spans="1:9" ht="12.75">
      <c r="A259" s="247">
        <v>41598.584733796299</v>
      </c>
      <c r="B259" s="221">
        <v>19</v>
      </c>
      <c r="E259" s="221">
        <v>38.4</v>
      </c>
      <c r="H259" s="250" t="s">
        <v>9236</v>
      </c>
      <c r="I259" s="251">
        <v>1.78</v>
      </c>
    </row>
    <row r="260" spans="1:9" ht="12.75">
      <c r="A260" s="247">
        <v>41598.626400462963</v>
      </c>
      <c r="B260" s="221">
        <v>22.5</v>
      </c>
      <c r="E260" s="221">
        <v>29.4</v>
      </c>
      <c r="H260" s="250" t="s">
        <v>9237</v>
      </c>
      <c r="I260" s="251">
        <v>0.25</v>
      </c>
    </row>
    <row r="261" spans="1:9" ht="12.75">
      <c r="A261" s="247">
        <v>41598.668067129627</v>
      </c>
      <c r="B261" s="221">
        <v>6</v>
      </c>
      <c r="E261" s="221">
        <v>67.8</v>
      </c>
      <c r="H261" s="250" t="s">
        <v>9238</v>
      </c>
      <c r="I261" s="251">
        <v>0.25</v>
      </c>
    </row>
    <row r="262" spans="1:9" ht="12.75">
      <c r="A262" s="247">
        <v>41598.709733796299</v>
      </c>
      <c r="B262" s="221">
        <v>4</v>
      </c>
      <c r="E262" s="221">
        <v>78.599999999999994</v>
      </c>
      <c r="H262" s="250" t="s">
        <v>9239</v>
      </c>
      <c r="I262" s="251">
        <v>0</v>
      </c>
    </row>
    <row r="263" spans="1:9" ht="12.75">
      <c r="A263" s="247">
        <v>41598.751400462963</v>
      </c>
      <c r="B263" s="221">
        <v>3.5</v>
      </c>
      <c r="E263" s="221">
        <v>82.2</v>
      </c>
      <c r="H263" s="250" t="s">
        <v>9240</v>
      </c>
      <c r="I263" s="251">
        <v>0</v>
      </c>
    </row>
    <row r="264" spans="1:9" ht="12.75">
      <c r="A264" s="247">
        <v>41598.793067129627</v>
      </c>
      <c r="B264" s="221">
        <v>3.5</v>
      </c>
      <c r="E264" s="221">
        <v>85.2</v>
      </c>
      <c r="H264" s="250" t="s">
        <v>9241</v>
      </c>
      <c r="I264" s="251">
        <v>0</v>
      </c>
    </row>
    <row r="265" spans="1:9" ht="12.75">
      <c r="A265" s="247">
        <v>41598.834733796299</v>
      </c>
      <c r="B265" s="221">
        <v>3</v>
      </c>
      <c r="E265" s="221">
        <v>94.2</v>
      </c>
      <c r="H265" s="250" t="s">
        <v>9242</v>
      </c>
      <c r="I265" s="251">
        <v>0</v>
      </c>
    </row>
    <row r="266" spans="1:9" ht="12.75">
      <c r="A266" s="247">
        <v>41598.876400462963</v>
      </c>
      <c r="B266" s="221">
        <v>2.5</v>
      </c>
      <c r="E266" s="221">
        <v>99</v>
      </c>
      <c r="H266" s="250" t="s">
        <v>9243</v>
      </c>
      <c r="I266" s="251">
        <v>4.57</v>
      </c>
    </row>
    <row r="267" spans="1:9" ht="12.75">
      <c r="A267" s="247">
        <v>41598.918067129627</v>
      </c>
      <c r="B267" s="221">
        <v>2.5</v>
      </c>
      <c r="E267" s="221">
        <v>100.2</v>
      </c>
      <c r="H267" s="250" t="s">
        <v>9244</v>
      </c>
      <c r="I267" s="251">
        <v>11.68</v>
      </c>
    </row>
    <row r="268" spans="1:9" ht="12.75">
      <c r="A268" s="247">
        <v>41598.959733796299</v>
      </c>
      <c r="B268" s="221">
        <v>2.5</v>
      </c>
      <c r="E268" s="221">
        <v>102</v>
      </c>
      <c r="H268" s="250" t="s">
        <v>9245</v>
      </c>
      <c r="I268" s="251">
        <v>5.08</v>
      </c>
    </row>
    <row r="269" spans="1:9" ht="12.75">
      <c r="A269" s="247">
        <v>41599.001400462963</v>
      </c>
      <c r="B269" s="221">
        <v>3.5</v>
      </c>
      <c r="E269" s="221">
        <v>102</v>
      </c>
      <c r="H269" s="250" t="s">
        <v>9246</v>
      </c>
      <c r="I269" s="251">
        <v>1.02</v>
      </c>
    </row>
    <row r="270" spans="1:9" ht="12.75">
      <c r="A270" s="247">
        <v>41599.043067129627</v>
      </c>
      <c r="B270" s="221">
        <v>3.5</v>
      </c>
      <c r="E270" s="221">
        <v>103.2</v>
      </c>
      <c r="H270" s="250" t="s">
        <v>9247</v>
      </c>
      <c r="I270" s="251">
        <v>0.51</v>
      </c>
    </row>
    <row r="271" spans="1:9" ht="12.75">
      <c r="A271" s="247">
        <v>41599.084733796299</v>
      </c>
      <c r="B271" s="221">
        <v>2.5</v>
      </c>
      <c r="E271" s="221">
        <v>102.6</v>
      </c>
      <c r="H271" s="250" t="s">
        <v>9248</v>
      </c>
      <c r="I271" s="251">
        <v>5.08</v>
      </c>
    </row>
    <row r="272" spans="1:9" ht="12.75">
      <c r="A272" s="247">
        <v>41599.126400462963</v>
      </c>
      <c r="B272" s="221">
        <v>2.5</v>
      </c>
      <c r="E272" s="221">
        <v>103.8</v>
      </c>
      <c r="H272" s="250" t="s">
        <v>9249</v>
      </c>
      <c r="I272" s="251">
        <v>0.25</v>
      </c>
    </row>
    <row r="273" spans="1:9" ht="12.75">
      <c r="A273" s="247">
        <v>41599.168067129627</v>
      </c>
      <c r="B273" s="221">
        <v>3.5</v>
      </c>
      <c r="E273" s="221">
        <v>103.2</v>
      </c>
      <c r="H273" s="250" t="s">
        <v>9250</v>
      </c>
      <c r="I273" s="251">
        <v>0</v>
      </c>
    </row>
    <row r="274" spans="1:9" ht="12.75">
      <c r="A274" s="247">
        <v>41599.209733796299</v>
      </c>
      <c r="B274" s="221">
        <v>4</v>
      </c>
      <c r="E274" s="221">
        <v>102</v>
      </c>
      <c r="H274" s="250" t="s">
        <v>9251</v>
      </c>
      <c r="I274" s="251">
        <v>0</v>
      </c>
    </row>
    <row r="275" spans="1:9" ht="12.75">
      <c r="A275" s="247">
        <v>41599.251400462963</v>
      </c>
      <c r="B275" s="221">
        <v>3.5</v>
      </c>
      <c r="E275" s="221">
        <v>100.2</v>
      </c>
      <c r="H275" s="250" t="s">
        <v>9252</v>
      </c>
      <c r="I275" s="251">
        <v>0</v>
      </c>
    </row>
    <row r="276" spans="1:9" ht="12.75">
      <c r="A276" s="247">
        <v>41599.293067129627</v>
      </c>
      <c r="B276" s="221">
        <v>3.5</v>
      </c>
      <c r="E276" s="221">
        <v>102.6</v>
      </c>
      <c r="H276" s="250" t="s">
        <v>9253</v>
      </c>
      <c r="I276" s="251">
        <v>2.79</v>
      </c>
    </row>
    <row r="277" spans="1:9" ht="12.75">
      <c r="A277" s="247">
        <v>41599.334733796299</v>
      </c>
      <c r="B277" s="221">
        <v>3.5</v>
      </c>
      <c r="E277" s="221">
        <v>101.4</v>
      </c>
      <c r="H277" s="250" t="s">
        <v>9254</v>
      </c>
      <c r="I277" s="251">
        <v>0</v>
      </c>
    </row>
    <row r="278" spans="1:9" ht="12.75">
      <c r="A278" s="247">
        <v>41599.376400462963</v>
      </c>
      <c r="B278" s="221">
        <v>3</v>
      </c>
      <c r="E278" s="221">
        <v>101.4</v>
      </c>
      <c r="H278" s="250">
        <v>41645</v>
      </c>
      <c r="I278" s="251">
        <v>0</v>
      </c>
    </row>
    <row r="279" spans="1:9" ht="12.75">
      <c r="A279" s="247">
        <v>41599.418067129627</v>
      </c>
      <c r="B279" s="221">
        <v>3</v>
      </c>
      <c r="E279" s="221">
        <v>102</v>
      </c>
      <c r="H279" s="250">
        <v>41676</v>
      </c>
      <c r="I279" s="251">
        <v>0</v>
      </c>
    </row>
    <row r="280" spans="1:9" ht="12.75">
      <c r="A280" s="247">
        <v>41599.459733796299</v>
      </c>
      <c r="B280" s="221">
        <v>1.5</v>
      </c>
      <c r="E280" s="221">
        <v>103.2</v>
      </c>
      <c r="H280" s="250">
        <v>41704</v>
      </c>
      <c r="I280" s="251">
        <v>0</v>
      </c>
    </row>
    <row r="281" spans="1:9" ht="12.75">
      <c r="A281" s="247">
        <v>41599.501400462963</v>
      </c>
      <c r="B281" s="221">
        <v>2.5</v>
      </c>
      <c r="E281" s="221">
        <v>103.2</v>
      </c>
      <c r="H281" s="250">
        <v>41735</v>
      </c>
      <c r="I281" s="251">
        <v>4.57</v>
      </c>
    </row>
    <row r="282" spans="1:9" ht="12.75">
      <c r="A282" s="247">
        <v>41599.543067129627</v>
      </c>
      <c r="B282" s="221">
        <v>3.5</v>
      </c>
      <c r="E282" s="221">
        <v>103.8</v>
      </c>
      <c r="H282" s="250">
        <v>41765</v>
      </c>
      <c r="I282" s="251">
        <v>0</v>
      </c>
    </row>
    <row r="283" spans="1:9" ht="12.75">
      <c r="A283" s="247">
        <v>41599.584733796299</v>
      </c>
      <c r="B283" s="221">
        <v>4.5</v>
      </c>
      <c r="E283" s="221">
        <v>97.8</v>
      </c>
      <c r="H283" s="250">
        <v>41796</v>
      </c>
      <c r="I283" s="251">
        <v>0</v>
      </c>
    </row>
    <row r="284" spans="1:9" ht="12.75">
      <c r="A284" s="247">
        <v>41599.626400462963</v>
      </c>
      <c r="B284" s="221">
        <v>4</v>
      </c>
      <c r="E284" s="221">
        <v>98.4</v>
      </c>
      <c r="H284" s="250">
        <v>41826</v>
      </c>
      <c r="I284" s="251">
        <v>0</v>
      </c>
    </row>
    <row r="285" spans="1:9" ht="12.75">
      <c r="A285" s="247">
        <v>41599.668067129627</v>
      </c>
      <c r="B285" s="221">
        <v>4</v>
      </c>
      <c r="E285" s="221">
        <v>97.8</v>
      </c>
      <c r="H285" s="250">
        <v>41857</v>
      </c>
      <c r="I285" s="251">
        <v>2.29</v>
      </c>
    </row>
    <row r="286" spans="1:9" ht="12.75">
      <c r="A286" s="247">
        <v>41599.709733796299</v>
      </c>
      <c r="B286" s="221">
        <v>3.5</v>
      </c>
      <c r="E286" s="221">
        <v>99</v>
      </c>
      <c r="H286" s="250">
        <v>41888</v>
      </c>
      <c r="I286" s="251">
        <v>3.3</v>
      </c>
    </row>
    <row r="287" spans="1:9" ht="12.75">
      <c r="A287" s="247">
        <v>41599.751400462963</v>
      </c>
      <c r="B287" s="221">
        <v>2.5</v>
      </c>
      <c r="E287" s="221">
        <v>103.8</v>
      </c>
      <c r="H287" s="250">
        <v>41918</v>
      </c>
      <c r="I287" s="251">
        <v>0.25</v>
      </c>
    </row>
    <row r="288" spans="1:9" ht="12.75">
      <c r="A288" s="247">
        <v>41599.793067129627</v>
      </c>
      <c r="B288" s="221">
        <v>2.5</v>
      </c>
      <c r="E288" s="221">
        <v>104.4</v>
      </c>
      <c r="H288" s="250">
        <v>41949</v>
      </c>
      <c r="I288" s="251">
        <v>0</v>
      </c>
    </row>
    <row r="289" spans="1:9" ht="12.75">
      <c r="A289" s="247">
        <v>41599.834733796299</v>
      </c>
      <c r="B289" s="221">
        <v>2.5</v>
      </c>
      <c r="E289" s="221">
        <v>103.8</v>
      </c>
      <c r="H289" s="250">
        <v>41979</v>
      </c>
      <c r="I289" s="251">
        <v>0</v>
      </c>
    </row>
    <row r="290" spans="1:9" ht="12.75">
      <c r="A290" s="247">
        <v>41599.876400462963</v>
      </c>
      <c r="B290" s="221">
        <v>3</v>
      </c>
      <c r="E290" s="221">
        <v>102</v>
      </c>
      <c r="H290" s="250" t="s">
        <v>9255</v>
      </c>
      <c r="I290" s="251">
        <v>0</v>
      </c>
    </row>
    <row r="291" spans="1:9" ht="12.75">
      <c r="A291" s="247">
        <v>41599.918067129627</v>
      </c>
      <c r="B291" s="221">
        <v>2.5</v>
      </c>
      <c r="E291" s="221">
        <v>100.8</v>
      </c>
      <c r="H291" s="250" t="s">
        <v>9256</v>
      </c>
      <c r="I291" s="251">
        <v>0</v>
      </c>
    </row>
    <row r="292" spans="1:9" ht="12.75">
      <c r="A292" s="247">
        <v>41599.959733796299</v>
      </c>
      <c r="B292" s="221">
        <v>1.5</v>
      </c>
      <c r="E292" s="221">
        <v>99.6</v>
      </c>
      <c r="H292" s="250" t="s">
        <v>9257</v>
      </c>
      <c r="I292" s="251">
        <v>0</v>
      </c>
    </row>
    <row r="293" spans="1:9" ht="12.75">
      <c r="A293" s="247">
        <v>41600.001400462963</v>
      </c>
      <c r="B293" s="221">
        <v>1</v>
      </c>
      <c r="E293" s="221">
        <v>102.6</v>
      </c>
      <c r="H293" s="250" t="s">
        <v>9258</v>
      </c>
      <c r="I293" s="251">
        <v>0</v>
      </c>
    </row>
    <row r="294" spans="1:9" ht="12.75">
      <c r="A294" s="247">
        <v>41600.043067129627</v>
      </c>
      <c r="B294" s="221">
        <v>2</v>
      </c>
      <c r="E294" s="221">
        <v>103.8</v>
      </c>
      <c r="H294" s="250" t="s">
        <v>9259</v>
      </c>
      <c r="I294" s="251">
        <v>0</v>
      </c>
    </row>
    <row r="295" spans="1:9" ht="12.75">
      <c r="A295" s="247">
        <v>41600.084733796299</v>
      </c>
      <c r="B295" s="221">
        <v>2</v>
      </c>
      <c r="E295" s="221">
        <v>102</v>
      </c>
      <c r="H295" s="250" t="s">
        <v>9260</v>
      </c>
      <c r="I295" s="251">
        <v>0</v>
      </c>
    </row>
    <row r="296" spans="1:9" ht="12.75">
      <c r="A296" s="247">
        <v>41600.126400462963</v>
      </c>
      <c r="B296" s="221">
        <v>1.5</v>
      </c>
      <c r="E296" s="221">
        <v>103.8</v>
      </c>
      <c r="H296" s="250" t="s">
        <v>9261</v>
      </c>
      <c r="I296" s="251">
        <v>0</v>
      </c>
    </row>
    <row r="297" spans="1:9" ht="12.75">
      <c r="A297" s="247">
        <v>41600.168067129627</v>
      </c>
      <c r="B297" s="221">
        <v>2</v>
      </c>
      <c r="E297" s="221">
        <v>103.8</v>
      </c>
      <c r="H297" s="250" t="s">
        <v>9262</v>
      </c>
      <c r="I297" s="251">
        <v>0</v>
      </c>
    </row>
    <row r="298" spans="1:9" ht="12.75">
      <c r="A298" s="247">
        <v>41600.209733796299</v>
      </c>
      <c r="B298" s="221">
        <v>2.5</v>
      </c>
      <c r="E298" s="221">
        <v>103.2</v>
      </c>
      <c r="H298" s="250" t="s">
        <v>9263</v>
      </c>
      <c r="I298" s="251">
        <v>0</v>
      </c>
    </row>
    <row r="299" spans="1:9" ht="12.75">
      <c r="A299" s="247">
        <v>41600.251400462963</v>
      </c>
      <c r="B299" s="221">
        <v>2.5</v>
      </c>
      <c r="E299" s="221">
        <v>105</v>
      </c>
      <c r="H299" s="250" t="s">
        <v>9264</v>
      </c>
      <c r="I299" s="251">
        <v>0</v>
      </c>
    </row>
    <row r="300" spans="1:9" ht="12.75">
      <c r="A300" s="247">
        <v>41600.293067129627</v>
      </c>
      <c r="B300" s="221">
        <v>3</v>
      </c>
      <c r="E300" s="221">
        <v>104.4</v>
      </c>
      <c r="H300" s="250" t="s">
        <v>9265</v>
      </c>
      <c r="I300" s="251">
        <v>8.89</v>
      </c>
    </row>
    <row r="301" spans="1:9" ht="12.75">
      <c r="A301" s="247">
        <v>41600.334733796299</v>
      </c>
      <c r="B301" s="221">
        <v>3</v>
      </c>
      <c r="E301" s="221">
        <v>101.4</v>
      </c>
      <c r="H301" s="250" t="s">
        <v>9266</v>
      </c>
      <c r="I301" s="251">
        <v>0</v>
      </c>
    </row>
    <row r="302" spans="1:9" ht="12.75">
      <c r="A302" s="247">
        <v>41600.376400462963</v>
      </c>
      <c r="B302" s="221">
        <v>3</v>
      </c>
      <c r="E302" s="221">
        <v>100.8</v>
      </c>
      <c r="H302" s="250" t="s">
        <v>9267</v>
      </c>
      <c r="I302" s="251">
        <v>0</v>
      </c>
    </row>
    <row r="303" spans="1:9" ht="12.75">
      <c r="A303" s="247">
        <v>41600.418067129627</v>
      </c>
      <c r="B303" s="221">
        <v>3</v>
      </c>
      <c r="E303" s="221">
        <v>99</v>
      </c>
      <c r="H303" s="250" t="s">
        <v>9268</v>
      </c>
      <c r="I303" s="251">
        <v>0</v>
      </c>
    </row>
    <row r="304" spans="1:9" ht="12.75">
      <c r="A304" s="247">
        <v>41600.459733796299</v>
      </c>
      <c r="B304" s="221">
        <v>3.5</v>
      </c>
      <c r="E304" s="221">
        <v>96</v>
      </c>
      <c r="H304" s="250" t="s">
        <v>9269</v>
      </c>
      <c r="I304" s="251">
        <v>3.3</v>
      </c>
    </row>
    <row r="305" spans="1:9" ht="12.75">
      <c r="A305" s="247">
        <v>41600.501400462963</v>
      </c>
      <c r="B305" s="221">
        <v>3.5</v>
      </c>
      <c r="E305" s="221">
        <v>94.8</v>
      </c>
      <c r="H305" s="250" t="s">
        <v>9270</v>
      </c>
      <c r="I305" s="251">
        <v>6.6</v>
      </c>
    </row>
    <row r="306" spans="1:9" ht="12.75">
      <c r="A306" s="247">
        <v>41600.543067129627</v>
      </c>
      <c r="B306" s="221">
        <v>3</v>
      </c>
      <c r="E306" s="221">
        <v>96.6</v>
      </c>
      <c r="H306" s="250" t="s">
        <v>9271</v>
      </c>
      <c r="I306" s="251">
        <v>0.76</v>
      </c>
    </row>
    <row r="307" spans="1:9" ht="12.75">
      <c r="A307" s="247">
        <v>41600.584733796299</v>
      </c>
      <c r="B307" s="221">
        <v>3</v>
      </c>
      <c r="E307" s="221">
        <v>94.8</v>
      </c>
      <c r="H307" s="250" t="s">
        <v>9272</v>
      </c>
      <c r="I307" s="251">
        <v>0.51</v>
      </c>
    </row>
    <row r="308" spans="1:9" ht="12.75">
      <c r="A308" s="247">
        <v>41600.626400462963</v>
      </c>
      <c r="B308" s="221">
        <v>2.5</v>
      </c>
      <c r="E308" s="221">
        <v>97.2</v>
      </c>
      <c r="H308" s="250">
        <v>41646</v>
      </c>
      <c r="I308" s="251">
        <v>5.08</v>
      </c>
    </row>
    <row r="309" spans="1:9" ht="12.75">
      <c r="A309" s="247">
        <v>41600.668067129627</v>
      </c>
      <c r="B309" s="221">
        <v>3</v>
      </c>
      <c r="E309" s="221">
        <v>96</v>
      </c>
      <c r="H309" s="250">
        <v>41677</v>
      </c>
      <c r="I309" s="251">
        <v>9.91</v>
      </c>
    </row>
    <row r="310" spans="1:9" ht="12.75">
      <c r="A310" s="247">
        <v>41600.709733796299</v>
      </c>
      <c r="B310" s="221">
        <v>3</v>
      </c>
      <c r="E310" s="221">
        <v>96</v>
      </c>
      <c r="H310" s="250">
        <v>41705</v>
      </c>
      <c r="I310" s="251">
        <v>0</v>
      </c>
    </row>
    <row r="311" spans="1:9" ht="12.75">
      <c r="A311" s="247">
        <v>41600.751400462963</v>
      </c>
      <c r="B311" s="221">
        <v>2.5</v>
      </c>
      <c r="E311" s="221">
        <v>100.2</v>
      </c>
      <c r="H311" s="250">
        <v>41736</v>
      </c>
      <c r="I311" s="251">
        <v>0.76</v>
      </c>
    </row>
    <row r="312" spans="1:9">
      <c r="A312" s="247">
        <v>41600.793067129627</v>
      </c>
      <c r="B312" s="221">
        <v>2.5</v>
      </c>
      <c r="E312" s="221">
        <v>102</v>
      </c>
    </row>
    <row r="313" spans="1:9">
      <c r="A313" s="247">
        <v>41600.834733796299</v>
      </c>
      <c r="B313" s="221">
        <v>2</v>
      </c>
      <c r="E313" s="221">
        <v>104.4</v>
      </c>
    </row>
    <row r="314" spans="1:9">
      <c r="A314" s="247">
        <v>41600.876400462963</v>
      </c>
      <c r="B314" s="221">
        <v>2</v>
      </c>
      <c r="E314" s="221">
        <v>105</v>
      </c>
    </row>
    <row r="315" spans="1:9">
      <c r="A315" s="247">
        <v>41600.918067129627</v>
      </c>
      <c r="B315" s="221">
        <v>2.5</v>
      </c>
      <c r="E315" s="221">
        <v>105</v>
      </c>
    </row>
    <row r="316" spans="1:9">
      <c r="A316" s="247">
        <v>41600.959733796299</v>
      </c>
      <c r="B316" s="221">
        <v>3</v>
      </c>
      <c r="E316" s="221">
        <v>105</v>
      </c>
    </row>
    <row r="317" spans="1:9">
      <c r="A317" s="247">
        <v>41601.001400462963</v>
      </c>
      <c r="B317" s="221">
        <v>3</v>
      </c>
      <c r="E317" s="221">
        <v>105.6</v>
      </c>
    </row>
    <row r="318" spans="1:9">
      <c r="A318" s="247">
        <v>41601.043067129627</v>
      </c>
      <c r="B318" s="221">
        <v>3.5</v>
      </c>
      <c r="E318" s="221">
        <v>103.8</v>
      </c>
    </row>
    <row r="319" spans="1:9">
      <c r="A319" s="247">
        <v>41601.084733796299</v>
      </c>
      <c r="B319" s="221">
        <v>3.5</v>
      </c>
      <c r="E319" s="221">
        <v>103.8</v>
      </c>
    </row>
    <row r="320" spans="1:9">
      <c r="A320" s="247">
        <v>41601.126400462963</v>
      </c>
      <c r="B320" s="221">
        <v>3.5</v>
      </c>
      <c r="E320" s="221">
        <v>105</v>
      </c>
    </row>
    <row r="321" spans="1:5">
      <c r="A321" s="247">
        <v>41601.168067129627</v>
      </c>
      <c r="B321" s="221">
        <v>3.5</v>
      </c>
      <c r="E321" s="221">
        <v>105.6</v>
      </c>
    </row>
    <row r="322" spans="1:5">
      <c r="A322" s="247">
        <v>41601.209733796299</v>
      </c>
      <c r="B322" s="221">
        <v>3.5</v>
      </c>
      <c r="E322" s="221">
        <v>105.6</v>
      </c>
    </row>
    <row r="323" spans="1:5">
      <c r="A323" s="247">
        <v>41601.251400462963</v>
      </c>
      <c r="B323" s="221">
        <v>3.5</v>
      </c>
      <c r="E323" s="221">
        <v>105.6</v>
      </c>
    </row>
    <row r="324" spans="1:5">
      <c r="A324" s="247">
        <v>41601.293067129627</v>
      </c>
      <c r="B324" s="221">
        <v>3.5</v>
      </c>
      <c r="E324" s="221">
        <v>105</v>
      </c>
    </row>
    <row r="325" spans="1:5">
      <c r="A325" s="247">
        <v>41601.334733796299</v>
      </c>
      <c r="B325" s="221">
        <v>4</v>
      </c>
      <c r="E325" s="221">
        <v>103.8</v>
      </c>
    </row>
    <row r="326" spans="1:5">
      <c r="A326" s="247">
        <v>41601.376400462963</v>
      </c>
      <c r="B326" s="221">
        <v>4</v>
      </c>
      <c r="E326" s="221">
        <v>103.8</v>
      </c>
    </row>
    <row r="327" spans="1:5">
      <c r="A327" s="247">
        <v>41601.418067129627</v>
      </c>
      <c r="B327" s="221">
        <v>4</v>
      </c>
      <c r="E327" s="221">
        <v>103.8</v>
      </c>
    </row>
    <row r="328" spans="1:5">
      <c r="A328" s="247">
        <v>41601.459733796299</v>
      </c>
      <c r="B328" s="221">
        <v>4.5</v>
      </c>
      <c r="E328" s="221">
        <v>104.4</v>
      </c>
    </row>
    <row r="329" spans="1:5">
      <c r="A329" s="247">
        <v>41601.501400462963</v>
      </c>
      <c r="B329" s="221">
        <v>4.5</v>
      </c>
      <c r="E329" s="221">
        <v>102</v>
      </c>
    </row>
    <row r="330" spans="1:5">
      <c r="A330" s="247">
        <v>41601.543067129627</v>
      </c>
      <c r="B330" s="221">
        <v>4.5</v>
      </c>
      <c r="E330" s="221">
        <v>100.8</v>
      </c>
    </row>
    <row r="331" spans="1:5">
      <c r="A331" s="247">
        <v>41601.584733796299</v>
      </c>
      <c r="B331" s="221">
        <v>5</v>
      </c>
      <c r="E331" s="221">
        <v>101.4</v>
      </c>
    </row>
    <row r="332" spans="1:5">
      <c r="A332" s="247">
        <v>41601.626400462963</v>
      </c>
      <c r="B332" s="221">
        <v>5</v>
      </c>
      <c r="E332" s="221">
        <v>100.8</v>
      </c>
    </row>
    <row r="333" spans="1:5">
      <c r="A333" s="247">
        <v>41601.668067129627</v>
      </c>
      <c r="B333" s="221">
        <v>4.5</v>
      </c>
      <c r="E333" s="221">
        <v>100.2</v>
      </c>
    </row>
    <row r="334" spans="1:5">
      <c r="A334" s="247">
        <v>41601.709733796299</v>
      </c>
      <c r="B334" s="221">
        <v>4.5</v>
      </c>
      <c r="E334" s="221">
        <v>99</v>
      </c>
    </row>
    <row r="335" spans="1:5">
      <c r="A335" s="247">
        <v>41601.751400462963</v>
      </c>
      <c r="B335" s="221">
        <v>4</v>
      </c>
      <c r="E335" s="221">
        <v>99.6</v>
      </c>
    </row>
    <row r="336" spans="1:5">
      <c r="A336" s="247">
        <v>41601.793067129627</v>
      </c>
      <c r="B336" s="221">
        <v>4</v>
      </c>
      <c r="E336" s="221">
        <v>102.6</v>
      </c>
    </row>
    <row r="337" spans="1:5">
      <c r="A337" s="247">
        <v>41601.834733796299</v>
      </c>
      <c r="B337" s="221">
        <v>4</v>
      </c>
      <c r="E337" s="221">
        <v>103.8</v>
      </c>
    </row>
    <row r="338" spans="1:5">
      <c r="A338" s="247">
        <v>41601.876400462963</v>
      </c>
      <c r="B338" s="221">
        <v>4</v>
      </c>
      <c r="E338" s="221">
        <v>103.8</v>
      </c>
    </row>
    <row r="339" spans="1:5">
      <c r="A339" s="247">
        <v>41601.918067129627</v>
      </c>
      <c r="B339" s="221">
        <v>4.5</v>
      </c>
      <c r="E339" s="221">
        <v>103.2</v>
      </c>
    </row>
    <row r="340" spans="1:5">
      <c r="A340" s="247">
        <v>41601.959733796299</v>
      </c>
      <c r="B340" s="221">
        <v>4.5</v>
      </c>
      <c r="E340" s="221">
        <v>99.6</v>
      </c>
    </row>
    <row r="341" spans="1:5">
      <c r="A341" s="247">
        <v>41602.001400462963</v>
      </c>
      <c r="B341" s="221">
        <v>4.5</v>
      </c>
      <c r="E341" s="221">
        <v>100.2</v>
      </c>
    </row>
    <row r="342" spans="1:5">
      <c r="A342" s="247">
        <v>41602.043067129627</v>
      </c>
      <c r="B342" s="221">
        <v>4.5</v>
      </c>
      <c r="E342" s="221">
        <v>100.2</v>
      </c>
    </row>
    <row r="343" spans="1:5">
      <c r="A343" s="247">
        <v>41602.084733796299</v>
      </c>
      <c r="B343" s="221">
        <v>4</v>
      </c>
      <c r="E343" s="221">
        <v>101.4</v>
      </c>
    </row>
    <row r="344" spans="1:5">
      <c r="A344" s="247">
        <v>41602.126400462963</v>
      </c>
      <c r="B344" s="221">
        <v>4.5</v>
      </c>
      <c r="E344" s="221">
        <v>99.6</v>
      </c>
    </row>
    <row r="345" spans="1:5">
      <c r="A345" s="247">
        <v>41602.168067129627</v>
      </c>
      <c r="B345" s="221">
        <v>4.5</v>
      </c>
      <c r="E345" s="221">
        <v>100.2</v>
      </c>
    </row>
    <row r="346" spans="1:5">
      <c r="A346" s="247">
        <v>41602.209733796299</v>
      </c>
      <c r="B346" s="221">
        <v>4.5</v>
      </c>
      <c r="E346" s="221">
        <v>99.6</v>
      </c>
    </row>
    <row r="347" spans="1:5">
      <c r="A347" s="247">
        <v>41602.251400462963</v>
      </c>
      <c r="B347" s="221">
        <v>4</v>
      </c>
      <c r="E347" s="221">
        <v>99</v>
      </c>
    </row>
    <row r="348" spans="1:5">
      <c r="A348" s="247">
        <v>41602.293067129627</v>
      </c>
      <c r="B348" s="221">
        <v>4</v>
      </c>
      <c r="E348" s="221">
        <v>99</v>
      </c>
    </row>
    <row r="349" spans="1:5">
      <c r="A349" s="247">
        <v>41602.334733796299</v>
      </c>
      <c r="B349" s="221">
        <v>4</v>
      </c>
      <c r="E349" s="221">
        <v>100.2</v>
      </c>
    </row>
    <row r="350" spans="1:5">
      <c r="A350" s="247">
        <v>41602.376400462963</v>
      </c>
      <c r="B350" s="221">
        <v>3.5</v>
      </c>
      <c r="E350" s="221">
        <v>101.4</v>
      </c>
    </row>
    <row r="351" spans="1:5">
      <c r="A351" s="247">
        <v>41602.418067129627</v>
      </c>
      <c r="B351" s="221">
        <v>3.5</v>
      </c>
      <c r="E351" s="221">
        <v>100.2</v>
      </c>
    </row>
    <row r="352" spans="1:5">
      <c r="A352" s="247">
        <v>41602.459733796299</v>
      </c>
      <c r="B352" s="221">
        <v>4</v>
      </c>
      <c r="E352" s="221">
        <v>100.2</v>
      </c>
    </row>
    <row r="353" spans="1:5">
      <c r="A353" s="247">
        <v>41602.501400462963</v>
      </c>
      <c r="B353" s="221">
        <v>4.5</v>
      </c>
      <c r="E353" s="221">
        <v>98.4</v>
      </c>
    </row>
    <row r="354" spans="1:5">
      <c r="A354" s="247">
        <v>41602.543067129627</v>
      </c>
      <c r="B354" s="221">
        <v>5.5</v>
      </c>
      <c r="E354" s="221">
        <v>94.2</v>
      </c>
    </row>
    <row r="355" spans="1:5">
      <c r="A355" s="247">
        <v>41602.584733796299</v>
      </c>
      <c r="B355" s="221">
        <v>10</v>
      </c>
      <c r="E355" s="221">
        <v>80.400000000000006</v>
      </c>
    </row>
    <row r="356" spans="1:5">
      <c r="A356" s="247">
        <v>41602.626400462963</v>
      </c>
      <c r="B356" s="221">
        <v>10.5</v>
      </c>
      <c r="E356" s="221">
        <v>70.2</v>
      </c>
    </row>
    <row r="357" spans="1:5">
      <c r="A357" s="247">
        <v>41602.668067129627</v>
      </c>
      <c r="B357" s="221">
        <v>10</v>
      </c>
      <c r="E357" s="221">
        <v>71.400000000000006</v>
      </c>
    </row>
    <row r="358" spans="1:5">
      <c r="A358" s="247">
        <v>41602.709733796299</v>
      </c>
      <c r="B358" s="221">
        <v>8</v>
      </c>
      <c r="E358" s="221">
        <v>75.599999999999994</v>
      </c>
    </row>
    <row r="359" spans="1:5">
      <c r="A359" s="247">
        <v>41602.751400462963</v>
      </c>
      <c r="B359" s="221">
        <v>6.5</v>
      </c>
      <c r="E359" s="221">
        <v>85.8</v>
      </c>
    </row>
    <row r="360" spans="1:5">
      <c r="A360" s="247">
        <v>41602.793067129627</v>
      </c>
      <c r="B360" s="221">
        <v>6</v>
      </c>
      <c r="E360" s="221">
        <v>91.2</v>
      </c>
    </row>
    <row r="361" spans="1:5">
      <c r="A361" s="247">
        <v>41602.834733796299</v>
      </c>
      <c r="B361" s="221">
        <v>6</v>
      </c>
      <c r="E361" s="221">
        <v>92.4</v>
      </c>
    </row>
    <row r="362" spans="1:5">
      <c r="A362" s="247">
        <v>41602.876400462963</v>
      </c>
      <c r="B362" s="221">
        <v>5.5</v>
      </c>
      <c r="E362" s="221">
        <v>93.6</v>
      </c>
    </row>
    <row r="363" spans="1:5">
      <c r="A363" s="247">
        <v>41602.918067129627</v>
      </c>
      <c r="B363" s="221">
        <v>5</v>
      </c>
      <c r="E363" s="221">
        <v>94.8</v>
      </c>
    </row>
    <row r="364" spans="1:5">
      <c r="A364" s="247">
        <v>41602.959733796299</v>
      </c>
      <c r="B364" s="221">
        <v>5</v>
      </c>
      <c r="E364" s="221">
        <v>97.2</v>
      </c>
    </row>
    <row r="365" spans="1:5">
      <c r="A365" s="247">
        <v>41603.001400462963</v>
      </c>
      <c r="B365" s="221">
        <v>5</v>
      </c>
      <c r="E365" s="221">
        <v>98.4</v>
      </c>
    </row>
    <row r="366" spans="1:5">
      <c r="A366" s="247">
        <v>41603.043067129627</v>
      </c>
      <c r="B366" s="221">
        <v>5</v>
      </c>
      <c r="E366" s="221">
        <v>99</v>
      </c>
    </row>
    <row r="367" spans="1:5">
      <c r="A367" s="247">
        <v>41603.084733796299</v>
      </c>
      <c r="B367" s="221">
        <v>5.5</v>
      </c>
      <c r="E367" s="221">
        <v>98.4</v>
      </c>
    </row>
    <row r="368" spans="1:5">
      <c r="A368" s="247">
        <v>41603.126400462963</v>
      </c>
      <c r="B368" s="221">
        <v>5.5</v>
      </c>
      <c r="E368" s="221">
        <v>92.4</v>
      </c>
    </row>
    <row r="369" spans="1:5">
      <c r="A369" s="247">
        <v>41603.168067129627</v>
      </c>
      <c r="B369" s="221">
        <v>5</v>
      </c>
      <c r="E369" s="221">
        <v>95.4</v>
      </c>
    </row>
    <row r="370" spans="1:5">
      <c r="A370" s="247">
        <v>41603.209733796299</v>
      </c>
      <c r="B370" s="221">
        <v>4.5</v>
      </c>
      <c r="E370" s="221">
        <v>93.6</v>
      </c>
    </row>
    <row r="371" spans="1:5">
      <c r="A371" s="247">
        <v>41603.251400462963</v>
      </c>
      <c r="B371" s="221">
        <v>4.5</v>
      </c>
      <c r="E371" s="221">
        <v>91.8</v>
      </c>
    </row>
    <row r="372" spans="1:5">
      <c r="A372" s="247">
        <v>41603.293067129627</v>
      </c>
      <c r="B372" s="221">
        <v>4</v>
      </c>
      <c r="E372" s="221">
        <v>95.4</v>
      </c>
    </row>
    <row r="373" spans="1:5">
      <c r="A373" s="247">
        <v>41603.334733796299</v>
      </c>
      <c r="B373" s="221">
        <v>3</v>
      </c>
      <c r="E373" s="221">
        <v>98.4</v>
      </c>
    </row>
    <row r="374" spans="1:5">
      <c r="A374" s="247">
        <v>41603.376400462963</v>
      </c>
      <c r="B374" s="221">
        <v>2.5</v>
      </c>
      <c r="E374" s="221">
        <v>100.8</v>
      </c>
    </row>
    <row r="375" spans="1:5">
      <c r="A375" s="247">
        <v>41603.418067129627</v>
      </c>
      <c r="B375" s="221">
        <v>3.5</v>
      </c>
      <c r="E375" s="221">
        <v>100.2</v>
      </c>
    </row>
    <row r="376" spans="1:5">
      <c r="A376" s="247">
        <v>41603.459733796299</v>
      </c>
      <c r="B376" s="221">
        <v>4</v>
      </c>
      <c r="E376" s="221">
        <v>98.4</v>
      </c>
    </row>
    <row r="377" spans="1:5">
      <c r="A377" s="247">
        <v>41603.501400462963</v>
      </c>
      <c r="B377" s="221">
        <v>5</v>
      </c>
      <c r="E377" s="221">
        <v>94.8</v>
      </c>
    </row>
    <row r="378" spans="1:5">
      <c r="A378" s="247">
        <v>41603.543067129627</v>
      </c>
      <c r="B378" s="221">
        <v>6</v>
      </c>
      <c r="E378" s="221">
        <v>91.8</v>
      </c>
    </row>
    <row r="379" spans="1:5">
      <c r="A379" s="247">
        <v>41603.584733796299</v>
      </c>
      <c r="B379" s="221">
        <v>5.5</v>
      </c>
      <c r="E379" s="221">
        <v>87.6</v>
      </c>
    </row>
    <row r="380" spans="1:5">
      <c r="A380" s="247">
        <v>41603.626400462963</v>
      </c>
      <c r="B380" s="221">
        <v>5.5</v>
      </c>
      <c r="E380" s="221">
        <v>85.8</v>
      </c>
    </row>
    <row r="381" spans="1:5">
      <c r="A381" s="247">
        <v>41603.668067129627</v>
      </c>
      <c r="B381" s="221">
        <v>5</v>
      </c>
      <c r="E381" s="221">
        <v>87</v>
      </c>
    </row>
    <row r="382" spans="1:5">
      <c r="A382" s="247">
        <v>41603.709733796299</v>
      </c>
      <c r="B382" s="221">
        <v>5</v>
      </c>
      <c r="E382" s="221">
        <v>85.8</v>
      </c>
    </row>
    <row r="383" spans="1:5">
      <c r="A383" s="247">
        <v>41603.751400462963</v>
      </c>
      <c r="B383" s="221">
        <v>4</v>
      </c>
      <c r="E383" s="221">
        <v>88.2</v>
      </c>
    </row>
    <row r="384" spans="1:5">
      <c r="A384" s="247">
        <v>41603.793067129627</v>
      </c>
      <c r="B384" s="221">
        <v>3.5</v>
      </c>
      <c r="E384" s="221">
        <v>90</v>
      </c>
    </row>
    <row r="385" spans="1:5">
      <c r="A385" s="247">
        <v>41603.834733796299</v>
      </c>
      <c r="B385" s="221">
        <v>3.5</v>
      </c>
      <c r="E385" s="221">
        <v>92.4</v>
      </c>
    </row>
    <row r="386" spans="1:5">
      <c r="A386" s="247">
        <v>41603.876400462963</v>
      </c>
      <c r="B386" s="221">
        <v>3.5</v>
      </c>
      <c r="E386" s="221">
        <v>91.2</v>
      </c>
    </row>
    <row r="387" spans="1:5">
      <c r="A387" s="247">
        <v>41603.918067129627</v>
      </c>
      <c r="B387" s="221">
        <v>3.5</v>
      </c>
      <c r="E387" s="221">
        <v>92.4</v>
      </c>
    </row>
    <row r="388" spans="1:5">
      <c r="A388" s="247">
        <v>41603.959733796299</v>
      </c>
      <c r="B388" s="221">
        <v>2</v>
      </c>
      <c r="E388" s="221">
        <v>99</v>
      </c>
    </row>
    <row r="389" spans="1:5">
      <c r="A389" s="247">
        <v>41604.001400462963</v>
      </c>
      <c r="B389" s="221">
        <v>2.5</v>
      </c>
      <c r="E389" s="221">
        <v>99</v>
      </c>
    </row>
    <row r="390" spans="1:5">
      <c r="A390" s="247">
        <v>41604.043067129627</v>
      </c>
      <c r="B390" s="221">
        <v>2</v>
      </c>
      <c r="E390" s="221">
        <v>102</v>
      </c>
    </row>
    <row r="391" spans="1:5">
      <c r="A391" s="247">
        <v>41604.084733796299</v>
      </c>
      <c r="B391" s="221">
        <v>3</v>
      </c>
      <c r="E391" s="221">
        <v>100.8</v>
      </c>
    </row>
    <row r="392" spans="1:5">
      <c r="A392" s="247">
        <v>41604.126400462963</v>
      </c>
      <c r="B392" s="221">
        <v>2</v>
      </c>
      <c r="E392" s="221">
        <v>103.2</v>
      </c>
    </row>
    <row r="393" spans="1:5">
      <c r="A393" s="247">
        <v>41604.168067129627</v>
      </c>
      <c r="B393" s="221">
        <v>1.5</v>
      </c>
      <c r="E393" s="221">
        <v>103.8</v>
      </c>
    </row>
    <row r="394" spans="1:5">
      <c r="A394" s="247">
        <v>41604.209733796299</v>
      </c>
      <c r="B394" s="221">
        <v>2.5</v>
      </c>
      <c r="E394" s="221">
        <v>103.8</v>
      </c>
    </row>
    <row r="395" spans="1:5">
      <c r="A395" s="247">
        <v>41604.251400462963</v>
      </c>
      <c r="B395" s="221">
        <v>3</v>
      </c>
      <c r="E395" s="221">
        <v>103.2</v>
      </c>
    </row>
    <row r="396" spans="1:5">
      <c r="A396" s="247">
        <v>41604.293067129627</v>
      </c>
      <c r="B396" s="221">
        <v>3</v>
      </c>
      <c r="E396" s="221">
        <v>103.8</v>
      </c>
    </row>
    <row r="397" spans="1:5">
      <c r="A397" s="247">
        <v>41604.334733796299</v>
      </c>
      <c r="B397" s="221">
        <v>3</v>
      </c>
      <c r="E397" s="221">
        <v>101.4</v>
      </c>
    </row>
    <row r="398" spans="1:5">
      <c r="A398" s="247">
        <v>41604.376400462963</v>
      </c>
      <c r="B398" s="221">
        <v>2</v>
      </c>
      <c r="E398" s="221">
        <v>102</v>
      </c>
    </row>
    <row r="399" spans="1:5">
      <c r="A399" s="247">
        <v>41604.418067129627</v>
      </c>
      <c r="B399" s="221">
        <v>2</v>
      </c>
      <c r="E399" s="221">
        <v>99</v>
      </c>
    </row>
    <row r="400" spans="1:5">
      <c r="A400" s="247">
        <v>41604.459733796299</v>
      </c>
      <c r="B400" s="221">
        <v>5</v>
      </c>
      <c r="E400" s="221">
        <v>94.8</v>
      </c>
    </row>
    <row r="401" spans="1:5">
      <c r="A401" s="247">
        <v>41604.501400462963</v>
      </c>
      <c r="B401" s="221">
        <v>6.5</v>
      </c>
      <c r="E401" s="221">
        <v>83.4</v>
      </c>
    </row>
    <row r="402" spans="1:5">
      <c r="A402" s="247">
        <v>41604.543067129627</v>
      </c>
      <c r="B402" s="221">
        <v>7.5</v>
      </c>
      <c r="E402" s="221">
        <v>72</v>
      </c>
    </row>
    <row r="403" spans="1:5">
      <c r="A403" s="247">
        <v>41604.584733796299</v>
      </c>
      <c r="B403" s="221">
        <v>9</v>
      </c>
      <c r="E403" s="221">
        <v>64.8</v>
      </c>
    </row>
    <row r="404" spans="1:5">
      <c r="A404" s="247">
        <v>41604.626400462963</v>
      </c>
      <c r="B404" s="221">
        <v>9.5</v>
      </c>
      <c r="E404" s="221">
        <v>58.8</v>
      </c>
    </row>
    <row r="405" spans="1:5">
      <c r="A405" s="247">
        <v>41604.668067129627</v>
      </c>
      <c r="B405" s="221">
        <v>9</v>
      </c>
      <c r="E405" s="221">
        <v>58.2</v>
      </c>
    </row>
    <row r="406" spans="1:5">
      <c r="A406" s="247">
        <v>41604.709733796299</v>
      </c>
      <c r="B406" s="221">
        <v>7.5</v>
      </c>
      <c r="E406" s="221">
        <v>61.8</v>
      </c>
    </row>
    <row r="407" spans="1:5">
      <c r="A407" s="247">
        <v>41604.751400462963</v>
      </c>
      <c r="B407" s="221">
        <v>3.5</v>
      </c>
      <c r="E407" s="221">
        <v>81.599999999999994</v>
      </c>
    </row>
    <row r="408" spans="1:5">
      <c r="A408" s="247">
        <v>41604.793067129627</v>
      </c>
      <c r="B408" s="221">
        <v>2</v>
      </c>
      <c r="E408" s="221">
        <v>85.2</v>
      </c>
    </row>
    <row r="409" spans="1:5">
      <c r="A409" s="247">
        <v>41604.834733796299</v>
      </c>
      <c r="B409" s="221">
        <v>1.5</v>
      </c>
      <c r="E409" s="221">
        <v>88.8</v>
      </c>
    </row>
    <row r="410" spans="1:5">
      <c r="A410" s="247">
        <v>41604.876400462963</v>
      </c>
      <c r="B410" s="221">
        <v>1</v>
      </c>
      <c r="E410" s="221">
        <v>92.4</v>
      </c>
    </row>
    <row r="411" spans="1:5">
      <c r="A411" s="247">
        <v>41604.918067129627</v>
      </c>
      <c r="B411" s="221">
        <v>1</v>
      </c>
      <c r="E411" s="221">
        <v>91.8</v>
      </c>
    </row>
    <row r="412" spans="1:5">
      <c r="A412" s="247">
        <v>41604.959733796299</v>
      </c>
      <c r="B412" s="221">
        <v>1.5</v>
      </c>
      <c r="E412" s="221">
        <v>92.4</v>
      </c>
    </row>
    <row r="413" spans="1:5">
      <c r="A413" s="247">
        <v>41605.001400462963</v>
      </c>
      <c r="B413" s="221">
        <v>2.5</v>
      </c>
      <c r="E413" s="221">
        <v>88.8</v>
      </c>
    </row>
    <row r="414" spans="1:5">
      <c r="A414" s="247">
        <v>41605.043067129627</v>
      </c>
      <c r="B414" s="221">
        <v>2.5</v>
      </c>
      <c r="E414" s="221">
        <v>93.6</v>
      </c>
    </row>
    <row r="415" spans="1:5">
      <c r="A415" s="247">
        <v>41605.084733796299</v>
      </c>
      <c r="B415" s="221">
        <v>2.5</v>
      </c>
      <c r="E415" s="221">
        <v>94.8</v>
      </c>
    </row>
    <row r="416" spans="1:5">
      <c r="A416" s="247">
        <v>41605.126400462963</v>
      </c>
      <c r="B416" s="221">
        <v>2.5</v>
      </c>
      <c r="E416" s="221">
        <v>103.2</v>
      </c>
    </row>
    <row r="417" spans="1:5">
      <c r="A417" s="247">
        <v>41605.168067129627</v>
      </c>
      <c r="B417" s="221">
        <v>2.5</v>
      </c>
      <c r="E417" s="221">
        <v>103.8</v>
      </c>
    </row>
    <row r="418" spans="1:5">
      <c r="A418" s="247">
        <v>41605.209733796299</v>
      </c>
      <c r="B418" s="221">
        <v>2.5</v>
      </c>
      <c r="E418" s="221">
        <v>100.8</v>
      </c>
    </row>
    <row r="419" spans="1:5">
      <c r="A419" s="247">
        <v>41605.251400462963</v>
      </c>
      <c r="B419" s="221">
        <v>3</v>
      </c>
      <c r="E419" s="221">
        <v>100.8</v>
      </c>
    </row>
    <row r="420" spans="1:5">
      <c r="A420" s="247">
        <v>41605.293067129627</v>
      </c>
      <c r="B420" s="221">
        <v>3</v>
      </c>
      <c r="E420" s="221">
        <v>103.8</v>
      </c>
    </row>
    <row r="421" spans="1:5">
      <c r="A421" s="247">
        <v>41605.334733796299</v>
      </c>
      <c r="B421" s="221">
        <v>3</v>
      </c>
      <c r="E421" s="221">
        <v>104.4</v>
      </c>
    </row>
    <row r="422" spans="1:5">
      <c r="A422" s="247">
        <v>41605.376400462963</v>
      </c>
      <c r="B422" s="221">
        <v>3</v>
      </c>
      <c r="E422" s="221">
        <v>105</v>
      </c>
    </row>
    <row r="423" spans="1:5">
      <c r="A423" s="247">
        <v>41605.418067129627</v>
      </c>
      <c r="B423" s="221">
        <v>3</v>
      </c>
      <c r="E423" s="221">
        <v>105</v>
      </c>
    </row>
    <row r="424" spans="1:5">
      <c r="A424" s="247">
        <v>41605.459733796299</v>
      </c>
      <c r="B424" s="221">
        <v>4.5</v>
      </c>
      <c r="E424" s="221">
        <v>98.4</v>
      </c>
    </row>
    <row r="425" spans="1:5">
      <c r="A425" s="247">
        <v>41605.501400462963</v>
      </c>
      <c r="B425" s="221">
        <v>5.5</v>
      </c>
      <c r="E425" s="221">
        <v>93</v>
      </c>
    </row>
    <row r="426" spans="1:5">
      <c r="A426" s="247">
        <v>41605.543067129627</v>
      </c>
      <c r="B426" s="221">
        <v>7</v>
      </c>
      <c r="E426" s="221">
        <v>84.6</v>
      </c>
    </row>
    <row r="427" spans="1:5">
      <c r="A427" s="247">
        <v>41605.584733796299</v>
      </c>
      <c r="B427" s="221">
        <v>10.5</v>
      </c>
      <c r="E427" s="221">
        <v>72.599999999999994</v>
      </c>
    </row>
    <row r="428" spans="1:5">
      <c r="A428" s="247">
        <v>41605.626400462963</v>
      </c>
      <c r="B428" s="221">
        <v>10.5</v>
      </c>
      <c r="E428" s="221">
        <v>63</v>
      </c>
    </row>
    <row r="429" spans="1:5">
      <c r="A429" s="247">
        <v>41605.668067129627</v>
      </c>
      <c r="B429" s="221">
        <v>11</v>
      </c>
      <c r="E429" s="221">
        <v>60</v>
      </c>
    </row>
    <row r="430" spans="1:5">
      <c r="A430" s="247">
        <v>41605.709733796299</v>
      </c>
      <c r="B430" s="221">
        <v>10</v>
      </c>
      <c r="E430" s="221">
        <v>56.4</v>
      </c>
    </row>
    <row r="431" spans="1:5">
      <c r="A431" s="247">
        <v>41605.751400462963</v>
      </c>
      <c r="B431" s="221">
        <v>3.5</v>
      </c>
      <c r="E431" s="221">
        <v>79.2</v>
      </c>
    </row>
    <row r="432" spans="1:5">
      <c r="A432" s="247">
        <v>41605.793067129627</v>
      </c>
      <c r="B432" s="221">
        <v>1</v>
      </c>
      <c r="E432" s="221">
        <v>91.8</v>
      </c>
    </row>
    <row r="433" spans="1:5">
      <c r="A433" s="247">
        <v>41605.834733796299</v>
      </c>
      <c r="B433" s="221">
        <v>0.5</v>
      </c>
      <c r="E433" s="221">
        <v>94.8</v>
      </c>
    </row>
    <row r="434" spans="1:5">
      <c r="A434" s="247">
        <v>41605.876400462963</v>
      </c>
      <c r="B434" s="221">
        <v>-1</v>
      </c>
      <c r="E434" s="221">
        <v>98.4</v>
      </c>
    </row>
    <row r="435" spans="1:5">
      <c r="A435" s="247">
        <v>41605.918067129627</v>
      </c>
      <c r="B435" s="221">
        <v>-0.5</v>
      </c>
      <c r="E435" s="221">
        <v>91.8</v>
      </c>
    </row>
    <row r="436" spans="1:5">
      <c r="A436" s="247">
        <v>41605.959733796299</v>
      </c>
      <c r="B436" s="221">
        <v>-1</v>
      </c>
      <c r="E436" s="221">
        <v>93</v>
      </c>
    </row>
    <row r="437" spans="1:5">
      <c r="A437" s="247">
        <v>41606.001400462963</v>
      </c>
      <c r="B437" s="221">
        <v>-1</v>
      </c>
      <c r="E437" s="221">
        <v>94.2</v>
      </c>
    </row>
    <row r="438" spans="1:5">
      <c r="A438" s="247">
        <v>41606.043067129627</v>
      </c>
      <c r="B438" s="221">
        <v>-2</v>
      </c>
      <c r="E438" s="221">
        <v>97.2</v>
      </c>
    </row>
    <row r="439" spans="1:5">
      <c r="A439" s="247">
        <v>41606.084733796299</v>
      </c>
      <c r="B439" s="221">
        <v>-2</v>
      </c>
      <c r="E439" s="221">
        <v>98.4</v>
      </c>
    </row>
    <row r="440" spans="1:5">
      <c r="A440" s="247">
        <v>41606.126400462963</v>
      </c>
      <c r="B440" s="221">
        <v>-2</v>
      </c>
      <c r="E440" s="221">
        <v>99.6</v>
      </c>
    </row>
    <row r="441" spans="1:5">
      <c r="A441" s="247">
        <v>41606.168067129627</v>
      </c>
      <c r="B441" s="221">
        <v>-3</v>
      </c>
      <c r="E441" s="221">
        <v>101.4</v>
      </c>
    </row>
    <row r="442" spans="1:5">
      <c r="A442" s="247">
        <v>41606.209733796299</v>
      </c>
      <c r="B442" s="221">
        <v>-3</v>
      </c>
      <c r="E442" s="221">
        <v>102.6</v>
      </c>
    </row>
    <row r="443" spans="1:5">
      <c r="A443" s="247">
        <v>41606.251400462963</v>
      </c>
      <c r="B443" s="221">
        <v>-2</v>
      </c>
      <c r="E443" s="221">
        <v>99</v>
      </c>
    </row>
    <row r="444" spans="1:5">
      <c r="A444" s="247">
        <v>41606.293067129627</v>
      </c>
      <c r="B444" s="221">
        <v>-1.5</v>
      </c>
      <c r="E444" s="221">
        <v>99.6</v>
      </c>
    </row>
    <row r="445" spans="1:5">
      <c r="A445" s="247">
        <v>41606.334733796299</v>
      </c>
      <c r="B445" s="221">
        <v>-2</v>
      </c>
      <c r="E445" s="221">
        <v>100.2</v>
      </c>
    </row>
    <row r="446" spans="1:5">
      <c r="A446" s="247">
        <v>41606.376400462963</v>
      </c>
      <c r="B446" s="221">
        <v>-1.5</v>
      </c>
      <c r="E446" s="221">
        <v>101.4</v>
      </c>
    </row>
    <row r="447" spans="1:5">
      <c r="A447" s="247">
        <v>41606.418067129627</v>
      </c>
      <c r="B447" s="221">
        <v>-2</v>
      </c>
      <c r="E447" s="221">
        <v>102</v>
      </c>
    </row>
    <row r="448" spans="1:5">
      <c r="A448" s="247">
        <v>41606.459733796299</v>
      </c>
      <c r="B448" s="221">
        <v>-0.5</v>
      </c>
      <c r="E448" s="221">
        <v>96</v>
      </c>
    </row>
    <row r="449" spans="1:5">
      <c r="A449" s="247">
        <v>41606.501400462963</v>
      </c>
      <c r="B449" s="221">
        <v>5</v>
      </c>
      <c r="E449" s="221">
        <v>76.8</v>
      </c>
    </row>
    <row r="450" spans="1:5">
      <c r="A450" s="247">
        <v>41606.543067129627</v>
      </c>
      <c r="B450" s="221">
        <v>9</v>
      </c>
      <c r="E450" s="221">
        <v>62.4</v>
      </c>
    </row>
    <row r="451" spans="1:5">
      <c r="A451" s="247">
        <v>41606.584733796299</v>
      </c>
      <c r="B451" s="221">
        <v>3</v>
      </c>
      <c r="E451" s="221">
        <v>84</v>
      </c>
    </row>
    <row r="452" spans="1:5">
      <c r="A452" s="247">
        <v>41606.626400462963</v>
      </c>
      <c r="B452" s="221">
        <v>3</v>
      </c>
      <c r="E452" s="221">
        <v>82.8</v>
      </c>
    </row>
    <row r="453" spans="1:5">
      <c r="A453" s="247">
        <v>41606.668067129627</v>
      </c>
      <c r="B453" s="221">
        <v>3</v>
      </c>
      <c r="E453" s="221">
        <v>87.6</v>
      </c>
    </row>
    <row r="454" spans="1:5">
      <c r="A454" s="247">
        <v>41606.709733796299</v>
      </c>
      <c r="B454" s="221">
        <v>2.5</v>
      </c>
      <c r="E454" s="221">
        <v>88.8</v>
      </c>
    </row>
    <row r="455" spans="1:5">
      <c r="A455" s="247">
        <v>41606.751400462963</v>
      </c>
      <c r="B455" s="221">
        <v>2.5</v>
      </c>
      <c r="E455" s="221">
        <v>90.6</v>
      </c>
    </row>
    <row r="456" spans="1:5">
      <c r="A456" s="247">
        <v>41606.793067129627</v>
      </c>
      <c r="B456" s="221">
        <v>2</v>
      </c>
      <c r="E456" s="221">
        <v>94.8</v>
      </c>
    </row>
    <row r="457" spans="1:5">
      <c r="A457" s="247">
        <v>41606.834733796299</v>
      </c>
      <c r="B457" s="221">
        <v>2.5</v>
      </c>
      <c r="E457" s="221">
        <v>91.8</v>
      </c>
    </row>
    <row r="458" spans="1:5">
      <c r="A458" s="247">
        <v>41606.876400462963</v>
      </c>
      <c r="B458" s="221">
        <v>2.5</v>
      </c>
      <c r="E458" s="221">
        <v>92.4</v>
      </c>
    </row>
    <row r="459" spans="1:5">
      <c r="A459" s="247">
        <v>41606.918067129627</v>
      </c>
      <c r="B459" s="221">
        <v>2.5</v>
      </c>
      <c r="E459" s="221">
        <v>93.6</v>
      </c>
    </row>
    <row r="460" spans="1:5">
      <c r="A460" s="247">
        <v>41606.959733796299</v>
      </c>
      <c r="B460" s="221">
        <v>2.5</v>
      </c>
      <c r="E460" s="221">
        <v>95.4</v>
      </c>
    </row>
    <row r="461" spans="1:5">
      <c r="A461" s="247">
        <v>41607.001400462963</v>
      </c>
      <c r="B461" s="221">
        <v>3</v>
      </c>
      <c r="E461" s="221">
        <v>94.2</v>
      </c>
    </row>
    <row r="462" spans="1:5">
      <c r="A462" s="247">
        <v>41607.043067129627</v>
      </c>
      <c r="B462" s="221">
        <v>3</v>
      </c>
      <c r="E462" s="221">
        <v>96.6</v>
      </c>
    </row>
    <row r="463" spans="1:5">
      <c r="A463" s="247">
        <v>41607.084733796299</v>
      </c>
      <c r="B463" s="221">
        <v>2.5</v>
      </c>
      <c r="E463" s="221">
        <v>100.2</v>
      </c>
    </row>
    <row r="464" spans="1:5">
      <c r="A464" s="247">
        <v>41607.126400462963</v>
      </c>
      <c r="B464" s="221">
        <v>3</v>
      </c>
      <c r="E464" s="221">
        <v>100.8</v>
      </c>
    </row>
    <row r="465" spans="1:5">
      <c r="A465" s="247">
        <v>41607.168067129627</v>
      </c>
      <c r="B465" s="221">
        <v>3</v>
      </c>
      <c r="E465" s="221">
        <v>101.4</v>
      </c>
    </row>
    <row r="466" spans="1:5">
      <c r="A466" s="247">
        <v>41607.209733796299</v>
      </c>
      <c r="B466" s="221">
        <v>3</v>
      </c>
      <c r="E466" s="221">
        <v>103.2</v>
      </c>
    </row>
    <row r="467" spans="1:5">
      <c r="A467" s="247">
        <v>41607.251400462963</v>
      </c>
      <c r="B467" s="221">
        <v>3</v>
      </c>
      <c r="E467" s="221">
        <v>103.8</v>
      </c>
    </row>
    <row r="468" spans="1:5">
      <c r="A468" s="247">
        <v>41607.293067129627</v>
      </c>
      <c r="B468" s="221">
        <v>3.5</v>
      </c>
      <c r="E468" s="221">
        <v>104.4</v>
      </c>
    </row>
    <row r="469" spans="1:5">
      <c r="A469" s="247">
        <v>41607.334733796299</v>
      </c>
      <c r="B469" s="221">
        <v>3.5</v>
      </c>
      <c r="E469" s="221">
        <v>105</v>
      </c>
    </row>
    <row r="470" spans="1:5">
      <c r="A470" s="247">
        <v>41607.376400462963</v>
      </c>
      <c r="B470" s="221">
        <v>3.5</v>
      </c>
      <c r="E470" s="221">
        <v>104.4</v>
      </c>
    </row>
    <row r="471" spans="1:5">
      <c r="A471" s="247">
        <v>41607.418067129627</v>
      </c>
      <c r="B471" s="221">
        <v>3.5</v>
      </c>
      <c r="E471" s="221">
        <v>104.4</v>
      </c>
    </row>
    <row r="472" spans="1:5">
      <c r="A472" s="247">
        <v>41607.459733796299</v>
      </c>
      <c r="B472" s="221">
        <v>4</v>
      </c>
      <c r="E472" s="221">
        <v>105</v>
      </c>
    </row>
    <row r="473" spans="1:5">
      <c r="A473" s="247">
        <v>41607.501400462963</v>
      </c>
      <c r="B473" s="221">
        <v>4.5</v>
      </c>
      <c r="E473" s="221">
        <v>104.4</v>
      </c>
    </row>
    <row r="474" spans="1:5">
      <c r="A474" s="247">
        <v>41607.543067129627</v>
      </c>
      <c r="B474" s="221">
        <v>5</v>
      </c>
      <c r="E474" s="221">
        <v>103.2</v>
      </c>
    </row>
    <row r="475" spans="1:5">
      <c r="A475" s="247">
        <v>41607.584733796299</v>
      </c>
      <c r="B475" s="221">
        <v>5.5</v>
      </c>
      <c r="E475" s="221">
        <v>101.4</v>
      </c>
    </row>
    <row r="476" spans="1:5">
      <c r="A476" s="247">
        <v>41607.626400462963</v>
      </c>
      <c r="B476" s="221">
        <v>6</v>
      </c>
      <c r="E476" s="221">
        <v>100.8</v>
      </c>
    </row>
    <row r="477" spans="1:5">
      <c r="A477" s="247">
        <v>41607.668067129627</v>
      </c>
      <c r="B477" s="221">
        <v>6</v>
      </c>
      <c r="E477" s="221">
        <v>100.8</v>
      </c>
    </row>
    <row r="478" spans="1:5">
      <c r="A478" s="247">
        <v>41607.709733796299</v>
      </c>
      <c r="B478" s="221">
        <v>6</v>
      </c>
      <c r="E478" s="221">
        <v>102.6</v>
      </c>
    </row>
    <row r="479" spans="1:5">
      <c r="A479" s="247">
        <v>41607.751400462963</v>
      </c>
      <c r="B479" s="221">
        <v>6</v>
      </c>
      <c r="E479" s="221">
        <v>103.2</v>
      </c>
    </row>
    <row r="480" spans="1:5">
      <c r="A480" s="247">
        <v>41607.793067129627</v>
      </c>
      <c r="B480" s="221">
        <v>6</v>
      </c>
      <c r="E480" s="221">
        <v>103.2</v>
      </c>
    </row>
    <row r="481" spans="1:5">
      <c r="A481" s="247">
        <v>41607.834733796299</v>
      </c>
      <c r="B481" s="221">
        <v>6</v>
      </c>
      <c r="E481" s="221">
        <v>103.2</v>
      </c>
    </row>
    <row r="482" spans="1:5">
      <c r="A482" s="247">
        <v>41607.876400462963</v>
      </c>
      <c r="B482" s="221">
        <v>6</v>
      </c>
      <c r="E482" s="221">
        <v>103.8</v>
      </c>
    </row>
    <row r="483" spans="1:5">
      <c r="A483" s="247">
        <v>41607.918067129627</v>
      </c>
      <c r="B483" s="221">
        <v>6.5</v>
      </c>
      <c r="E483" s="221">
        <v>103.8</v>
      </c>
    </row>
    <row r="484" spans="1:5">
      <c r="A484" s="247">
        <v>41607.959733796299</v>
      </c>
      <c r="B484" s="221">
        <v>6.5</v>
      </c>
      <c r="E484" s="221">
        <v>103.8</v>
      </c>
    </row>
    <row r="485" spans="1:5">
      <c r="A485" s="247">
        <v>41608.001400462963</v>
      </c>
      <c r="B485" s="221">
        <v>6.5</v>
      </c>
      <c r="E485" s="221">
        <v>103.8</v>
      </c>
    </row>
    <row r="486" spans="1:5">
      <c r="A486" s="247">
        <v>41608.043067129627</v>
      </c>
      <c r="B486" s="221">
        <v>6.5</v>
      </c>
      <c r="E486" s="221">
        <v>103.8</v>
      </c>
    </row>
    <row r="487" spans="1:5">
      <c r="A487" s="247">
        <v>41608.084733796299</v>
      </c>
      <c r="B487" s="221">
        <v>6.5</v>
      </c>
      <c r="E487" s="221">
        <v>103.8</v>
      </c>
    </row>
    <row r="488" spans="1:5">
      <c r="A488" s="247">
        <v>41608.126400462963</v>
      </c>
      <c r="B488" s="221">
        <v>6.5</v>
      </c>
      <c r="E488" s="221">
        <v>103.2</v>
      </c>
    </row>
    <row r="489" spans="1:5">
      <c r="A489" s="247">
        <v>41608.168067129627</v>
      </c>
      <c r="B489" s="221">
        <v>6.5</v>
      </c>
      <c r="E489" s="221">
        <v>104.4</v>
      </c>
    </row>
    <row r="490" spans="1:5">
      <c r="A490" s="247">
        <v>41608.209733796299</v>
      </c>
      <c r="B490" s="221">
        <v>7</v>
      </c>
      <c r="E490" s="221">
        <v>103.2</v>
      </c>
    </row>
    <row r="491" spans="1:5">
      <c r="A491" s="247">
        <v>41608.251400462963</v>
      </c>
      <c r="B491" s="221">
        <v>6</v>
      </c>
      <c r="E491" s="221">
        <v>101.4</v>
      </c>
    </row>
    <row r="492" spans="1:5">
      <c r="A492" s="247">
        <v>41608.293067129627</v>
      </c>
      <c r="B492" s="221">
        <v>5</v>
      </c>
      <c r="E492" s="221">
        <v>102</v>
      </c>
    </row>
    <row r="493" spans="1:5">
      <c r="A493" s="247">
        <v>41608.334733796299</v>
      </c>
      <c r="B493" s="221">
        <v>5</v>
      </c>
      <c r="E493" s="221">
        <v>102.6</v>
      </c>
    </row>
    <row r="494" spans="1:5">
      <c r="A494" s="247">
        <v>41608.376400462963</v>
      </c>
      <c r="B494" s="221">
        <v>4</v>
      </c>
      <c r="E494" s="221">
        <v>102</v>
      </c>
    </row>
    <row r="495" spans="1:5">
      <c r="A495" s="247">
        <v>41608.418067129627</v>
      </c>
      <c r="B495" s="221">
        <v>3.5</v>
      </c>
      <c r="E495" s="221">
        <v>103.2</v>
      </c>
    </row>
    <row r="496" spans="1:5">
      <c r="A496" s="247">
        <v>41608.459733796299</v>
      </c>
      <c r="B496" s="221">
        <v>4.5</v>
      </c>
      <c r="E496" s="221">
        <v>100.2</v>
      </c>
    </row>
    <row r="497" spans="1:5">
      <c r="A497" s="247">
        <v>41608.501400462963</v>
      </c>
      <c r="B497" s="221">
        <v>5.5</v>
      </c>
      <c r="E497" s="221">
        <v>98.4</v>
      </c>
    </row>
    <row r="498" spans="1:5">
      <c r="A498" s="247">
        <v>41608.543067129627</v>
      </c>
      <c r="B498" s="221">
        <v>5.5</v>
      </c>
      <c r="E498" s="221">
        <v>97.2</v>
      </c>
    </row>
    <row r="499" spans="1:5">
      <c r="A499" s="247">
        <v>41608.584733796299</v>
      </c>
      <c r="B499" s="221">
        <v>7</v>
      </c>
      <c r="E499" s="221">
        <v>94.8</v>
      </c>
    </row>
    <row r="500" spans="1:5">
      <c r="A500" s="247">
        <v>41608.626400462963</v>
      </c>
      <c r="B500" s="221">
        <v>6.5</v>
      </c>
      <c r="E500" s="221">
        <v>93.6</v>
      </c>
    </row>
    <row r="501" spans="1:5">
      <c r="A501" s="247">
        <v>41608.668067129627</v>
      </c>
      <c r="B501" s="221">
        <v>6</v>
      </c>
      <c r="E501" s="221">
        <v>96.6</v>
      </c>
    </row>
    <row r="502" spans="1:5">
      <c r="A502" s="247">
        <v>41608.709733796299</v>
      </c>
      <c r="B502" s="221">
        <v>6.5</v>
      </c>
      <c r="E502" s="221">
        <v>98.4</v>
      </c>
    </row>
    <row r="503" spans="1:5">
      <c r="A503" s="247">
        <v>41608.751400462963</v>
      </c>
      <c r="B503" s="221">
        <v>5</v>
      </c>
      <c r="E503" s="221">
        <v>103.8</v>
      </c>
    </row>
    <row r="504" spans="1:5">
      <c r="A504" s="247">
        <v>41608.793067129627</v>
      </c>
      <c r="B504" s="221">
        <v>4.5</v>
      </c>
      <c r="E504" s="221">
        <v>105</v>
      </c>
    </row>
    <row r="505" spans="1:5">
      <c r="A505" s="247">
        <v>41608.834733796299</v>
      </c>
      <c r="B505" s="221">
        <v>4</v>
      </c>
      <c r="E505" s="221">
        <v>103.8</v>
      </c>
    </row>
    <row r="506" spans="1:5">
      <c r="A506" s="247">
        <v>41608.876400462963</v>
      </c>
      <c r="B506" s="221">
        <v>3.5</v>
      </c>
      <c r="E506" s="221">
        <v>102.6</v>
      </c>
    </row>
    <row r="507" spans="1:5">
      <c r="A507" s="247">
        <v>41608.918067129627</v>
      </c>
      <c r="B507" s="221">
        <v>3.5</v>
      </c>
      <c r="E507" s="221">
        <v>103.8</v>
      </c>
    </row>
    <row r="508" spans="1:5">
      <c r="A508" s="247">
        <v>41608.959733796299</v>
      </c>
      <c r="B508" s="221">
        <v>3</v>
      </c>
      <c r="E508" s="221">
        <v>105</v>
      </c>
    </row>
    <row r="509" spans="1:5">
      <c r="A509" s="247">
        <v>41609.001400462963</v>
      </c>
      <c r="B509" s="221">
        <v>2.5</v>
      </c>
      <c r="E509" s="221">
        <v>103.8</v>
      </c>
    </row>
    <row r="510" spans="1:5">
      <c r="A510" s="247">
        <v>41609.043067129627</v>
      </c>
      <c r="B510" s="221">
        <v>2.5</v>
      </c>
      <c r="E510" s="221">
        <v>103.8</v>
      </c>
    </row>
    <row r="511" spans="1:5">
      <c r="A511" s="247">
        <v>41609.084733796299</v>
      </c>
      <c r="B511" s="221">
        <v>2</v>
      </c>
      <c r="E511" s="221">
        <v>105.6</v>
      </c>
    </row>
    <row r="512" spans="1:5">
      <c r="A512" s="247">
        <v>41609.126400462963</v>
      </c>
      <c r="B512" s="221">
        <v>3.5</v>
      </c>
      <c r="E512" s="221">
        <v>105.6</v>
      </c>
    </row>
    <row r="513" spans="1:5">
      <c r="A513" s="247">
        <v>41609.168067129627</v>
      </c>
      <c r="B513" s="221">
        <v>3.5</v>
      </c>
      <c r="E513" s="221">
        <v>105</v>
      </c>
    </row>
    <row r="514" spans="1:5">
      <c r="A514" s="247">
        <v>41609.209733796299</v>
      </c>
      <c r="B514" s="221">
        <v>2</v>
      </c>
      <c r="E514" s="221">
        <v>106.2</v>
      </c>
    </row>
    <row r="515" spans="1:5">
      <c r="A515" s="247">
        <v>41609.251400462963</v>
      </c>
      <c r="B515" s="221">
        <v>3</v>
      </c>
      <c r="E515" s="221">
        <v>105.6</v>
      </c>
    </row>
    <row r="516" spans="1:5">
      <c r="A516" s="247">
        <v>41609.293067129627</v>
      </c>
      <c r="B516" s="221">
        <v>3.5</v>
      </c>
      <c r="E516" s="221">
        <v>105</v>
      </c>
    </row>
    <row r="517" spans="1:5">
      <c r="A517" s="247">
        <v>41609.334733796299</v>
      </c>
      <c r="B517" s="221">
        <v>3</v>
      </c>
      <c r="E517" s="221">
        <v>105.6</v>
      </c>
    </row>
    <row r="518" spans="1:5">
      <c r="A518" s="247">
        <v>41609.376400462963</v>
      </c>
      <c r="B518" s="221">
        <v>3</v>
      </c>
      <c r="E518" s="221">
        <v>106.2</v>
      </c>
    </row>
    <row r="519" spans="1:5">
      <c r="A519" s="247">
        <v>41609.418067129627</v>
      </c>
      <c r="B519" s="221">
        <v>3.5</v>
      </c>
      <c r="E519" s="221">
        <v>105.6</v>
      </c>
    </row>
    <row r="520" spans="1:5">
      <c r="A520" s="247">
        <v>41609.459733796299</v>
      </c>
      <c r="B520" s="221">
        <v>4.5</v>
      </c>
      <c r="E520" s="221">
        <v>100.8</v>
      </c>
    </row>
    <row r="521" spans="1:5">
      <c r="A521" s="247">
        <v>41609.501400462963</v>
      </c>
      <c r="B521" s="221">
        <v>6</v>
      </c>
      <c r="E521" s="221">
        <v>96</v>
      </c>
    </row>
    <row r="522" spans="1:5">
      <c r="A522" s="247">
        <v>41609.543067129627</v>
      </c>
      <c r="B522" s="221">
        <v>8.5</v>
      </c>
      <c r="E522" s="221">
        <v>88.2</v>
      </c>
    </row>
    <row r="523" spans="1:5">
      <c r="A523" s="247">
        <v>41609.584733796299</v>
      </c>
      <c r="B523" s="221">
        <v>7.5</v>
      </c>
      <c r="E523" s="221">
        <v>84.6</v>
      </c>
    </row>
    <row r="524" spans="1:5">
      <c r="A524" s="247">
        <v>41609.626400462963</v>
      </c>
      <c r="B524" s="221">
        <v>6.5</v>
      </c>
      <c r="E524" s="221">
        <v>93.6</v>
      </c>
    </row>
    <row r="525" spans="1:5">
      <c r="A525" s="247">
        <v>41609.668067129627</v>
      </c>
      <c r="B525" s="221">
        <v>7</v>
      </c>
      <c r="E525" s="221">
        <v>90</v>
      </c>
    </row>
    <row r="526" spans="1:5">
      <c r="A526" s="247">
        <v>41609.709733796299</v>
      </c>
      <c r="B526" s="221">
        <v>6</v>
      </c>
      <c r="E526" s="221">
        <v>90.6</v>
      </c>
    </row>
    <row r="527" spans="1:5">
      <c r="A527" s="247">
        <v>41609.751400462963</v>
      </c>
      <c r="B527" s="221">
        <v>4.5</v>
      </c>
      <c r="E527" s="221">
        <v>98.4</v>
      </c>
    </row>
    <row r="528" spans="1:5">
      <c r="A528" s="247">
        <v>41609.793067129627</v>
      </c>
      <c r="B528" s="221">
        <v>3.5</v>
      </c>
      <c r="E528" s="221">
        <v>101.4</v>
      </c>
    </row>
    <row r="529" spans="1:5">
      <c r="A529" s="247">
        <v>41609.834733796299</v>
      </c>
      <c r="B529" s="221">
        <v>3</v>
      </c>
      <c r="E529" s="221">
        <v>102.6</v>
      </c>
    </row>
    <row r="530" spans="1:5">
      <c r="A530" s="247">
        <v>41609.876400462963</v>
      </c>
      <c r="B530" s="221">
        <v>4</v>
      </c>
      <c r="E530" s="221">
        <v>102</v>
      </c>
    </row>
    <row r="531" spans="1:5">
      <c r="A531" s="247">
        <v>41609.918067129627</v>
      </c>
      <c r="B531" s="221">
        <v>4</v>
      </c>
      <c r="E531" s="221">
        <v>102</v>
      </c>
    </row>
    <row r="532" spans="1:5">
      <c r="A532" s="247">
        <v>41609.959733796299</v>
      </c>
      <c r="B532" s="221">
        <v>3.5</v>
      </c>
      <c r="E532" s="221">
        <v>103.2</v>
      </c>
    </row>
    <row r="533" spans="1:5">
      <c r="A533" s="247">
        <v>41610.001400462963</v>
      </c>
      <c r="B533" s="221">
        <v>3.5</v>
      </c>
      <c r="E533" s="221">
        <v>102.6</v>
      </c>
    </row>
    <row r="534" spans="1:5">
      <c r="A534" s="247">
        <v>41610.043067129627</v>
      </c>
      <c r="B534" s="221">
        <v>3</v>
      </c>
      <c r="E534" s="221">
        <v>102</v>
      </c>
    </row>
    <row r="535" spans="1:5">
      <c r="A535" s="247">
        <v>41610.084733796299</v>
      </c>
      <c r="B535" s="221">
        <v>3</v>
      </c>
      <c r="E535" s="221">
        <v>101.4</v>
      </c>
    </row>
    <row r="536" spans="1:5">
      <c r="A536" s="247">
        <v>41610.126400462963</v>
      </c>
      <c r="B536" s="221">
        <v>2</v>
      </c>
      <c r="E536" s="221">
        <v>102.6</v>
      </c>
    </row>
    <row r="537" spans="1:5">
      <c r="A537" s="247">
        <v>41610.168067129627</v>
      </c>
      <c r="B537" s="221">
        <v>3.5</v>
      </c>
      <c r="E537" s="221">
        <v>100.2</v>
      </c>
    </row>
    <row r="538" spans="1:5">
      <c r="A538" s="247">
        <v>41610.209733796299</v>
      </c>
      <c r="B538" s="221">
        <v>4</v>
      </c>
      <c r="E538" s="221">
        <v>99</v>
      </c>
    </row>
    <row r="539" spans="1:5">
      <c r="A539" s="247">
        <v>41610.251400462963</v>
      </c>
      <c r="B539" s="221">
        <v>4.5</v>
      </c>
      <c r="E539" s="221">
        <v>96</v>
      </c>
    </row>
    <row r="540" spans="1:5">
      <c r="A540" s="247">
        <v>41610.293067129627</v>
      </c>
      <c r="B540" s="221">
        <v>5</v>
      </c>
      <c r="E540" s="221">
        <v>96</v>
      </c>
    </row>
    <row r="541" spans="1:5">
      <c r="A541" s="247">
        <v>41610.334733796299</v>
      </c>
      <c r="B541" s="221">
        <v>5</v>
      </c>
      <c r="E541" s="221">
        <v>94.2</v>
      </c>
    </row>
    <row r="542" spans="1:5">
      <c r="A542" s="247">
        <v>41610.376400462963</v>
      </c>
      <c r="B542" s="221">
        <v>4.5</v>
      </c>
      <c r="E542" s="221">
        <v>95.4</v>
      </c>
    </row>
    <row r="543" spans="1:5">
      <c r="A543" s="247">
        <v>41610.418067129627</v>
      </c>
      <c r="B543" s="221">
        <v>5</v>
      </c>
      <c r="E543" s="221">
        <v>96</v>
      </c>
    </row>
    <row r="544" spans="1:5">
      <c r="A544" s="247">
        <v>41610.459733796299</v>
      </c>
      <c r="B544" s="221">
        <v>5.5</v>
      </c>
      <c r="E544" s="221">
        <v>93.6</v>
      </c>
    </row>
    <row r="545" spans="1:5">
      <c r="A545" s="247">
        <v>41610.501400462963</v>
      </c>
      <c r="B545" s="221">
        <v>6.5</v>
      </c>
      <c r="E545" s="221">
        <v>88.8</v>
      </c>
    </row>
    <row r="546" spans="1:5">
      <c r="A546" s="247">
        <v>41610.543067129627</v>
      </c>
      <c r="B546" s="221">
        <v>8</v>
      </c>
      <c r="E546" s="221">
        <v>82.8</v>
      </c>
    </row>
    <row r="547" spans="1:5">
      <c r="A547" s="247">
        <v>41610.584733796299</v>
      </c>
      <c r="B547" s="221">
        <v>7</v>
      </c>
      <c r="E547" s="221">
        <v>83.4</v>
      </c>
    </row>
    <row r="548" spans="1:5">
      <c r="A548" s="247">
        <v>41610.626400462963</v>
      </c>
      <c r="B548" s="221">
        <v>7</v>
      </c>
      <c r="E548" s="221">
        <v>85.8</v>
      </c>
    </row>
    <row r="549" spans="1:5">
      <c r="A549" s="247">
        <v>41610.668067129627</v>
      </c>
      <c r="B549" s="221">
        <v>6.5</v>
      </c>
      <c r="E549" s="221">
        <v>86.4</v>
      </c>
    </row>
    <row r="550" spans="1:5">
      <c r="A550" s="247">
        <v>41610.709733796299</v>
      </c>
      <c r="B550" s="221">
        <v>6</v>
      </c>
      <c r="E550" s="221">
        <v>88.2</v>
      </c>
    </row>
    <row r="551" spans="1:5">
      <c r="A551" s="247">
        <v>41610.751400462963</v>
      </c>
      <c r="B551" s="221">
        <v>6</v>
      </c>
      <c r="E551" s="221">
        <v>90</v>
      </c>
    </row>
    <row r="552" spans="1:5">
      <c r="A552" s="247">
        <v>41610.793067129627</v>
      </c>
      <c r="B552" s="221">
        <v>5.5</v>
      </c>
      <c r="E552" s="221">
        <v>91.2</v>
      </c>
    </row>
    <row r="553" spans="1:5">
      <c r="A553" s="247">
        <v>41610.834733796299</v>
      </c>
      <c r="B553" s="221">
        <v>4</v>
      </c>
      <c r="E553" s="221">
        <v>97.2</v>
      </c>
    </row>
    <row r="554" spans="1:5">
      <c r="A554" s="247">
        <v>41610.876400462963</v>
      </c>
      <c r="B554" s="221">
        <v>2</v>
      </c>
      <c r="E554" s="221">
        <v>101.4</v>
      </c>
    </row>
    <row r="555" spans="1:5">
      <c r="A555" s="247">
        <v>41610.918067129627</v>
      </c>
      <c r="B555" s="221">
        <v>1.5</v>
      </c>
      <c r="E555" s="221">
        <v>101.4</v>
      </c>
    </row>
    <row r="556" spans="1:5">
      <c r="A556" s="247">
        <v>41610.959733796299</v>
      </c>
      <c r="B556" s="221">
        <v>0</v>
      </c>
      <c r="E556" s="221">
        <v>105</v>
      </c>
    </row>
    <row r="557" spans="1:5">
      <c r="A557" s="247">
        <v>41611.001400462963</v>
      </c>
      <c r="B557" s="221">
        <v>1.5</v>
      </c>
      <c r="E557" s="221">
        <v>103.2</v>
      </c>
    </row>
    <row r="558" spans="1:5">
      <c r="A558" s="247">
        <v>41611.043067129627</v>
      </c>
      <c r="B558" s="221">
        <v>0</v>
      </c>
      <c r="E558" s="221">
        <v>105</v>
      </c>
    </row>
    <row r="559" spans="1:5">
      <c r="A559" s="247">
        <v>41611.084733796299</v>
      </c>
      <c r="B559" s="221">
        <v>0</v>
      </c>
      <c r="E559" s="221">
        <v>105.6</v>
      </c>
    </row>
    <row r="560" spans="1:5">
      <c r="A560" s="247">
        <v>41611.126400462963</v>
      </c>
      <c r="B560" s="221">
        <v>0</v>
      </c>
      <c r="E560" s="221">
        <v>105.6</v>
      </c>
    </row>
    <row r="561" spans="1:5">
      <c r="A561" s="247">
        <v>41611.168067129627</v>
      </c>
      <c r="B561" s="221">
        <v>0</v>
      </c>
      <c r="E561" s="221">
        <v>105.6</v>
      </c>
    </row>
    <row r="562" spans="1:5">
      <c r="A562" s="247">
        <v>41611.209733796299</v>
      </c>
      <c r="B562" s="221">
        <v>-0.5</v>
      </c>
      <c r="E562" s="221">
        <v>106.2</v>
      </c>
    </row>
    <row r="563" spans="1:5">
      <c r="A563" s="247">
        <v>41611.251400462963</v>
      </c>
      <c r="B563" s="221">
        <v>-1</v>
      </c>
      <c r="E563" s="221">
        <v>106.8</v>
      </c>
    </row>
    <row r="564" spans="1:5">
      <c r="A564" s="247">
        <v>41611.293067129627</v>
      </c>
      <c r="B564" s="221">
        <v>-1.5</v>
      </c>
      <c r="E564" s="221">
        <v>106.8</v>
      </c>
    </row>
    <row r="565" spans="1:5">
      <c r="A565" s="247">
        <v>41611.334733796299</v>
      </c>
      <c r="B565" s="221">
        <v>-2</v>
      </c>
      <c r="E565" s="221">
        <v>106.8</v>
      </c>
    </row>
    <row r="566" spans="1:5">
      <c r="A566" s="247">
        <v>41611.376400462963</v>
      </c>
      <c r="B566" s="221">
        <v>-2.5</v>
      </c>
      <c r="E566" s="221">
        <v>106.8</v>
      </c>
    </row>
    <row r="567" spans="1:5">
      <c r="A567" s="247">
        <v>41611.418067129627</v>
      </c>
      <c r="B567" s="221">
        <v>-1.5</v>
      </c>
      <c r="E567" s="221">
        <v>106.2</v>
      </c>
    </row>
    <row r="568" spans="1:5">
      <c r="A568" s="247">
        <v>41611.459733796299</v>
      </c>
      <c r="B568" s="221">
        <v>-0.5</v>
      </c>
      <c r="E568" s="221">
        <v>105</v>
      </c>
    </row>
    <row r="569" spans="1:5">
      <c r="A569" s="247">
        <v>41611.501400462963</v>
      </c>
      <c r="B569" s="221">
        <v>7</v>
      </c>
      <c r="E569" s="221">
        <v>80.400000000000006</v>
      </c>
    </row>
    <row r="570" spans="1:5">
      <c r="A570" s="247">
        <v>41611.543067129627</v>
      </c>
      <c r="B570" s="221">
        <v>9.5</v>
      </c>
      <c r="E570" s="221">
        <v>67.2</v>
      </c>
    </row>
    <row r="571" spans="1:5">
      <c r="A571" s="247">
        <v>41611.584733796299</v>
      </c>
      <c r="B571" s="221">
        <v>11.5</v>
      </c>
      <c r="E571" s="221">
        <v>61.2</v>
      </c>
    </row>
    <row r="572" spans="1:5">
      <c r="A572" s="247">
        <v>41611.626400462963</v>
      </c>
      <c r="B572" s="221">
        <v>13.5</v>
      </c>
      <c r="E572" s="221">
        <v>58.2</v>
      </c>
    </row>
    <row r="573" spans="1:5">
      <c r="A573" s="247">
        <v>41611.668067129627</v>
      </c>
      <c r="B573" s="221">
        <v>15</v>
      </c>
      <c r="E573" s="221">
        <v>51.6</v>
      </c>
    </row>
    <row r="574" spans="1:5">
      <c r="A574" s="247">
        <v>41611.709733796299</v>
      </c>
      <c r="B574" s="221">
        <v>11</v>
      </c>
      <c r="E574" s="221">
        <v>65.400000000000006</v>
      </c>
    </row>
    <row r="575" spans="1:5">
      <c r="A575" s="247">
        <v>41611.751400462963</v>
      </c>
      <c r="B575" s="221">
        <v>4.5</v>
      </c>
      <c r="E575" s="221">
        <v>90</v>
      </c>
    </row>
    <row r="576" spans="1:5">
      <c r="A576" s="247">
        <v>41611.793067129627</v>
      </c>
      <c r="B576" s="221">
        <v>3</v>
      </c>
      <c r="E576" s="221">
        <v>100.2</v>
      </c>
    </row>
    <row r="577" spans="1:5">
      <c r="A577" s="247">
        <v>41611.834733796299</v>
      </c>
      <c r="B577" s="221">
        <v>2</v>
      </c>
      <c r="E577" s="221">
        <v>100.8</v>
      </c>
    </row>
    <row r="578" spans="1:5">
      <c r="A578" s="247">
        <v>41611.876400462963</v>
      </c>
      <c r="B578" s="221">
        <v>1.5</v>
      </c>
      <c r="E578" s="221">
        <v>101.4</v>
      </c>
    </row>
    <row r="579" spans="1:5">
      <c r="A579" s="247">
        <v>41611.918067129627</v>
      </c>
      <c r="B579" s="221">
        <v>0</v>
      </c>
      <c r="E579" s="221">
        <v>105.6</v>
      </c>
    </row>
    <row r="580" spans="1:5">
      <c r="A580" s="247">
        <v>41611.959733796299</v>
      </c>
      <c r="B580" s="221">
        <v>-0.5</v>
      </c>
      <c r="E580" s="221">
        <v>105.6</v>
      </c>
    </row>
    <row r="581" spans="1:5">
      <c r="A581" s="247">
        <v>41612.001400462963</v>
      </c>
      <c r="B581" s="221">
        <v>-0.5</v>
      </c>
      <c r="E581" s="221">
        <v>105.6</v>
      </c>
    </row>
    <row r="582" spans="1:5">
      <c r="A582" s="247">
        <v>41612.043067129627</v>
      </c>
      <c r="B582" s="221">
        <v>-1</v>
      </c>
      <c r="E582" s="221">
        <v>106.2</v>
      </c>
    </row>
    <row r="583" spans="1:5">
      <c r="A583" s="247">
        <v>41612.084733796299</v>
      </c>
      <c r="B583" s="221">
        <v>-1</v>
      </c>
      <c r="E583" s="221">
        <v>106.2</v>
      </c>
    </row>
    <row r="584" spans="1:5">
      <c r="A584" s="247">
        <v>41612.126400462963</v>
      </c>
      <c r="B584" s="221">
        <v>-0.5</v>
      </c>
      <c r="E584" s="221">
        <v>106.8</v>
      </c>
    </row>
    <row r="585" spans="1:5">
      <c r="A585" s="247">
        <v>41612.168067129627</v>
      </c>
      <c r="B585" s="221">
        <v>-1.5</v>
      </c>
      <c r="E585" s="221">
        <v>108.6</v>
      </c>
    </row>
    <row r="586" spans="1:5">
      <c r="A586" s="247">
        <v>41612.209733796299</v>
      </c>
      <c r="B586" s="221">
        <v>-1.5</v>
      </c>
      <c r="E586" s="221">
        <v>106.8</v>
      </c>
    </row>
    <row r="587" spans="1:5">
      <c r="A587" s="247">
        <v>41612.251400462963</v>
      </c>
      <c r="B587" s="221">
        <v>-1.5</v>
      </c>
      <c r="E587" s="221">
        <v>106.8</v>
      </c>
    </row>
    <row r="588" spans="1:5">
      <c r="A588" s="247">
        <v>41612.293067129627</v>
      </c>
      <c r="B588" s="221">
        <v>-1.5</v>
      </c>
      <c r="E588" s="221">
        <v>106.8</v>
      </c>
    </row>
    <row r="589" spans="1:5">
      <c r="A589" s="247">
        <v>41612.334733796299</v>
      </c>
      <c r="B589" s="221">
        <v>-1</v>
      </c>
      <c r="E589" s="221">
        <v>106.8</v>
      </c>
    </row>
    <row r="590" spans="1:5">
      <c r="A590" s="247">
        <v>41612.376400462963</v>
      </c>
      <c r="B590" s="221">
        <v>-1.5</v>
      </c>
      <c r="E590" s="221">
        <v>107.4</v>
      </c>
    </row>
    <row r="591" spans="1:5">
      <c r="A591" s="247">
        <v>41612.418067129627</v>
      </c>
      <c r="B591" s="221">
        <v>-2.5</v>
      </c>
      <c r="E591" s="221">
        <v>106.8</v>
      </c>
    </row>
    <row r="592" spans="1:5">
      <c r="A592" s="247">
        <v>41612.459733796299</v>
      </c>
      <c r="B592" s="221">
        <v>-0.5</v>
      </c>
      <c r="E592" s="221">
        <v>106.2</v>
      </c>
    </row>
    <row r="593" spans="1:5">
      <c r="A593" s="247">
        <v>41612.501400462963</v>
      </c>
      <c r="B593" s="221">
        <v>1</v>
      </c>
      <c r="E593" s="221">
        <v>104.4</v>
      </c>
    </row>
    <row r="594" spans="1:5">
      <c r="A594" s="247">
        <v>41612.543067129627</v>
      </c>
      <c r="B594" s="221">
        <v>3.5</v>
      </c>
      <c r="E594" s="221">
        <v>94.2</v>
      </c>
    </row>
    <row r="595" spans="1:5">
      <c r="A595" s="247">
        <v>41612.584733796299</v>
      </c>
      <c r="B595" s="221">
        <v>4</v>
      </c>
      <c r="E595" s="221">
        <v>96.6</v>
      </c>
    </row>
    <row r="596" spans="1:5">
      <c r="A596" s="247">
        <v>41612.626400462963</v>
      </c>
      <c r="B596" s="221">
        <v>5.5</v>
      </c>
      <c r="E596" s="221">
        <v>96</v>
      </c>
    </row>
    <row r="597" spans="1:5">
      <c r="A597" s="247">
        <v>41612.668067129627</v>
      </c>
      <c r="B597" s="221">
        <v>9</v>
      </c>
      <c r="E597" s="221">
        <v>79.2</v>
      </c>
    </row>
    <row r="598" spans="1:5">
      <c r="A598" s="247">
        <v>41612.709733796299</v>
      </c>
      <c r="B598" s="221">
        <v>7</v>
      </c>
      <c r="E598" s="221">
        <v>88.8</v>
      </c>
    </row>
    <row r="599" spans="1:5">
      <c r="A599" s="247">
        <v>41612.751400462963</v>
      </c>
      <c r="B599" s="221">
        <v>3</v>
      </c>
      <c r="E599" s="221">
        <v>100.2</v>
      </c>
    </row>
    <row r="600" spans="1:5">
      <c r="A600" s="247">
        <v>41612.793067129627</v>
      </c>
      <c r="B600" s="221">
        <v>3.5</v>
      </c>
      <c r="E600" s="221">
        <v>103.2</v>
      </c>
    </row>
    <row r="601" spans="1:5">
      <c r="A601" s="247">
        <v>41612.834733796299</v>
      </c>
      <c r="B601" s="221">
        <v>3.5</v>
      </c>
      <c r="E601" s="221">
        <v>103.8</v>
      </c>
    </row>
    <row r="602" spans="1:5">
      <c r="A602" s="247">
        <v>41612.876400462963</v>
      </c>
      <c r="B602" s="221">
        <v>3.5</v>
      </c>
      <c r="E602" s="221">
        <v>103.2</v>
      </c>
    </row>
    <row r="603" spans="1:5">
      <c r="A603" s="247">
        <v>41612.918067129627</v>
      </c>
      <c r="B603" s="221">
        <v>1.5</v>
      </c>
      <c r="E603" s="221">
        <v>103.8</v>
      </c>
    </row>
    <row r="604" spans="1:5">
      <c r="A604" s="247">
        <v>41612.959733796299</v>
      </c>
      <c r="B604" s="221">
        <v>1.5</v>
      </c>
      <c r="E604" s="221">
        <v>105.6</v>
      </c>
    </row>
    <row r="605" spans="1:5">
      <c r="A605" s="247">
        <v>41613.001400462963</v>
      </c>
      <c r="B605" s="221">
        <v>2</v>
      </c>
      <c r="E605" s="221">
        <v>105</v>
      </c>
    </row>
    <row r="606" spans="1:5">
      <c r="A606" s="247">
        <v>41613.043067129627</v>
      </c>
      <c r="B606" s="221">
        <v>2.5</v>
      </c>
      <c r="E606" s="221">
        <v>105.6</v>
      </c>
    </row>
    <row r="607" spans="1:5">
      <c r="A607" s="247">
        <v>41613.084733796299</v>
      </c>
      <c r="B607" s="221">
        <v>3</v>
      </c>
      <c r="E607" s="221">
        <v>103.8</v>
      </c>
    </row>
    <row r="608" spans="1:5">
      <c r="A608" s="247">
        <v>41613.126400462963</v>
      </c>
      <c r="B608" s="221">
        <v>2.5</v>
      </c>
      <c r="E608" s="221">
        <v>105</v>
      </c>
    </row>
    <row r="609" spans="1:5">
      <c r="A609" s="247">
        <v>41613.168067129627</v>
      </c>
      <c r="B609" s="221">
        <v>3</v>
      </c>
      <c r="E609" s="221">
        <v>105.6</v>
      </c>
    </row>
    <row r="610" spans="1:5">
      <c r="A610" s="247">
        <v>41613.209733796299</v>
      </c>
      <c r="B610" s="221">
        <v>3</v>
      </c>
      <c r="E610" s="221">
        <v>104.4</v>
      </c>
    </row>
    <row r="611" spans="1:5">
      <c r="A611" s="247">
        <v>41613.251400462963</v>
      </c>
      <c r="B611" s="221">
        <v>3</v>
      </c>
      <c r="E611" s="221">
        <v>105</v>
      </c>
    </row>
    <row r="612" spans="1:5">
      <c r="A612" s="247">
        <v>41613.293067129627</v>
      </c>
      <c r="B612" s="221">
        <v>3</v>
      </c>
      <c r="E612" s="221">
        <v>105</v>
      </c>
    </row>
    <row r="613" spans="1:5">
      <c r="A613" s="247">
        <v>41613.334733796299</v>
      </c>
      <c r="B613" s="221">
        <v>3</v>
      </c>
      <c r="E613" s="221">
        <v>104.4</v>
      </c>
    </row>
    <row r="614" spans="1:5">
      <c r="A614" s="247">
        <v>41613.376400462963</v>
      </c>
      <c r="B614" s="221">
        <v>3</v>
      </c>
      <c r="E614" s="221">
        <v>105.6</v>
      </c>
    </row>
    <row r="615" spans="1:5">
      <c r="A615" s="247">
        <v>41613.418067129627</v>
      </c>
      <c r="B615" s="221">
        <v>3.5</v>
      </c>
      <c r="E615" s="221">
        <v>103.2</v>
      </c>
    </row>
    <row r="616" spans="1:5">
      <c r="A616" s="247">
        <v>41613.459733796299</v>
      </c>
      <c r="B616" s="221">
        <v>4</v>
      </c>
      <c r="E616" s="221">
        <v>102</v>
      </c>
    </row>
    <row r="617" spans="1:5">
      <c r="A617" s="247">
        <v>41613.501400462963</v>
      </c>
      <c r="B617" s="221">
        <v>5</v>
      </c>
      <c r="E617" s="221">
        <v>98.4</v>
      </c>
    </row>
    <row r="618" spans="1:5">
      <c r="A618" s="247">
        <v>41613.543067129627</v>
      </c>
      <c r="B618" s="221">
        <v>6</v>
      </c>
      <c r="E618" s="221">
        <v>94.8</v>
      </c>
    </row>
    <row r="619" spans="1:5">
      <c r="A619" s="247">
        <v>41613.584733796299</v>
      </c>
      <c r="B619" s="221">
        <v>6.5</v>
      </c>
      <c r="E619" s="221">
        <v>94.2</v>
      </c>
    </row>
    <row r="620" spans="1:5">
      <c r="A620" s="247">
        <v>41613.626400462963</v>
      </c>
      <c r="B620" s="221">
        <v>6.5</v>
      </c>
      <c r="E620" s="221">
        <v>91.8</v>
      </c>
    </row>
    <row r="621" spans="1:5">
      <c r="A621" s="247">
        <v>41613.668067129627</v>
      </c>
      <c r="B621" s="221">
        <v>7</v>
      </c>
      <c r="E621" s="221">
        <v>88.8</v>
      </c>
    </row>
    <row r="622" spans="1:5">
      <c r="A622" s="247">
        <v>41613.709733796299</v>
      </c>
      <c r="B622" s="221">
        <v>7</v>
      </c>
      <c r="E622" s="221">
        <v>94.2</v>
      </c>
    </row>
    <row r="623" spans="1:5">
      <c r="A623" s="247">
        <v>41613.751400462963</v>
      </c>
      <c r="B623" s="221">
        <v>6.5</v>
      </c>
      <c r="E623" s="221">
        <v>99.6</v>
      </c>
    </row>
    <row r="624" spans="1:5">
      <c r="A624" s="247">
        <v>41613.793067129627</v>
      </c>
      <c r="B624" s="221">
        <v>5</v>
      </c>
      <c r="E624" s="221">
        <v>102</v>
      </c>
    </row>
    <row r="625" spans="1:5">
      <c r="A625" s="247">
        <v>41613.834733796299</v>
      </c>
      <c r="B625" s="221">
        <v>5.5</v>
      </c>
      <c r="E625" s="221">
        <v>100.8</v>
      </c>
    </row>
    <row r="626" spans="1:5">
      <c r="A626" s="247">
        <v>41613.876400462963</v>
      </c>
      <c r="B626" s="221">
        <v>3.5</v>
      </c>
      <c r="E626" s="221">
        <v>103.8</v>
      </c>
    </row>
    <row r="627" spans="1:5">
      <c r="A627" s="247">
        <v>41613.918067129627</v>
      </c>
      <c r="B627" s="221">
        <v>3.5</v>
      </c>
      <c r="E627" s="221">
        <v>104.4</v>
      </c>
    </row>
    <row r="628" spans="1:5">
      <c r="A628" s="247">
        <v>41613.959733796299</v>
      </c>
      <c r="B628" s="221">
        <v>4</v>
      </c>
      <c r="E628" s="221">
        <v>102</v>
      </c>
    </row>
    <row r="629" spans="1:5">
      <c r="A629" s="247">
        <v>41614.001400462963</v>
      </c>
      <c r="B629" s="221">
        <v>4</v>
      </c>
      <c r="E629" s="221">
        <v>99</v>
      </c>
    </row>
    <row r="630" spans="1:5">
      <c r="A630" s="247">
        <v>41614.043067129627</v>
      </c>
      <c r="B630" s="221">
        <v>4.5</v>
      </c>
      <c r="E630" s="221">
        <v>96.6</v>
      </c>
    </row>
    <row r="631" spans="1:5">
      <c r="A631" s="247">
        <v>41614.084733796299</v>
      </c>
      <c r="B631" s="221">
        <v>4.5</v>
      </c>
      <c r="E631" s="221">
        <v>97.2</v>
      </c>
    </row>
    <row r="632" spans="1:5">
      <c r="A632" s="247">
        <v>41614.126400462963</v>
      </c>
      <c r="B632" s="221">
        <v>4.5</v>
      </c>
      <c r="E632" s="221">
        <v>98.4</v>
      </c>
    </row>
    <row r="633" spans="1:5">
      <c r="A633" s="247">
        <v>41614.168067129627</v>
      </c>
      <c r="B633" s="221">
        <v>4.5</v>
      </c>
      <c r="E633" s="221">
        <v>98.4</v>
      </c>
    </row>
    <row r="634" spans="1:5">
      <c r="A634" s="247">
        <v>41614.209733796299</v>
      </c>
      <c r="B634" s="221">
        <v>4.5</v>
      </c>
      <c r="E634" s="221">
        <v>99</v>
      </c>
    </row>
    <row r="635" spans="1:5">
      <c r="A635" s="247">
        <v>41614.251400462963</v>
      </c>
      <c r="B635" s="221">
        <v>5</v>
      </c>
      <c r="E635" s="221">
        <v>99</v>
      </c>
    </row>
    <row r="636" spans="1:5">
      <c r="A636" s="247">
        <v>41614.293067129627</v>
      </c>
      <c r="B636" s="221">
        <v>4.5</v>
      </c>
      <c r="E636" s="221">
        <v>102</v>
      </c>
    </row>
    <row r="637" spans="1:5">
      <c r="A637" s="247">
        <v>41614.334733796299</v>
      </c>
      <c r="B637" s="221">
        <v>5</v>
      </c>
      <c r="E637" s="221">
        <v>104.4</v>
      </c>
    </row>
    <row r="638" spans="1:5">
      <c r="A638" s="247">
        <v>41614.376400462963</v>
      </c>
      <c r="B638" s="221">
        <v>5</v>
      </c>
      <c r="E638" s="221">
        <v>103.8</v>
      </c>
    </row>
    <row r="639" spans="1:5">
      <c r="A639" s="247">
        <v>41614.418067129627</v>
      </c>
      <c r="B639" s="221">
        <v>5.5</v>
      </c>
      <c r="E639" s="221">
        <v>103.8</v>
      </c>
    </row>
    <row r="640" spans="1:5">
      <c r="A640" s="247">
        <v>41614.459733796299</v>
      </c>
      <c r="B640" s="221">
        <v>6</v>
      </c>
      <c r="E640" s="221">
        <v>103.2</v>
      </c>
    </row>
    <row r="641" spans="1:5">
      <c r="A641" s="247">
        <v>41614.501400462963</v>
      </c>
      <c r="B641" s="221">
        <v>7.5</v>
      </c>
      <c r="E641" s="221">
        <v>101.4</v>
      </c>
    </row>
    <row r="642" spans="1:5">
      <c r="A642" s="247">
        <v>41614.543067129627</v>
      </c>
      <c r="B642" s="221">
        <v>7.5</v>
      </c>
      <c r="E642" s="221">
        <v>94.2</v>
      </c>
    </row>
    <row r="643" spans="1:5">
      <c r="A643" s="247">
        <v>41614.584733796299</v>
      </c>
      <c r="B643" s="221">
        <v>8.5</v>
      </c>
      <c r="E643" s="221">
        <v>90.6</v>
      </c>
    </row>
    <row r="644" spans="1:5">
      <c r="A644" s="247">
        <v>41614.626400462963</v>
      </c>
      <c r="B644" s="221">
        <v>8.5</v>
      </c>
      <c r="E644" s="221">
        <v>91.8</v>
      </c>
    </row>
    <row r="645" spans="1:5">
      <c r="A645" s="247">
        <v>41614.668067129627</v>
      </c>
      <c r="B645" s="221">
        <v>9</v>
      </c>
      <c r="E645" s="221">
        <v>88.2</v>
      </c>
    </row>
    <row r="646" spans="1:5">
      <c r="A646" s="247">
        <v>41614.709733796299</v>
      </c>
      <c r="B646" s="221">
        <v>6.5</v>
      </c>
      <c r="E646" s="221">
        <v>94.2</v>
      </c>
    </row>
    <row r="647" spans="1:5">
      <c r="A647" s="247">
        <v>41614.751400462963</v>
      </c>
      <c r="B647" s="221">
        <v>6</v>
      </c>
      <c r="E647" s="221">
        <v>96.6</v>
      </c>
    </row>
    <row r="648" spans="1:5">
      <c r="A648" s="247">
        <v>41614.793067129627</v>
      </c>
      <c r="B648" s="221">
        <v>4</v>
      </c>
      <c r="E648" s="221">
        <v>103.2</v>
      </c>
    </row>
    <row r="649" spans="1:5">
      <c r="A649" s="247">
        <v>41614.834733796299</v>
      </c>
      <c r="B649" s="221">
        <v>5</v>
      </c>
      <c r="E649" s="221">
        <v>101.4</v>
      </c>
    </row>
    <row r="650" spans="1:5">
      <c r="A650" s="247">
        <v>41614.876400462963</v>
      </c>
      <c r="B650" s="221">
        <v>5</v>
      </c>
      <c r="E650" s="221">
        <v>100.8</v>
      </c>
    </row>
    <row r="651" spans="1:5">
      <c r="A651" s="247">
        <v>41614.918067129627</v>
      </c>
      <c r="B651" s="221">
        <v>2</v>
      </c>
      <c r="E651" s="221">
        <v>105</v>
      </c>
    </row>
    <row r="652" spans="1:5">
      <c r="A652" s="247">
        <v>41614.959733796299</v>
      </c>
      <c r="B652" s="221">
        <v>0.5</v>
      </c>
      <c r="E652" s="221">
        <v>105.6</v>
      </c>
    </row>
    <row r="653" spans="1:5">
      <c r="A653" s="247">
        <v>41615.001400462963</v>
      </c>
      <c r="B653" s="221">
        <v>0.5</v>
      </c>
      <c r="E653" s="221">
        <v>106.2</v>
      </c>
    </row>
    <row r="654" spans="1:5">
      <c r="A654" s="247">
        <v>41615.043067129627</v>
      </c>
      <c r="B654" s="221">
        <v>0</v>
      </c>
      <c r="E654" s="221">
        <v>105.6</v>
      </c>
    </row>
    <row r="655" spans="1:5">
      <c r="A655" s="247">
        <v>41615.084733796299</v>
      </c>
      <c r="B655" s="221">
        <v>0</v>
      </c>
      <c r="E655" s="221">
        <v>106.2</v>
      </c>
    </row>
    <row r="656" spans="1:5">
      <c r="A656" s="247">
        <v>41615.126400462963</v>
      </c>
      <c r="B656" s="221">
        <v>0</v>
      </c>
      <c r="E656" s="221">
        <v>106.2</v>
      </c>
    </row>
    <row r="657" spans="1:5">
      <c r="A657" s="247">
        <v>41615.168067129627</v>
      </c>
      <c r="B657" s="221">
        <v>0</v>
      </c>
      <c r="E657" s="221">
        <v>106.8</v>
      </c>
    </row>
    <row r="658" spans="1:5">
      <c r="A658" s="247">
        <v>41615.209733796299</v>
      </c>
      <c r="B658" s="221">
        <v>-0.5</v>
      </c>
      <c r="E658" s="221">
        <v>106.8</v>
      </c>
    </row>
    <row r="659" spans="1:5">
      <c r="A659" s="247">
        <v>41615.251400462963</v>
      </c>
      <c r="B659" s="221">
        <v>-1.5</v>
      </c>
      <c r="E659" s="221">
        <v>106.8</v>
      </c>
    </row>
    <row r="660" spans="1:5">
      <c r="A660" s="247">
        <v>41615.293067129627</v>
      </c>
      <c r="B660" s="221">
        <v>0</v>
      </c>
      <c r="E660" s="221">
        <v>106.8</v>
      </c>
    </row>
    <row r="661" spans="1:5">
      <c r="A661" s="247">
        <v>41615.334733796299</v>
      </c>
      <c r="B661" s="221">
        <v>-0.5</v>
      </c>
      <c r="E661" s="221">
        <v>106.8</v>
      </c>
    </row>
    <row r="662" spans="1:5">
      <c r="A662" s="247">
        <v>41615.376400462963</v>
      </c>
      <c r="B662" s="221">
        <v>-1.5</v>
      </c>
      <c r="E662" s="221">
        <v>106.8</v>
      </c>
    </row>
    <row r="663" spans="1:5">
      <c r="A663" s="247">
        <v>41615.418067129627</v>
      </c>
      <c r="B663" s="221">
        <v>-1</v>
      </c>
      <c r="E663" s="221">
        <v>106.8</v>
      </c>
    </row>
    <row r="664" spans="1:5">
      <c r="A664" s="247">
        <v>41615.459733796299</v>
      </c>
      <c r="B664" s="221">
        <v>1</v>
      </c>
      <c r="E664" s="221">
        <v>106.8</v>
      </c>
    </row>
    <row r="665" spans="1:5">
      <c r="A665" s="247">
        <v>41615.501400462963</v>
      </c>
      <c r="B665" s="221">
        <v>13.5</v>
      </c>
      <c r="E665" s="221">
        <v>59.4</v>
      </c>
    </row>
    <row r="666" spans="1:5">
      <c r="A666" s="247">
        <v>41615.543067129627</v>
      </c>
      <c r="B666" s="221">
        <v>15.5</v>
      </c>
      <c r="E666" s="221">
        <v>46.8</v>
      </c>
    </row>
    <row r="667" spans="1:5">
      <c r="A667" s="247">
        <v>41615.584733796299</v>
      </c>
      <c r="B667" s="221">
        <v>11.5</v>
      </c>
      <c r="E667" s="221">
        <v>61.8</v>
      </c>
    </row>
    <row r="668" spans="1:5">
      <c r="A668" s="247">
        <v>41615.626400462963</v>
      </c>
      <c r="B668" s="221">
        <v>17</v>
      </c>
      <c r="E668" s="221">
        <v>48.6</v>
      </c>
    </row>
    <row r="669" spans="1:5">
      <c r="A669" s="247">
        <v>41615.668067129627</v>
      </c>
      <c r="B669" s="221">
        <v>14</v>
      </c>
      <c r="E669" s="221">
        <v>51</v>
      </c>
    </row>
    <row r="670" spans="1:5">
      <c r="A670" s="247">
        <v>41615.709733796299</v>
      </c>
      <c r="B670" s="221">
        <v>12</v>
      </c>
      <c r="E670" s="221">
        <v>55.2</v>
      </c>
    </row>
    <row r="671" spans="1:5">
      <c r="A671" s="247">
        <v>41615.751400462963</v>
      </c>
      <c r="B671" s="221">
        <v>5.5</v>
      </c>
      <c r="E671" s="221">
        <v>78.599999999999994</v>
      </c>
    </row>
    <row r="672" spans="1:5">
      <c r="A672" s="247">
        <v>41615.793067129627</v>
      </c>
      <c r="B672" s="221">
        <v>3</v>
      </c>
      <c r="E672" s="221">
        <v>91.8</v>
      </c>
    </row>
    <row r="673" spans="1:5">
      <c r="A673" s="247">
        <v>41615.834733796299</v>
      </c>
      <c r="B673" s="221">
        <v>2</v>
      </c>
      <c r="E673" s="221">
        <v>94.2</v>
      </c>
    </row>
    <row r="674" spans="1:5">
      <c r="A674" s="247">
        <v>41615.876400462963</v>
      </c>
      <c r="B674" s="221">
        <v>0.5</v>
      </c>
      <c r="E674" s="221">
        <v>99.6</v>
      </c>
    </row>
    <row r="675" spans="1:5">
      <c r="A675" s="247">
        <v>41615.918067129627</v>
      </c>
      <c r="B675" s="221">
        <v>1</v>
      </c>
      <c r="E675" s="221">
        <v>100.2</v>
      </c>
    </row>
    <row r="676" spans="1:5">
      <c r="A676" s="247">
        <v>41615.959733796299</v>
      </c>
      <c r="B676" s="221">
        <v>0.5</v>
      </c>
      <c r="E676" s="221">
        <v>99.6</v>
      </c>
    </row>
    <row r="677" spans="1:5">
      <c r="A677" s="247">
        <v>41616.001400462963</v>
      </c>
      <c r="B677" s="221">
        <v>-0.5</v>
      </c>
      <c r="E677" s="221">
        <v>102</v>
      </c>
    </row>
    <row r="678" spans="1:5">
      <c r="A678" s="247">
        <v>41616.043067129627</v>
      </c>
      <c r="B678" s="221">
        <v>-1</v>
      </c>
      <c r="E678" s="221">
        <v>103.8</v>
      </c>
    </row>
    <row r="679" spans="1:5">
      <c r="A679" s="247">
        <v>41616.084733796299</v>
      </c>
      <c r="B679" s="221">
        <v>0.5</v>
      </c>
      <c r="E679" s="221">
        <v>100.8</v>
      </c>
    </row>
    <row r="680" spans="1:5">
      <c r="A680" s="247">
        <v>41616.126400462963</v>
      </c>
      <c r="B680" s="221">
        <v>0</v>
      </c>
      <c r="E680" s="221">
        <v>102.6</v>
      </c>
    </row>
    <row r="681" spans="1:5">
      <c r="A681" s="247">
        <v>41616.168067129627</v>
      </c>
      <c r="B681" s="221">
        <v>-1</v>
      </c>
      <c r="E681" s="221">
        <v>103.2</v>
      </c>
    </row>
    <row r="682" spans="1:5">
      <c r="A682" s="247">
        <v>41616.209733796299</v>
      </c>
      <c r="B682" s="221">
        <v>-1</v>
      </c>
      <c r="E682" s="221">
        <v>104.4</v>
      </c>
    </row>
    <row r="683" spans="1:5">
      <c r="A683" s="247">
        <v>41616.251400462963</v>
      </c>
      <c r="B683" s="221">
        <v>-1</v>
      </c>
      <c r="E683" s="221">
        <v>103.8</v>
      </c>
    </row>
    <row r="684" spans="1:5">
      <c r="A684" s="247">
        <v>41616.293067129627</v>
      </c>
      <c r="B684" s="221">
        <v>-1.5</v>
      </c>
      <c r="E684" s="221">
        <v>104.4</v>
      </c>
    </row>
    <row r="685" spans="1:5">
      <c r="A685" s="247">
        <v>41616.334733796299</v>
      </c>
      <c r="B685" s="221">
        <v>-1.5</v>
      </c>
      <c r="E685" s="221">
        <v>105</v>
      </c>
    </row>
    <row r="686" spans="1:5">
      <c r="A686" s="247">
        <v>41616.376400462963</v>
      </c>
      <c r="B686" s="221">
        <v>-2</v>
      </c>
      <c r="E686" s="221">
        <v>105.6</v>
      </c>
    </row>
    <row r="687" spans="1:5">
      <c r="A687" s="247">
        <v>41616.418067129627</v>
      </c>
      <c r="B687" s="221">
        <v>-1.5</v>
      </c>
      <c r="E687" s="221">
        <v>104.4</v>
      </c>
    </row>
    <row r="688" spans="1:5">
      <c r="A688" s="247">
        <v>41616.459733796299</v>
      </c>
      <c r="B688" s="221">
        <v>0</v>
      </c>
      <c r="E688" s="221">
        <v>100.2</v>
      </c>
    </row>
    <row r="689" spans="1:5">
      <c r="A689" s="247">
        <v>41616.501400462963</v>
      </c>
      <c r="B689" s="221">
        <v>5</v>
      </c>
      <c r="E689" s="221">
        <v>82.8</v>
      </c>
    </row>
    <row r="690" spans="1:5">
      <c r="A690" s="247">
        <v>41616.543067129627</v>
      </c>
      <c r="B690" s="221">
        <v>10</v>
      </c>
      <c r="E690" s="221">
        <v>67.2</v>
      </c>
    </row>
    <row r="691" spans="1:5">
      <c r="A691" s="247">
        <v>41616.584733796299</v>
      </c>
      <c r="B691" s="221">
        <v>11</v>
      </c>
      <c r="E691" s="221">
        <v>64.2</v>
      </c>
    </row>
    <row r="692" spans="1:5">
      <c r="A692" s="247">
        <v>41616.626400462963</v>
      </c>
      <c r="B692" s="221">
        <v>11.5</v>
      </c>
      <c r="E692" s="221">
        <v>62.4</v>
      </c>
    </row>
    <row r="693" spans="1:5">
      <c r="A693" s="247">
        <v>41616.668067129627</v>
      </c>
      <c r="B693" s="221">
        <v>11</v>
      </c>
      <c r="E693" s="221">
        <v>64.8</v>
      </c>
    </row>
    <row r="694" spans="1:5">
      <c r="A694" s="247">
        <v>41616.709733796299</v>
      </c>
      <c r="B694" s="221">
        <v>11</v>
      </c>
      <c r="E694" s="221">
        <v>67.8</v>
      </c>
    </row>
    <row r="695" spans="1:5">
      <c r="A695" s="247">
        <v>41616.751400462963</v>
      </c>
      <c r="B695" s="221">
        <v>4.5</v>
      </c>
      <c r="E695" s="221">
        <v>87.6</v>
      </c>
    </row>
    <row r="696" spans="1:5">
      <c r="A696" s="247">
        <v>41616.793067129627</v>
      </c>
      <c r="B696" s="221">
        <v>3</v>
      </c>
      <c r="E696" s="221">
        <v>97.2</v>
      </c>
    </row>
    <row r="697" spans="1:5">
      <c r="A697" s="247">
        <v>41616.834733796299</v>
      </c>
      <c r="B697" s="221">
        <v>1.5</v>
      </c>
      <c r="E697" s="221">
        <v>101.4</v>
      </c>
    </row>
    <row r="698" spans="1:5">
      <c r="A698" s="247">
        <v>41616.876400462963</v>
      </c>
      <c r="B698" s="221">
        <v>1.5</v>
      </c>
      <c r="E698" s="221">
        <v>102.6</v>
      </c>
    </row>
    <row r="699" spans="1:5">
      <c r="A699" s="247">
        <v>41616.918067129627</v>
      </c>
      <c r="B699" s="221">
        <v>0.5</v>
      </c>
      <c r="E699" s="221">
        <v>103.8</v>
      </c>
    </row>
    <row r="700" spans="1:5">
      <c r="A700" s="247">
        <v>41616.959733796299</v>
      </c>
      <c r="B700" s="221">
        <v>0</v>
      </c>
      <c r="E700" s="221">
        <v>104.4</v>
      </c>
    </row>
    <row r="701" spans="1:5">
      <c r="A701" s="247">
        <v>41617.001400462963</v>
      </c>
      <c r="B701" s="221">
        <v>-0.5</v>
      </c>
      <c r="E701" s="221">
        <v>105.6</v>
      </c>
    </row>
    <row r="702" spans="1:5">
      <c r="A702" s="247">
        <v>41617.043067129627</v>
      </c>
      <c r="B702" s="221">
        <v>-1</v>
      </c>
      <c r="E702" s="221">
        <v>105.6</v>
      </c>
    </row>
    <row r="703" spans="1:5">
      <c r="A703" s="247">
        <v>41617.084733796299</v>
      </c>
      <c r="B703" s="221">
        <v>-1.5</v>
      </c>
      <c r="E703" s="221">
        <v>106.2</v>
      </c>
    </row>
    <row r="704" spans="1:5">
      <c r="A704" s="247">
        <v>41617.126400462963</v>
      </c>
      <c r="B704" s="221">
        <v>-2</v>
      </c>
      <c r="E704" s="221">
        <v>106.8</v>
      </c>
    </row>
    <row r="705" spans="1:5">
      <c r="A705" s="247">
        <v>41617.168067129627</v>
      </c>
      <c r="B705" s="221">
        <v>-1.5</v>
      </c>
      <c r="E705" s="221">
        <v>106.8</v>
      </c>
    </row>
    <row r="706" spans="1:5">
      <c r="A706" s="247">
        <v>41617.209733796299</v>
      </c>
      <c r="B706" s="221">
        <v>-3</v>
      </c>
      <c r="E706" s="221">
        <v>106.8</v>
      </c>
    </row>
    <row r="707" spans="1:5">
      <c r="A707" s="247">
        <v>41617.251400462963</v>
      </c>
      <c r="B707" s="221">
        <v>-2</v>
      </c>
      <c r="E707" s="221">
        <v>106.8</v>
      </c>
    </row>
    <row r="708" spans="1:5">
      <c r="A708" s="247">
        <v>41617.293067129627</v>
      </c>
      <c r="B708" s="221">
        <v>-3</v>
      </c>
      <c r="E708" s="221">
        <v>105.6</v>
      </c>
    </row>
    <row r="709" spans="1:5">
      <c r="A709" s="247">
        <v>41617.334733796299</v>
      </c>
      <c r="B709" s="221">
        <v>-3.5</v>
      </c>
      <c r="E709" s="221">
        <v>106.2</v>
      </c>
    </row>
    <row r="710" spans="1:5">
      <c r="A710" s="247">
        <v>41617.376400462963</v>
      </c>
      <c r="B710" s="221">
        <v>-4</v>
      </c>
      <c r="E710" s="221">
        <v>105.6</v>
      </c>
    </row>
    <row r="711" spans="1:5">
      <c r="A711" s="247">
        <v>41617.418067129627</v>
      </c>
      <c r="B711" s="221">
        <v>-3.5</v>
      </c>
      <c r="E711" s="221">
        <v>106.2</v>
      </c>
    </row>
    <row r="712" spans="1:5">
      <c r="A712" s="247">
        <v>41617.459733796299</v>
      </c>
      <c r="B712" s="221">
        <v>-1</v>
      </c>
      <c r="E712" s="221">
        <v>105.6</v>
      </c>
    </row>
    <row r="713" spans="1:5">
      <c r="A713" s="247">
        <v>41617.501400462963</v>
      </c>
      <c r="B713" s="221">
        <v>6.5</v>
      </c>
      <c r="E713" s="221">
        <v>101.4</v>
      </c>
    </row>
    <row r="714" spans="1:5">
      <c r="A714" s="247">
        <v>41617.543067129627</v>
      </c>
      <c r="B714" s="221">
        <v>10</v>
      </c>
      <c r="E714" s="221">
        <v>69.599999999999994</v>
      </c>
    </row>
    <row r="715" spans="1:5">
      <c r="A715" s="247">
        <v>41617.584733796299</v>
      </c>
      <c r="B715" s="221">
        <v>14</v>
      </c>
      <c r="E715" s="221">
        <v>58.8</v>
      </c>
    </row>
    <row r="716" spans="1:5">
      <c r="A716" s="247">
        <v>41617.626400462963</v>
      </c>
      <c r="B716" s="221">
        <v>15.5</v>
      </c>
      <c r="E716" s="221">
        <v>57</v>
      </c>
    </row>
    <row r="717" spans="1:5">
      <c r="A717" s="247">
        <v>41617.668067129627</v>
      </c>
      <c r="B717" s="221">
        <v>14</v>
      </c>
      <c r="E717" s="221">
        <v>59.4</v>
      </c>
    </row>
    <row r="718" spans="1:5">
      <c r="A718" s="247">
        <v>41617.709733796299</v>
      </c>
      <c r="B718" s="221">
        <v>11.5</v>
      </c>
      <c r="E718" s="221">
        <v>69.599999999999994</v>
      </c>
    </row>
    <row r="719" spans="1:5">
      <c r="A719" s="247">
        <v>41617.751400462963</v>
      </c>
      <c r="B719" s="221">
        <v>5</v>
      </c>
      <c r="E719" s="221">
        <v>89.4</v>
      </c>
    </row>
    <row r="720" spans="1:5">
      <c r="A720" s="247">
        <v>41617.793067129627</v>
      </c>
      <c r="B720" s="221">
        <v>3.5</v>
      </c>
      <c r="E720" s="221">
        <v>96.6</v>
      </c>
    </row>
    <row r="721" spans="1:5">
      <c r="A721" s="247">
        <v>41617.834733796299</v>
      </c>
      <c r="B721" s="221">
        <v>2</v>
      </c>
      <c r="E721" s="221">
        <v>99.6</v>
      </c>
    </row>
    <row r="722" spans="1:5">
      <c r="A722" s="247">
        <v>41617.876400462963</v>
      </c>
      <c r="B722" s="221">
        <v>0.5</v>
      </c>
      <c r="E722" s="221">
        <v>103.2</v>
      </c>
    </row>
    <row r="723" spans="1:5">
      <c r="A723" s="247">
        <v>41617.918067129627</v>
      </c>
      <c r="B723" s="221">
        <v>0.5</v>
      </c>
      <c r="E723" s="221">
        <v>104.4</v>
      </c>
    </row>
    <row r="724" spans="1:5">
      <c r="A724" s="247">
        <v>41617.959733796299</v>
      </c>
      <c r="B724" s="221">
        <v>0.5</v>
      </c>
      <c r="E724" s="221">
        <v>104.4</v>
      </c>
    </row>
    <row r="725" spans="1:5">
      <c r="A725" s="247">
        <v>41618.001400462963</v>
      </c>
      <c r="B725" s="221">
        <v>0</v>
      </c>
      <c r="E725" s="221">
        <v>105</v>
      </c>
    </row>
    <row r="726" spans="1:5">
      <c r="A726" s="247">
        <v>41618.043067129627</v>
      </c>
      <c r="B726" s="221">
        <v>-0.5</v>
      </c>
      <c r="E726" s="221">
        <v>103.8</v>
      </c>
    </row>
    <row r="727" spans="1:5">
      <c r="A727" s="247">
        <v>41618.084733796299</v>
      </c>
      <c r="B727" s="221">
        <v>-1</v>
      </c>
      <c r="E727" s="221">
        <v>103.8</v>
      </c>
    </row>
    <row r="728" spans="1:5">
      <c r="A728" s="247">
        <v>41618.126400462963</v>
      </c>
      <c r="B728" s="221">
        <v>-1</v>
      </c>
      <c r="E728" s="221">
        <v>104.4</v>
      </c>
    </row>
    <row r="729" spans="1:5">
      <c r="A729" s="247">
        <v>41618.168067129627</v>
      </c>
      <c r="B729" s="221">
        <v>-1.5</v>
      </c>
      <c r="E729" s="221">
        <v>103.8</v>
      </c>
    </row>
    <row r="730" spans="1:5">
      <c r="A730" s="247">
        <v>41618.209733796299</v>
      </c>
      <c r="B730" s="221">
        <v>-1.5</v>
      </c>
      <c r="E730" s="221">
        <v>103.8</v>
      </c>
    </row>
    <row r="731" spans="1:5">
      <c r="A731" s="247">
        <v>41618.251400462963</v>
      </c>
      <c r="B731" s="221">
        <v>-2</v>
      </c>
      <c r="E731" s="221">
        <v>103.8</v>
      </c>
    </row>
    <row r="732" spans="1:5">
      <c r="A732" s="247">
        <v>41618.293067129627</v>
      </c>
      <c r="B732" s="221">
        <v>-2.5</v>
      </c>
      <c r="E732" s="221">
        <v>103.8</v>
      </c>
    </row>
    <row r="733" spans="1:5">
      <c r="A733" s="247">
        <v>41618.334733796299</v>
      </c>
      <c r="B733" s="221">
        <v>-2.5</v>
      </c>
      <c r="E733" s="221">
        <v>104.4</v>
      </c>
    </row>
    <row r="734" spans="1:5">
      <c r="A734" s="247">
        <v>41618.376400462963</v>
      </c>
      <c r="B734" s="221">
        <v>-2.5</v>
      </c>
      <c r="E734" s="221">
        <v>104.4</v>
      </c>
    </row>
    <row r="735" spans="1:5">
      <c r="A735" s="247">
        <v>41618.418067129627</v>
      </c>
      <c r="B735" s="221">
        <v>-2.5</v>
      </c>
      <c r="E735" s="221">
        <v>103.8</v>
      </c>
    </row>
    <row r="736" spans="1:5">
      <c r="A736" s="247">
        <v>41618.459733796299</v>
      </c>
      <c r="B736" s="221">
        <v>-0.5</v>
      </c>
      <c r="E736" s="221">
        <v>99.6</v>
      </c>
    </row>
    <row r="737" spans="1:5">
      <c r="A737" s="247">
        <v>41618.501400462963</v>
      </c>
      <c r="B737" s="221">
        <v>8.5</v>
      </c>
      <c r="E737" s="221">
        <v>66</v>
      </c>
    </row>
    <row r="738" spans="1:5">
      <c r="A738" s="247">
        <v>41618.543067129627</v>
      </c>
      <c r="B738" s="221">
        <v>9.5</v>
      </c>
      <c r="E738" s="221">
        <v>61.8</v>
      </c>
    </row>
    <row r="739" spans="1:5">
      <c r="A739" s="247">
        <v>41618.584733796299</v>
      </c>
      <c r="B739" s="221">
        <v>14</v>
      </c>
      <c r="E739" s="221">
        <v>53.4</v>
      </c>
    </row>
    <row r="740" spans="1:5">
      <c r="A740" s="247">
        <v>41618.626400462963</v>
      </c>
      <c r="B740" s="221">
        <v>13</v>
      </c>
      <c r="E740" s="221">
        <v>58.8</v>
      </c>
    </row>
    <row r="741" spans="1:5">
      <c r="A741" s="247">
        <v>41618.668067129627</v>
      </c>
      <c r="B741" s="221">
        <v>14</v>
      </c>
      <c r="E741" s="221">
        <v>54.6</v>
      </c>
    </row>
    <row r="742" spans="1:5">
      <c r="A742" s="247">
        <v>41618.709733796299</v>
      </c>
      <c r="B742" s="221">
        <v>11</v>
      </c>
      <c r="E742" s="221">
        <v>63.6</v>
      </c>
    </row>
    <row r="743" spans="1:5">
      <c r="A743" s="247">
        <v>41618.751400462963</v>
      </c>
      <c r="B743" s="221">
        <v>4.5</v>
      </c>
      <c r="E743" s="221">
        <v>87</v>
      </c>
    </row>
    <row r="744" spans="1:5">
      <c r="A744" s="247">
        <v>41618.793067129627</v>
      </c>
      <c r="B744" s="221">
        <v>1</v>
      </c>
      <c r="E744" s="221">
        <v>98.4</v>
      </c>
    </row>
    <row r="745" spans="1:5">
      <c r="A745" s="247">
        <v>41618.834733796299</v>
      </c>
      <c r="B745" s="221">
        <v>2.5</v>
      </c>
      <c r="E745" s="221">
        <v>94.2</v>
      </c>
    </row>
    <row r="746" spans="1:5">
      <c r="A746" s="247">
        <v>41618.876400462963</v>
      </c>
      <c r="B746" s="221">
        <v>1.5</v>
      </c>
      <c r="E746" s="221">
        <v>97.8</v>
      </c>
    </row>
    <row r="747" spans="1:5">
      <c r="A747" s="247">
        <v>41618.918067129627</v>
      </c>
      <c r="B747" s="221">
        <v>1</v>
      </c>
      <c r="E747" s="221">
        <v>96.6</v>
      </c>
    </row>
    <row r="748" spans="1:5">
      <c r="A748" s="247">
        <v>41618.959733796299</v>
      </c>
      <c r="B748" s="221">
        <v>0.5</v>
      </c>
      <c r="E748" s="221">
        <v>97.8</v>
      </c>
    </row>
    <row r="749" spans="1:5">
      <c r="A749" s="247">
        <v>41619.001400462963</v>
      </c>
      <c r="B749" s="221">
        <v>0</v>
      </c>
      <c r="E749" s="221">
        <v>98.4</v>
      </c>
    </row>
    <row r="750" spans="1:5">
      <c r="A750" s="247">
        <v>41619.043067129627</v>
      </c>
      <c r="B750" s="221">
        <v>-0.5</v>
      </c>
      <c r="E750" s="221">
        <v>98.4</v>
      </c>
    </row>
    <row r="751" spans="1:5">
      <c r="A751" s="247">
        <v>41619.084733796299</v>
      </c>
      <c r="B751" s="221">
        <v>-1</v>
      </c>
      <c r="E751" s="221">
        <v>100.2</v>
      </c>
    </row>
    <row r="752" spans="1:5">
      <c r="A752" s="247">
        <v>41619.126400462963</v>
      </c>
      <c r="B752" s="221">
        <v>-1.5</v>
      </c>
      <c r="E752" s="221">
        <v>102</v>
      </c>
    </row>
    <row r="753" spans="1:5">
      <c r="A753" s="247">
        <v>41619.168067129627</v>
      </c>
      <c r="B753" s="221">
        <v>-2</v>
      </c>
      <c r="E753" s="221">
        <v>103.8</v>
      </c>
    </row>
    <row r="754" spans="1:5">
      <c r="A754" s="247">
        <v>41619.209733796299</v>
      </c>
      <c r="B754" s="221">
        <v>-2</v>
      </c>
      <c r="E754" s="221">
        <v>103.2</v>
      </c>
    </row>
    <row r="755" spans="1:5">
      <c r="A755" s="247">
        <v>41619.251400462963</v>
      </c>
      <c r="B755" s="221">
        <v>-3</v>
      </c>
      <c r="E755" s="221">
        <v>105.6</v>
      </c>
    </row>
    <row r="756" spans="1:5">
      <c r="A756" s="247">
        <v>41619.293067129627</v>
      </c>
      <c r="B756" s="221">
        <v>-3.5</v>
      </c>
      <c r="E756" s="221">
        <v>106.2</v>
      </c>
    </row>
    <row r="757" spans="1:5">
      <c r="A757" s="247">
        <v>41619.334733796299</v>
      </c>
      <c r="B757" s="221">
        <v>-4</v>
      </c>
      <c r="E757" s="221">
        <v>106.2</v>
      </c>
    </row>
    <row r="758" spans="1:5">
      <c r="A758" s="247">
        <v>41619.376400462963</v>
      </c>
      <c r="B758" s="221">
        <v>-4</v>
      </c>
      <c r="E758" s="221">
        <v>106.8</v>
      </c>
    </row>
    <row r="759" spans="1:5">
      <c r="A759" s="247">
        <v>41619.418067129627</v>
      </c>
      <c r="B759" s="221">
        <v>-4</v>
      </c>
      <c r="E759" s="221">
        <v>106.2</v>
      </c>
    </row>
    <row r="760" spans="1:5">
      <c r="A760" s="247">
        <v>41619.459733796299</v>
      </c>
      <c r="B760" s="221">
        <v>-2.5</v>
      </c>
      <c r="E760" s="221">
        <v>105.6</v>
      </c>
    </row>
    <row r="761" spans="1:5">
      <c r="A761" s="247">
        <v>41619.501400462963</v>
      </c>
      <c r="B761" s="221">
        <v>5</v>
      </c>
      <c r="E761" s="221">
        <v>75.599999999999994</v>
      </c>
    </row>
    <row r="762" spans="1:5">
      <c r="A762" s="247">
        <v>41619.543067129627</v>
      </c>
      <c r="B762" s="221">
        <v>10</v>
      </c>
      <c r="E762" s="221">
        <v>58.8</v>
      </c>
    </row>
    <row r="763" spans="1:5">
      <c r="A763" s="247">
        <v>41619.584733796299</v>
      </c>
      <c r="B763" s="221">
        <v>12.5</v>
      </c>
      <c r="E763" s="221">
        <v>54.6</v>
      </c>
    </row>
    <row r="764" spans="1:5">
      <c r="A764" s="247">
        <v>41619.626400462963</v>
      </c>
      <c r="B764" s="221">
        <v>12.5</v>
      </c>
      <c r="E764" s="221">
        <v>58.8</v>
      </c>
    </row>
    <row r="765" spans="1:5">
      <c r="A765" s="247">
        <v>41619.668067129627</v>
      </c>
      <c r="B765" s="221">
        <v>13</v>
      </c>
      <c r="E765" s="221">
        <v>56.4</v>
      </c>
    </row>
    <row r="766" spans="1:5">
      <c r="A766" s="247">
        <v>41619.709733796299</v>
      </c>
      <c r="B766" s="221">
        <v>10.5</v>
      </c>
      <c r="E766" s="221">
        <v>61.2</v>
      </c>
    </row>
    <row r="767" spans="1:5">
      <c r="A767" s="247">
        <v>41619.751400462963</v>
      </c>
      <c r="B767" s="221">
        <v>3.5</v>
      </c>
      <c r="E767" s="221">
        <v>88.2</v>
      </c>
    </row>
    <row r="768" spans="1:5">
      <c r="A768" s="247">
        <v>41619.793067129627</v>
      </c>
      <c r="B768" s="221">
        <v>1</v>
      </c>
      <c r="E768" s="221">
        <v>96.6</v>
      </c>
    </row>
    <row r="769" spans="1:5">
      <c r="A769" s="247">
        <v>41619.834733796299</v>
      </c>
      <c r="B769" s="221">
        <v>1</v>
      </c>
      <c r="E769" s="221">
        <v>96.6</v>
      </c>
    </row>
    <row r="770" spans="1:5">
      <c r="A770" s="247">
        <v>41619.876400462963</v>
      </c>
      <c r="B770" s="221">
        <v>0.5</v>
      </c>
      <c r="E770" s="221">
        <v>96.6</v>
      </c>
    </row>
    <row r="771" spans="1:5">
      <c r="A771" s="247">
        <v>41619.918067129627</v>
      </c>
      <c r="B771" s="221">
        <v>-0.5</v>
      </c>
      <c r="E771" s="221">
        <v>99</v>
      </c>
    </row>
    <row r="772" spans="1:5">
      <c r="A772" s="247">
        <v>41619.959733796299</v>
      </c>
      <c r="B772" s="221">
        <v>0</v>
      </c>
      <c r="E772" s="221">
        <v>98.4</v>
      </c>
    </row>
    <row r="773" spans="1:5">
      <c r="A773" s="247">
        <v>41620.001400462963</v>
      </c>
      <c r="B773" s="221">
        <v>-0.5</v>
      </c>
      <c r="E773" s="221">
        <v>100.2</v>
      </c>
    </row>
    <row r="774" spans="1:5">
      <c r="A774" s="247">
        <v>41620.043067129627</v>
      </c>
      <c r="B774" s="221">
        <v>-1</v>
      </c>
      <c r="E774" s="221">
        <v>101.4</v>
      </c>
    </row>
    <row r="775" spans="1:5">
      <c r="A775" s="247">
        <v>41620.084733796299</v>
      </c>
      <c r="B775" s="221">
        <v>-1</v>
      </c>
      <c r="E775" s="221">
        <v>100.8</v>
      </c>
    </row>
    <row r="776" spans="1:5">
      <c r="A776" s="247">
        <v>41620.126400462963</v>
      </c>
      <c r="B776" s="221">
        <v>-2.5</v>
      </c>
      <c r="E776" s="221">
        <v>103.8</v>
      </c>
    </row>
    <row r="777" spans="1:5">
      <c r="A777" s="247">
        <v>41620.168067129627</v>
      </c>
      <c r="B777" s="221">
        <v>-2.5</v>
      </c>
      <c r="E777" s="221">
        <v>105</v>
      </c>
    </row>
    <row r="778" spans="1:5">
      <c r="A778" s="247">
        <v>41620.209733796299</v>
      </c>
      <c r="B778" s="221">
        <v>-3</v>
      </c>
      <c r="E778" s="221">
        <v>105.6</v>
      </c>
    </row>
    <row r="779" spans="1:5">
      <c r="A779" s="247">
        <v>41620.251400462963</v>
      </c>
      <c r="B779" s="221">
        <v>-3</v>
      </c>
      <c r="E779" s="221">
        <v>105.6</v>
      </c>
    </row>
    <row r="780" spans="1:5">
      <c r="A780" s="247">
        <v>41620.293067129627</v>
      </c>
      <c r="B780" s="221">
        <v>-2.5</v>
      </c>
      <c r="E780" s="221">
        <v>105.6</v>
      </c>
    </row>
    <row r="781" spans="1:5">
      <c r="A781" s="247">
        <v>41620.334733796299</v>
      </c>
      <c r="B781" s="221">
        <v>-3.5</v>
      </c>
      <c r="E781" s="221">
        <v>105.6</v>
      </c>
    </row>
    <row r="782" spans="1:5">
      <c r="A782" s="247">
        <v>41620.376400462963</v>
      </c>
      <c r="B782" s="221">
        <v>-3.5</v>
      </c>
      <c r="E782" s="221">
        <v>105</v>
      </c>
    </row>
    <row r="783" spans="1:5">
      <c r="A783" s="247">
        <v>41620.418067129627</v>
      </c>
      <c r="B783" s="221">
        <v>-3</v>
      </c>
      <c r="E783" s="221">
        <v>103.2</v>
      </c>
    </row>
    <row r="784" spans="1:5">
      <c r="A784" s="247">
        <v>41620.459733796299</v>
      </c>
      <c r="B784" s="221">
        <v>-1</v>
      </c>
      <c r="E784" s="221">
        <v>98.4</v>
      </c>
    </row>
    <row r="785" spans="1:5">
      <c r="A785" s="247">
        <v>41620.501400462963</v>
      </c>
      <c r="B785" s="221">
        <v>3</v>
      </c>
      <c r="E785" s="221">
        <v>86.4</v>
      </c>
    </row>
    <row r="786" spans="1:5">
      <c r="A786" s="247">
        <v>41620.543067129627</v>
      </c>
      <c r="B786" s="221">
        <v>6</v>
      </c>
      <c r="E786" s="221">
        <v>82.2</v>
      </c>
    </row>
    <row r="787" spans="1:5">
      <c r="A787" s="247">
        <v>41620.584733796299</v>
      </c>
      <c r="B787" s="221">
        <v>6.5</v>
      </c>
      <c r="E787" s="221">
        <v>82.2</v>
      </c>
    </row>
    <row r="788" spans="1:5">
      <c r="A788" s="247">
        <v>41620.626400462963</v>
      </c>
      <c r="B788" s="221">
        <v>8</v>
      </c>
      <c r="E788" s="221">
        <v>78.599999999999994</v>
      </c>
    </row>
    <row r="789" spans="1:5">
      <c r="A789" s="247">
        <v>41620.668067129627</v>
      </c>
      <c r="B789" s="221">
        <v>6</v>
      </c>
      <c r="E789" s="221">
        <v>85.8</v>
      </c>
    </row>
    <row r="790" spans="1:5">
      <c r="A790" s="247">
        <v>41620.709733796299</v>
      </c>
      <c r="B790" s="221">
        <v>5</v>
      </c>
      <c r="E790" s="221">
        <v>88.2</v>
      </c>
    </row>
    <row r="791" spans="1:5">
      <c r="A791" s="247">
        <v>41620.751400462963</v>
      </c>
      <c r="B791" s="221">
        <v>3</v>
      </c>
      <c r="E791" s="221">
        <v>95.4</v>
      </c>
    </row>
    <row r="792" spans="1:5">
      <c r="A792" s="247">
        <v>41620.793067129627</v>
      </c>
      <c r="B792" s="221">
        <v>1.5</v>
      </c>
      <c r="E792" s="221">
        <v>101.4</v>
      </c>
    </row>
    <row r="793" spans="1:5">
      <c r="A793" s="247">
        <v>41620.834733796299</v>
      </c>
      <c r="B793" s="221">
        <v>1</v>
      </c>
      <c r="E793" s="221">
        <v>102.6</v>
      </c>
    </row>
    <row r="794" spans="1:5">
      <c r="A794" s="247">
        <v>41620.876400462963</v>
      </c>
      <c r="B794" s="221">
        <v>0.5</v>
      </c>
      <c r="E794" s="221">
        <v>103.8</v>
      </c>
    </row>
    <row r="795" spans="1:5">
      <c r="A795" s="247">
        <v>41620.918067129627</v>
      </c>
      <c r="B795" s="221">
        <v>-0.5</v>
      </c>
      <c r="E795" s="221">
        <v>104.4</v>
      </c>
    </row>
    <row r="796" spans="1:5">
      <c r="A796" s="247">
        <v>41620.959733796299</v>
      </c>
      <c r="B796" s="221">
        <v>-0.5</v>
      </c>
      <c r="E796" s="221">
        <v>105.6</v>
      </c>
    </row>
    <row r="797" spans="1:5">
      <c r="A797" s="247">
        <v>41621.001400462963</v>
      </c>
      <c r="B797" s="221">
        <v>-1</v>
      </c>
      <c r="E797" s="221">
        <v>105.6</v>
      </c>
    </row>
    <row r="798" spans="1:5">
      <c r="A798" s="247">
        <v>41621.043067129627</v>
      </c>
      <c r="B798" s="221">
        <v>-2</v>
      </c>
      <c r="E798" s="221">
        <v>105.6</v>
      </c>
    </row>
    <row r="799" spans="1:5">
      <c r="A799" s="247">
        <v>41621.084733796299</v>
      </c>
      <c r="B799" s="221">
        <v>-2.5</v>
      </c>
      <c r="E799" s="221">
        <v>106.2</v>
      </c>
    </row>
    <row r="800" spans="1:5">
      <c r="A800" s="247">
        <v>41621.126400462963</v>
      </c>
      <c r="B800" s="221">
        <v>-2</v>
      </c>
      <c r="E800" s="221">
        <v>106.8</v>
      </c>
    </row>
    <row r="801" spans="1:5">
      <c r="A801" s="247">
        <v>41621.168067129627</v>
      </c>
      <c r="B801" s="221">
        <v>-2</v>
      </c>
      <c r="E801" s="221">
        <v>106.8</v>
      </c>
    </row>
    <row r="802" spans="1:5">
      <c r="A802" s="247">
        <v>41621.209733796299</v>
      </c>
      <c r="B802" s="221">
        <v>-3</v>
      </c>
      <c r="E802" s="221">
        <v>106.8</v>
      </c>
    </row>
    <row r="803" spans="1:5">
      <c r="A803" s="247">
        <v>41621.251400462963</v>
      </c>
      <c r="B803" s="221">
        <v>-2.5</v>
      </c>
      <c r="E803" s="221">
        <v>106.8</v>
      </c>
    </row>
    <row r="804" spans="1:5">
      <c r="A804" s="247">
        <v>41621.293067129627</v>
      </c>
      <c r="B804" s="221">
        <v>-2.5</v>
      </c>
      <c r="E804" s="221">
        <v>106.8</v>
      </c>
    </row>
    <row r="805" spans="1:5">
      <c r="A805" s="247">
        <v>41621.334733796299</v>
      </c>
      <c r="B805" s="221">
        <v>-2.5</v>
      </c>
      <c r="E805" s="221">
        <v>106.8</v>
      </c>
    </row>
    <row r="806" spans="1:5">
      <c r="A806" s="247">
        <v>41621.376400462963</v>
      </c>
      <c r="B806" s="221">
        <v>-3</v>
      </c>
      <c r="E806" s="221">
        <v>107.4</v>
      </c>
    </row>
    <row r="807" spans="1:5">
      <c r="A807" s="247">
        <v>41621.418067129627</v>
      </c>
      <c r="B807" s="221">
        <v>-3.5</v>
      </c>
      <c r="E807" s="221">
        <v>107.4</v>
      </c>
    </row>
    <row r="808" spans="1:5">
      <c r="A808" s="247">
        <v>41621.459733796299</v>
      </c>
      <c r="B808" s="221">
        <v>-1</v>
      </c>
      <c r="E808" s="221">
        <v>106.2</v>
      </c>
    </row>
    <row r="809" spans="1:5">
      <c r="A809" s="247">
        <v>41621.501400462963</v>
      </c>
      <c r="B809" s="221">
        <v>2</v>
      </c>
      <c r="E809" s="221">
        <v>96</v>
      </c>
    </row>
    <row r="810" spans="1:5">
      <c r="A810" s="247">
        <v>41621.543067129627</v>
      </c>
      <c r="B810" s="221">
        <v>8.5</v>
      </c>
      <c r="E810" s="221">
        <v>78</v>
      </c>
    </row>
    <row r="811" spans="1:5">
      <c r="A811" s="247">
        <v>41621.584733796299</v>
      </c>
      <c r="B811" s="221">
        <v>14.5</v>
      </c>
      <c r="E811" s="221">
        <v>67.8</v>
      </c>
    </row>
    <row r="812" spans="1:5">
      <c r="A812" s="247">
        <v>41621.626400462963</v>
      </c>
      <c r="B812" s="221">
        <v>16.5</v>
      </c>
      <c r="E812" s="221">
        <v>57</v>
      </c>
    </row>
    <row r="813" spans="1:5">
      <c r="A813" s="247">
        <v>41621.668067129627</v>
      </c>
      <c r="B813" s="221">
        <v>10</v>
      </c>
      <c r="E813" s="221">
        <v>80.400000000000006</v>
      </c>
    </row>
    <row r="814" spans="1:5">
      <c r="A814" s="247">
        <v>41621.709733796299</v>
      </c>
      <c r="B814" s="221">
        <v>6.5</v>
      </c>
      <c r="E814" s="221">
        <v>94.8</v>
      </c>
    </row>
    <row r="815" spans="1:5">
      <c r="A815" s="247">
        <v>41621.751400462963</v>
      </c>
      <c r="B815" s="221">
        <v>6.5</v>
      </c>
      <c r="E815" s="221">
        <v>93.6</v>
      </c>
    </row>
    <row r="816" spans="1:5">
      <c r="A816" s="247">
        <v>41621.793067129627</v>
      </c>
      <c r="B816" s="221">
        <v>6</v>
      </c>
      <c r="E816" s="221">
        <v>96.6</v>
      </c>
    </row>
    <row r="817" spans="1:5">
      <c r="A817" s="247">
        <v>41621.834733796299</v>
      </c>
      <c r="B817" s="221">
        <v>5</v>
      </c>
      <c r="E817" s="221">
        <v>100.8</v>
      </c>
    </row>
    <row r="818" spans="1:5">
      <c r="A818" s="247">
        <v>41621.876400462963</v>
      </c>
      <c r="B818" s="221">
        <v>4</v>
      </c>
      <c r="E818" s="221">
        <v>103.8</v>
      </c>
    </row>
    <row r="819" spans="1:5">
      <c r="A819" s="247">
        <v>41621.918067129627</v>
      </c>
      <c r="B819" s="221">
        <v>3.5</v>
      </c>
      <c r="E819" s="221">
        <v>103.8</v>
      </c>
    </row>
    <row r="820" spans="1:5">
      <c r="A820" s="247">
        <v>41621.959733796299</v>
      </c>
      <c r="B820" s="221">
        <v>5</v>
      </c>
      <c r="E820" s="221">
        <v>104.4</v>
      </c>
    </row>
    <row r="821" spans="1:5">
      <c r="A821" s="247">
        <v>41622.001400462963</v>
      </c>
      <c r="B821" s="221">
        <v>5.5</v>
      </c>
      <c r="E821" s="221">
        <v>103.8</v>
      </c>
    </row>
    <row r="822" spans="1:5">
      <c r="A822" s="247">
        <v>41622.043067129627</v>
      </c>
      <c r="B822" s="221">
        <v>6</v>
      </c>
      <c r="E822" s="221">
        <v>101.4</v>
      </c>
    </row>
    <row r="823" spans="1:5">
      <c r="A823" s="247">
        <v>41622.084733796299</v>
      </c>
      <c r="B823" s="221">
        <v>6.5</v>
      </c>
      <c r="E823" s="221">
        <v>103.8</v>
      </c>
    </row>
    <row r="824" spans="1:5">
      <c r="A824" s="247">
        <v>41622.126400462963</v>
      </c>
      <c r="B824" s="221">
        <v>6.5</v>
      </c>
      <c r="E824" s="221">
        <v>103.8</v>
      </c>
    </row>
    <row r="825" spans="1:5">
      <c r="A825" s="247">
        <v>41622.168067129627</v>
      </c>
      <c r="B825" s="221">
        <v>6.5</v>
      </c>
      <c r="E825" s="221">
        <v>103.8</v>
      </c>
    </row>
    <row r="826" spans="1:5">
      <c r="A826" s="247">
        <v>41622.209733796299</v>
      </c>
      <c r="B826" s="221">
        <v>5</v>
      </c>
      <c r="E826" s="221">
        <v>104.4</v>
      </c>
    </row>
    <row r="827" spans="1:5">
      <c r="A827" s="247">
        <v>41622.251400462963</v>
      </c>
      <c r="B827" s="221">
        <v>6</v>
      </c>
      <c r="E827" s="221">
        <v>105</v>
      </c>
    </row>
    <row r="828" spans="1:5">
      <c r="A828" s="247">
        <v>41622.293067129627</v>
      </c>
      <c r="B828" s="221">
        <v>3.5</v>
      </c>
      <c r="E828" s="221">
        <v>105.6</v>
      </c>
    </row>
    <row r="829" spans="1:5">
      <c r="A829" s="247">
        <v>41622.334733796299</v>
      </c>
      <c r="B829" s="221">
        <v>5</v>
      </c>
      <c r="E829" s="221">
        <v>105.6</v>
      </c>
    </row>
    <row r="830" spans="1:5">
      <c r="A830" s="247">
        <v>41622.376400462963</v>
      </c>
      <c r="B830" s="221">
        <v>5.5</v>
      </c>
      <c r="E830" s="221">
        <v>105.6</v>
      </c>
    </row>
    <row r="831" spans="1:5">
      <c r="A831" s="247">
        <v>41622.418067129627</v>
      </c>
      <c r="B831" s="221">
        <v>5</v>
      </c>
      <c r="E831" s="221">
        <v>105.6</v>
      </c>
    </row>
    <row r="832" spans="1:5">
      <c r="A832" s="247">
        <v>41622.459733796299</v>
      </c>
      <c r="B832" s="221">
        <v>5.5</v>
      </c>
      <c r="E832" s="221">
        <v>105.6</v>
      </c>
    </row>
    <row r="833" spans="1:5">
      <c r="A833" s="247">
        <v>41622.501400462963</v>
      </c>
      <c r="B833" s="221">
        <v>6</v>
      </c>
      <c r="E833" s="221">
        <v>105</v>
      </c>
    </row>
    <row r="834" spans="1:5">
      <c r="A834" s="247">
        <v>41622.543067129627</v>
      </c>
      <c r="B834" s="221">
        <v>6.5</v>
      </c>
      <c r="E834" s="221">
        <v>105</v>
      </c>
    </row>
    <row r="835" spans="1:5">
      <c r="A835" s="247">
        <v>41622.584733796299</v>
      </c>
      <c r="B835" s="221">
        <v>7</v>
      </c>
      <c r="E835" s="221">
        <v>103.8</v>
      </c>
    </row>
    <row r="836" spans="1:5">
      <c r="A836" s="247">
        <v>41622.626400462963</v>
      </c>
      <c r="B836" s="221">
        <v>7</v>
      </c>
      <c r="E836" s="221">
        <v>100.2</v>
      </c>
    </row>
    <row r="837" spans="1:5">
      <c r="A837" s="247">
        <v>41622.668067129627</v>
      </c>
      <c r="B837" s="221">
        <v>7</v>
      </c>
      <c r="E837" s="221">
        <v>100.2</v>
      </c>
    </row>
    <row r="838" spans="1:5">
      <c r="A838" s="247">
        <v>41622.709733796299</v>
      </c>
      <c r="B838" s="221">
        <v>6</v>
      </c>
      <c r="E838" s="221">
        <v>100.2</v>
      </c>
    </row>
    <row r="839" spans="1:5">
      <c r="A839" s="247">
        <v>41622.751400462963</v>
      </c>
      <c r="B839" s="221">
        <v>4.5</v>
      </c>
      <c r="E839" s="221">
        <v>105.6</v>
      </c>
    </row>
    <row r="840" spans="1:5">
      <c r="A840" s="247">
        <v>41622.793067129627</v>
      </c>
      <c r="B840" s="221">
        <v>4</v>
      </c>
      <c r="E840" s="221">
        <v>105.6</v>
      </c>
    </row>
    <row r="841" spans="1:5">
      <c r="A841" s="247">
        <v>41622.834733796299</v>
      </c>
      <c r="B841" s="221">
        <v>2.5</v>
      </c>
      <c r="E841" s="221">
        <v>105.6</v>
      </c>
    </row>
    <row r="842" spans="1:5">
      <c r="A842" s="247">
        <v>41622.876400462963</v>
      </c>
      <c r="B842" s="221">
        <v>4.5</v>
      </c>
      <c r="E842" s="221">
        <v>105.6</v>
      </c>
    </row>
    <row r="843" spans="1:5">
      <c r="A843" s="247">
        <v>41622.918067129627</v>
      </c>
      <c r="B843" s="221">
        <v>4</v>
      </c>
      <c r="E843" s="221">
        <v>105.6</v>
      </c>
    </row>
    <row r="844" spans="1:5">
      <c r="A844" s="247">
        <v>41622.959733796299</v>
      </c>
      <c r="B844" s="221">
        <v>3.5</v>
      </c>
      <c r="E844" s="221">
        <v>105.6</v>
      </c>
    </row>
    <row r="845" spans="1:5">
      <c r="A845" s="247">
        <v>41623.001400462963</v>
      </c>
      <c r="B845" s="221">
        <v>3.5</v>
      </c>
      <c r="E845" s="221">
        <v>106.2</v>
      </c>
    </row>
    <row r="846" spans="1:5">
      <c r="A846" s="247">
        <v>41623.043067129627</v>
      </c>
      <c r="B846" s="221">
        <v>2.5</v>
      </c>
      <c r="E846" s="221">
        <v>106.2</v>
      </c>
    </row>
    <row r="847" spans="1:5">
      <c r="A847" s="247">
        <v>41623.084733796299</v>
      </c>
      <c r="B847" s="221">
        <v>2.5</v>
      </c>
      <c r="E847" s="221">
        <v>106.2</v>
      </c>
    </row>
    <row r="848" spans="1:5">
      <c r="A848" s="247">
        <v>41623.126400462963</v>
      </c>
      <c r="B848" s="221">
        <v>0</v>
      </c>
      <c r="E848" s="221">
        <v>106.8</v>
      </c>
    </row>
    <row r="849" spans="1:5">
      <c r="A849" s="247">
        <v>41623.168067129627</v>
      </c>
      <c r="B849" s="221">
        <v>0.5</v>
      </c>
      <c r="E849" s="221">
        <v>106.8</v>
      </c>
    </row>
    <row r="850" spans="1:5">
      <c r="A850" s="247">
        <v>41623.209733796299</v>
      </c>
      <c r="B850" s="221">
        <v>0</v>
      </c>
      <c r="E850" s="221">
        <v>106.8</v>
      </c>
    </row>
    <row r="851" spans="1:5">
      <c r="A851" s="247">
        <v>41623.251400462963</v>
      </c>
      <c r="B851" s="221">
        <v>0.5</v>
      </c>
      <c r="E851" s="221">
        <v>106.8</v>
      </c>
    </row>
    <row r="852" spans="1:5">
      <c r="A852" s="247">
        <v>41623.293067129627</v>
      </c>
      <c r="B852" s="221">
        <v>-1</v>
      </c>
      <c r="E852" s="221">
        <v>107.4</v>
      </c>
    </row>
    <row r="853" spans="1:5">
      <c r="A853" s="247">
        <v>41623.334733796299</v>
      </c>
      <c r="B853" s="221">
        <v>0</v>
      </c>
      <c r="E853" s="221">
        <v>107.4</v>
      </c>
    </row>
    <row r="854" spans="1:5">
      <c r="A854" s="247">
        <v>41623.376400462963</v>
      </c>
      <c r="B854" s="221">
        <v>-1</v>
      </c>
      <c r="E854" s="221">
        <v>107.4</v>
      </c>
    </row>
    <row r="855" spans="1:5">
      <c r="A855" s="247">
        <v>41623.418067129627</v>
      </c>
      <c r="B855" s="221">
        <v>-0.5</v>
      </c>
      <c r="E855" s="221">
        <v>107.4</v>
      </c>
    </row>
    <row r="856" spans="1:5">
      <c r="A856" s="247">
        <v>41623.459733796299</v>
      </c>
      <c r="B856" s="221">
        <v>0.5</v>
      </c>
      <c r="E856" s="221">
        <v>106.8</v>
      </c>
    </row>
    <row r="857" spans="1:5">
      <c r="A857" s="247">
        <v>41623.501400462963</v>
      </c>
      <c r="B857" s="221">
        <v>6.5</v>
      </c>
      <c r="E857" s="221">
        <v>102.6</v>
      </c>
    </row>
    <row r="858" spans="1:5">
      <c r="A858" s="247">
        <v>41623.543067129627</v>
      </c>
      <c r="B858" s="221">
        <v>12</v>
      </c>
      <c r="E858" s="221">
        <v>72.599999999999994</v>
      </c>
    </row>
    <row r="859" spans="1:5">
      <c r="A859" s="247">
        <v>41623.584733796299</v>
      </c>
      <c r="B859" s="221">
        <v>17</v>
      </c>
      <c r="E859" s="221">
        <v>51</v>
      </c>
    </row>
    <row r="860" spans="1:5">
      <c r="A860" s="247">
        <v>41623.626400462963</v>
      </c>
      <c r="B860" s="221">
        <v>17</v>
      </c>
      <c r="E860" s="221">
        <v>50.4</v>
      </c>
    </row>
    <row r="861" spans="1:5">
      <c r="A861" s="247">
        <v>41623.668067129627</v>
      </c>
      <c r="B861" s="221">
        <v>15.5</v>
      </c>
      <c r="E861" s="221">
        <v>52.2</v>
      </c>
    </row>
    <row r="862" spans="1:5">
      <c r="A862" s="247">
        <v>41623.709733796299</v>
      </c>
      <c r="B862" s="221">
        <v>13.5</v>
      </c>
      <c r="E862" s="221">
        <v>59.4</v>
      </c>
    </row>
    <row r="863" spans="1:5">
      <c r="A863" s="247">
        <v>41623.751400462963</v>
      </c>
      <c r="B863" s="221">
        <v>6.5</v>
      </c>
      <c r="E863" s="221">
        <v>85.8</v>
      </c>
    </row>
    <row r="864" spans="1:5">
      <c r="A864" s="247">
        <v>41623.793067129627</v>
      </c>
      <c r="B864" s="221">
        <v>3</v>
      </c>
      <c r="E864" s="221">
        <v>96</v>
      </c>
    </row>
    <row r="865" spans="1:5">
      <c r="A865" s="247">
        <v>41623.834733796299</v>
      </c>
      <c r="B865" s="221">
        <v>2</v>
      </c>
      <c r="E865" s="221">
        <v>98.4</v>
      </c>
    </row>
    <row r="866" spans="1:5">
      <c r="A866" s="247">
        <v>41623.876400462963</v>
      </c>
      <c r="B866" s="221">
        <v>0.5</v>
      </c>
      <c r="E866" s="221">
        <v>102.6</v>
      </c>
    </row>
    <row r="867" spans="1:5">
      <c r="A867" s="247">
        <v>41623.918067129627</v>
      </c>
      <c r="B867" s="221">
        <v>2.5</v>
      </c>
      <c r="E867" s="221">
        <v>99.6</v>
      </c>
    </row>
    <row r="868" spans="1:5">
      <c r="A868" s="247">
        <v>41623.959733796299</v>
      </c>
      <c r="B868" s="221">
        <v>2</v>
      </c>
      <c r="E868" s="221">
        <v>97.8</v>
      </c>
    </row>
    <row r="869" spans="1:5">
      <c r="A869" s="247">
        <v>41624.001400462963</v>
      </c>
      <c r="B869" s="221">
        <v>2</v>
      </c>
      <c r="E869" s="221">
        <v>100.2</v>
      </c>
    </row>
    <row r="870" spans="1:5">
      <c r="A870" s="247">
        <v>41624.043067129627</v>
      </c>
      <c r="B870" s="221">
        <v>0.5</v>
      </c>
      <c r="E870" s="221">
        <v>100.8</v>
      </c>
    </row>
    <row r="871" spans="1:5">
      <c r="A871" s="247">
        <v>41624.084733796299</v>
      </c>
      <c r="B871" s="221">
        <v>0.5</v>
      </c>
      <c r="E871" s="221">
        <v>103.8</v>
      </c>
    </row>
    <row r="872" spans="1:5">
      <c r="A872" s="247">
        <v>41624.126400462963</v>
      </c>
      <c r="B872" s="221">
        <v>-1</v>
      </c>
      <c r="E872" s="221">
        <v>103.8</v>
      </c>
    </row>
    <row r="873" spans="1:5">
      <c r="A873" s="247">
        <v>41624.168067129627</v>
      </c>
      <c r="B873" s="221">
        <v>-1</v>
      </c>
      <c r="E873" s="221">
        <v>105</v>
      </c>
    </row>
    <row r="874" spans="1:5">
      <c r="A874" s="247">
        <v>41624.209733796299</v>
      </c>
      <c r="B874" s="221">
        <v>0.5</v>
      </c>
      <c r="E874" s="221">
        <v>100.2</v>
      </c>
    </row>
    <row r="875" spans="1:5">
      <c r="A875" s="247">
        <v>41624.251400462963</v>
      </c>
      <c r="B875" s="221">
        <v>-0.5</v>
      </c>
      <c r="E875" s="221">
        <v>103.2</v>
      </c>
    </row>
    <row r="876" spans="1:5">
      <c r="A876" s="247">
        <v>41624.293067129627</v>
      </c>
      <c r="B876" s="221">
        <v>-1</v>
      </c>
      <c r="E876" s="221">
        <v>103.2</v>
      </c>
    </row>
    <row r="877" spans="1:5">
      <c r="A877" s="247">
        <v>41624.334733796299</v>
      </c>
      <c r="B877" s="221">
        <v>0</v>
      </c>
      <c r="E877" s="221">
        <v>100.2</v>
      </c>
    </row>
    <row r="878" spans="1:5">
      <c r="A878" s="247">
        <v>41624.376400462963</v>
      </c>
      <c r="B878" s="221">
        <v>-1</v>
      </c>
      <c r="E878" s="221">
        <v>102.6</v>
      </c>
    </row>
    <row r="879" spans="1:5">
      <c r="A879" s="247">
        <v>41624.418067129627</v>
      </c>
      <c r="B879" s="221">
        <v>0</v>
      </c>
      <c r="E879" s="221">
        <v>98.4</v>
      </c>
    </row>
    <row r="880" spans="1:5">
      <c r="A880" s="247">
        <v>41624.459733796299</v>
      </c>
      <c r="B880" s="221">
        <v>1</v>
      </c>
      <c r="E880" s="221">
        <v>96.6</v>
      </c>
    </row>
    <row r="881" spans="1:5">
      <c r="A881" s="247">
        <v>41624.501400462963</v>
      </c>
      <c r="B881" s="221">
        <v>7</v>
      </c>
      <c r="E881" s="221">
        <v>78</v>
      </c>
    </row>
    <row r="882" spans="1:5">
      <c r="A882" s="247">
        <v>41624.543067129627</v>
      </c>
      <c r="B882" s="221">
        <v>14</v>
      </c>
      <c r="E882" s="221">
        <v>64.2</v>
      </c>
    </row>
    <row r="883" spans="1:5">
      <c r="A883" s="247">
        <v>41624.584733796299</v>
      </c>
      <c r="B883" s="221">
        <v>18</v>
      </c>
      <c r="E883" s="221">
        <v>45</v>
      </c>
    </row>
    <row r="884" spans="1:5">
      <c r="A884" s="247">
        <v>41624.626400462963</v>
      </c>
      <c r="B884" s="221">
        <v>20.5</v>
      </c>
      <c r="E884" s="221">
        <v>42.6</v>
      </c>
    </row>
    <row r="885" spans="1:5">
      <c r="A885" s="247">
        <v>41624.668067129627</v>
      </c>
      <c r="B885" s="221">
        <v>20</v>
      </c>
      <c r="E885" s="221">
        <v>50.4</v>
      </c>
    </row>
    <row r="886" spans="1:5">
      <c r="A886" s="247">
        <v>41624.709733796299</v>
      </c>
      <c r="B886" s="221">
        <v>17</v>
      </c>
      <c r="E886" s="221">
        <v>57.6</v>
      </c>
    </row>
    <row r="887" spans="1:5">
      <c r="A887" s="247">
        <v>41624.751400462963</v>
      </c>
      <c r="B887" s="221">
        <v>8</v>
      </c>
      <c r="E887" s="221">
        <v>89.4</v>
      </c>
    </row>
    <row r="888" spans="1:5">
      <c r="A888" s="247">
        <v>41624.793067129627</v>
      </c>
      <c r="B888" s="221">
        <v>5.5</v>
      </c>
      <c r="E888" s="221">
        <v>98.4</v>
      </c>
    </row>
    <row r="889" spans="1:5">
      <c r="A889" s="247">
        <v>41624.834733796299</v>
      </c>
      <c r="B889" s="221">
        <v>5.5</v>
      </c>
      <c r="E889" s="221">
        <v>98.4</v>
      </c>
    </row>
    <row r="890" spans="1:5">
      <c r="A890" s="247">
        <v>41624.876400462963</v>
      </c>
      <c r="B890" s="221">
        <v>4</v>
      </c>
      <c r="E890" s="221">
        <v>100.2</v>
      </c>
    </row>
    <row r="891" spans="1:5">
      <c r="A891" s="247">
        <v>41624.918067129627</v>
      </c>
      <c r="B891" s="221">
        <v>3</v>
      </c>
      <c r="E891" s="221">
        <v>101.4</v>
      </c>
    </row>
    <row r="892" spans="1:5">
      <c r="A892" s="247">
        <v>41624.959733796299</v>
      </c>
      <c r="B892" s="221">
        <v>3.5</v>
      </c>
      <c r="E892" s="221">
        <v>93.6</v>
      </c>
    </row>
    <row r="893" spans="1:5">
      <c r="A893" s="247">
        <v>41625.001400462963</v>
      </c>
      <c r="B893" s="221">
        <v>2</v>
      </c>
      <c r="E893" s="221">
        <v>101.4</v>
      </c>
    </row>
    <row r="894" spans="1:5">
      <c r="A894" s="247">
        <v>41625.043067129627</v>
      </c>
      <c r="B894" s="221">
        <v>1</v>
      </c>
      <c r="E894" s="221">
        <v>102</v>
      </c>
    </row>
    <row r="895" spans="1:5">
      <c r="A895" s="247">
        <v>41625.084733796299</v>
      </c>
      <c r="B895" s="221">
        <v>1.5</v>
      </c>
      <c r="E895" s="221">
        <v>98.4</v>
      </c>
    </row>
    <row r="896" spans="1:5">
      <c r="A896" s="247">
        <v>41625.126400462963</v>
      </c>
      <c r="B896" s="221">
        <v>1</v>
      </c>
      <c r="E896" s="221">
        <v>102</v>
      </c>
    </row>
    <row r="897" spans="1:5">
      <c r="A897" s="247">
        <v>41625.168067129627</v>
      </c>
      <c r="B897" s="221">
        <v>0.5</v>
      </c>
      <c r="E897" s="221">
        <v>102</v>
      </c>
    </row>
    <row r="898" spans="1:5">
      <c r="A898" s="247">
        <v>41625.209733796299</v>
      </c>
      <c r="B898" s="221">
        <v>0</v>
      </c>
      <c r="E898" s="221">
        <v>102</v>
      </c>
    </row>
    <row r="899" spans="1:5">
      <c r="A899" s="247">
        <v>41625.251400462963</v>
      </c>
      <c r="B899" s="221">
        <v>0</v>
      </c>
      <c r="E899" s="221">
        <v>100.8</v>
      </c>
    </row>
    <row r="900" spans="1:5">
      <c r="A900" s="247">
        <v>41625.293067129627</v>
      </c>
      <c r="B900" s="221">
        <v>-1</v>
      </c>
      <c r="E900" s="221">
        <v>103.2</v>
      </c>
    </row>
    <row r="901" spans="1:5">
      <c r="A901" s="247">
        <v>41625.334733796299</v>
      </c>
      <c r="B901" s="221">
        <v>-1</v>
      </c>
      <c r="E901" s="221">
        <v>103.8</v>
      </c>
    </row>
    <row r="902" spans="1:5">
      <c r="A902" s="247">
        <v>41625.376400462963</v>
      </c>
      <c r="B902" s="221">
        <v>-1</v>
      </c>
      <c r="E902" s="221">
        <v>103.8</v>
      </c>
    </row>
    <row r="903" spans="1:5">
      <c r="A903" s="247">
        <v>41625.418067129627</v>
      </c>
      <c r="B903" s="221">
        <v>-0.5</v>
      </c>
      <c r="E903" s="221">
        <v>102</v>
      </c>
    </row>
    <row r="904" spans="1:5">
      <c r="A904" s="247">
        <v>41625.459733796299</v>
      </c>
      <c r="B904" s="221">
        <v>1.5</v>
      </c>
      <c r="E904" s="221">
        <v>96.6</v>
      </c>
    </row>
    <row r="905" spans="1:5">
      <c r="A905" s="247">
        <v>41625.501400462963</v>
      </c>
      <c r="B905" s="221">
        <v>10</v>
      </c>
      <c r="E905" s="221">
        <v>69.599999999999994</v>
      </c>
    </row>
    <row r="906" spans="1:5">
      <c r="A906" s="247">
        <v>41625.543067129627</v>
      </c>
      <c r="B906" s="221">
        <v>12.5</v>
      </c>
      <c r="E906" s="221">
        <v>69</v>
      </c>
    </row>
    <row r="907" spans="1:5">
      <c r="A907" s="247">
        <v>41625.584733796299</v>
      </c>
      <c r="B907" s="221">
        <v>18.5</v>
      </c>
      <c r="E907" s="221">
        <v>57.6</v>
      </c>
    </row>
    <row r="908" spans="1:5">
      <c r="A908" s="247">
        <v>41625.626400462963</v>
      </c>
      <c r="B908" s="221">
        <v>13.5</v>
      </c>
      <c r="E908" s="221">
        <v>68.400000000000006</v>
      </c>
    </row>
    <row r="909" spans="1:5">
      <c r="A909" s="247">
        <v>41625.668067129627</v>
      </c>
      <c r="B909" s="221">
        <v>12</v>
      </c>
      <c r="E909" s="221">
        <v>76.8</v>
      </c>
    </row>
    <row r="910" spans="1:5">
      <c r="A910" s="247">
        <v>41625.709733796299</v>
      </c>
      <c r="B910" s="221">
        <v>10.5</v>
      </c>
      <c r="E910" s="221">
        <v>83.4</v>
      </c>
    </row>
    <row r="911" spans="1:5">
      <c r="A911" s="247">
        <v>41625.751400462963</v>
      </c>
      <c r="B911" s="221">
        <v>8.5</v>
      </c>
      <c r="E911" s="221">
        <v>88.2</v>
      </c>
    </row>
    <row r="912" spans="1:5">
      <c r="A912" s="247">
        <v>41625.793067129627</v>
      </c>
      <c r="B912" s="221">
        <v>7.5</v>
      </c>
      <c r="E912" s="221">
        <v>93.6</v>
      </c>
    </row>
    <row r="913" spans="1:5">
      <c r="A913" s="247">
        <v>41625.834733796299</v>
      </c>
      <c r="B913" s="221">
        <v>7</v>
      </c>
      <c r="E913" s="221">
        <v>94.2</v>
      </c>
    </row>
    <row r="914" spans="1:5">
      <c r="A914" s="247">
        <v>41625.876400462963</v>
      </c>
      <c r="B914" s="221">
        <v>7</v>
      </c>
      <c r="E914" s="221">
        <v>95.4</v>
      </c>
    </row>
    <row r="915" spans="1:5">
      <c r="A915" s="247">
        <v>41625.918067129627</v>
      </c>
      <c r="B915" s="221">
        <v>7.5</v>
      </c>
      <c r="E915" s="221">
        <v>93.6</v>
      </c>
    </row>
    <row r="916" spans="1:5">
      <c r="A916" s="247">
        <v>41625.959733796299</v>
      </c>
      <c r="B916" s="221">
        <v>7</v>
      </c>
      <c r="E916" s="221">
        <v>94.2</v>
      </c>
    </row>
    <row r="917" spans="1:5">
      <c r="A917" s="247">
        <v>41626.001400462963</v>
      </c>
      <c r="B917" s="221">
        <v>7</v>
      </c>
      <c r="E917" s="221">
        <v>94.8</v>
      </c>
    </row>
    <row r="918" spans="1:5">
      <c r="A918" s="247">
        <v>41626.043067129627</v>
      </c>
      <c r="B918" s="221">
        <v>5.5</v>
      </c>
      <c r="E918" s="221">
        <v>97.2</v>
      </c>
    </row>
    <row r="919" spans="1:5">
      <c r="A919" s="247">
        <v>41626.084733796299</v>
      </c>
      <c r="B919" s="221">
        <v>5.5</v>
      </c>
      <c r="E919" s="221">
        <v>98.4</v>
      </c>
    </row>
    <row r="920" spans="1:5">
      <c r="A920" s="247">
        <v>41626.126400462963</v>
      </c>
      <c r="B920" s="221">
        <v>6.5</v>
      </c>
      <c r="E920" s="221">
        <v>97.2</v>
      </c>
    </row>
    <row r="921" spans="1:5">
      <c r="A921" s="247">
        <v>41626.168067129627</v>
      </c>
      <c r="B921" s="221">
        <v>6</v>
      </c>
      <c r="E921" s="221">
        <v>98.4</v>
      </c>
    </row>
    <row r="922" spans="1:5">
      <c r="A922" s="247">
        <v>41626.209733796299</v>
      </c>
      <c r="B922" s="221">
        <v>7</v>
      </c>
      <c r="E922" s="221">
        <v>99</v>
      </c>
    </row>
    <row r="923" spans="1:5">
      <c r="A923" s="247">
        <v>41626.251400462963</v>
      </c>
      <c r="B923" s="221">
        <v>7</v>
      </c>
      <c r="E923" s="221">
        <v>100.2</v>
      </c>
    </row>
    <row r="924" spans="1:5">
      <c r="A924" s="247">
        <v>41626.293067129627</v>
      </c>
      <c r="B924" s="221">
        <v>7</v>
      </c>
      <c r="E924" s="221">
        <v>100.2</v>
      </c>
    </row>
    <row r="925" spans="1:5">
      <c r="A925" s="247">
        <v>41626.334733796299</v>
      </c>
      <c r="B925" s="221">
        <v>6</v>
      </c>
      <c r="E925" s="221">
        <v>100.8</v>
      </c>
    </row>
    <row r="926" spans="1:5">
      <c r="A926" s="247">
        <v>41626.376400462963</v>
      </c>
      <c r="B926" s="221">
        <v>4</v>
      </c>
      <c r="E926" s="221">
        <v>104.4</v>
      </c>
    </row>
    <row r="927" spans="1:5">
      <c r="A927" s="247">
        <v>41626.418067129627</v>
      </c>
      <c r="B927" s="221">
        <v>5</v>
      </c>
      <c r="E927" s="221">
        <v>103.8</v>
      </c>
    </row>
    <row r="928" spans="1:5">
      <c r="A928" s="247">
        <v>41626.459733796299</v>
      </c>
      <c r="B928" s="221">
        <v>6.5</v>
      </c>
      <c r="E928" s="221">
        <v>100.2</v>
      </c>
    </row>
    <row r="929" spans="1:5">
      <c r="A929" s="247">
        <v>41626.501400462963</v>
      </c>
      <c r="B929" s="221">
        <v>10.5</v>
      </c>
      <c r="E929" s="221">
        <v>86.4</v>
      </c>
    </row>
    <row r="930" spans="1:5">
      <c r="A930" s="247">
        <v>41626.543067129627</v>
      </c>
      <c r="B930" s="221">
        <v>12.5</v>
      </c>
      <c r="E930" s="221">
        <v>82.2</v>
      </c>
    </row>
    <row r="931" spans="1:5">
      <c r="A931" s="247">
        <v>41626.584733796299</v>
      </c>
      <c r="B931" s="221">
        <v>12</v>
      </c>
      <c r="E931" s="221">
        <v>83.4</v>
      </c>
    </row>
    <row r="932" spans="1:5">
      <c r="A932" s="247">
        <v>41626.626400462963</v>
      </c>
      <c r="B932" s="221">
        <v>15.5</v>
      </c>
      <c r="E932" s="221">
        <v>69</v>
      </c>
    </row>
    <row r="933" spans="1:5">
      <c r="A933" s="247">
        <v>41626.668067129627</v>
      </c>
      <c r="B933" s="221">
        <v>15</v>
      </c>
      <c r="E933" s="221">
        <v>68.400000000000006</v>
      </c>
    </row>
    <row r="934" spans="1:5">
      <c r="A934" s="247">
        <v>41626.709733796299</v>
      </c>
      <c r="B934" s="221">
        <v>13.5</v>
      </c>
      <c r="E934" s="221">
        <v>77.400000000000006</v>
      </c>
    </row>
    <row r="935" spans="1:5">
      <c r="A935" s="247">
        <v>41626.751400462963</v>
      </c>
      <c r="B935" s="221">
        <v>9.5</v>
      </c>
      <c r="E935" s="221">
        <v>91.8</v>
      </c>
    </row>
    <row r="936" spans="1:5">
      <c r="A936" s="247">
        <v>41626.793067129627</v>
      </c>
      <c r="B936" s="221">
        <v>8.5</v>
      </c>
      <c r="E936" s="221">
        <v>91.8</v>
      </c>
    </row>
    <row r="937" spans="1:5">
      <c r="A937" s="247">
        <v>41626.834733796299</v>
      </c>
      <c r="B937" s="221">
        <v>9</v>
      </c>
      <c r="E937" s="221">
        <v>90</v>
      </c>
    </row>
    <row r="938" spans="1:5">
      <c r="A938" s="247">
        <v>41626.876400462963</v>
      </c>
      <c r="B938" s="221">
        <v>7</v>
      </c>
      <c r="E938" s="221">
        <v>96.6</v>
      </c>
    </row>
    <row r="939" spans="1:5">
      <c r="A939" s="247">
        <v>41626.918067129627</v>
      </c>
      <c r="B939" s="221">
        <v>7.5</v>
      </c>
      <c r="E939" s="221">
        <v>96</v>
      </c>
    </row>
    <row r="940" spans="1:5">
      <c r="A940" s="247">
        <v>41626.959733796299</v>
      </c>
      <c r="B940" s="221">
        <v>8.5</v>
      </c>
      <c r="E940" s="221">
        <v>93.6</v>
      </c>
    </row>
    <row r="941" spans="1:5">
      <c r="A941" s="247">
        <v>41627.001400462963</v>
      </c>
      <c r="B941" s="221">
        <v>10</v>
      </c>
      <c r="E941" s="221">
        <v>88.8</v>
      </c>
    </row>
    <row r="942" spans="1:5">
      <c r="A942" s="247">
        <v>41627.043067129627</v>
      </c>
      <c r="B942" s="221">
        <v>10.5</v>
      </c>
      <c r="E942" s="221">
        <v>84</v>
      </c>
    </row>
    <row r="943" spans="1:5">
      <c r="A943" s="247">
        <v>41627.084733796299</v>
      </c>
      <c r="B943" s="221">
        <v>11</v>
      </c>
      <c r="E943" s="221">
        <v>79.8</v>
      </c>
    </row>
    <row r="944" spans="1:5">
      <c r="A944" s="247">
        <v>41627.126400462963</v>
      </c>
      <c r="B944" s="221">
        <v>9</v>
      </c>
      <c r="E944" s="221">
        <v>91.2</v>
      </c>
    </row>
    <row r="945" spans="1:5">
      <c r="A945" s="247">
        <v>41627.168067129627</v>
      </c>
      <c r="B945" s="221">
        <v>9</v>
      </c>
      <c r="E945" s="221">
        <v>96</v>
      </c>
    </row>
    <row r="946" spans="1:5">
      <c r="A946" s="247">
        <v>41627.209733796299</v>
      </c>
      <c r="B946" s="221">
        <v>9</v>
      </c>
      <c r="E946" s="221">
        <v>98.4</v>
      </c>
    </row>
    <row r="947" spans="1:5">
      <c r="A947" s="247">
        <v>41627.251400462963</v>
      </c>
      <c r="B947" s="221">
        <v>9</v>
      </c>
      <c r="E947" s="221">
        <v>100.2</v>
      </c>
    </row>
    <row r="948" spans="1:5">
      <c r="A948" s="247">
        <v>41627.293067129627</v>
      </c>
      <c r="B948" s="221">
        <v>9</v>
      </c>
      <c r="E948" s="221">
        <v>102.6</v>
      </c>
    </row>
    <row r="949" spans="1:5">
      <c r="A949" s="247">
        <v>41627.334733796299</v>
      </c>
      <c r="B949" s="221">
        <v>9</v>
      </c>
      <c r="E949" s="221">
        <v>102</v>
      </c>
    </row>
    <row r="950" spans="1:5">
      <c r="A950" s="247">
        <v>41627.376400462963</v>
      </c>
      <c r="B950" s="221">
        <v>9</v>
      </c>
      <c r="E950" s="221">
        <v>101.4</v>
      </c>
    </row>
    <row r="951" spans="1:5">
      <c r="A951" s="247">
        <v>41627.418067129627</v>
      </c>
      <c r="B951" s="221">
        <v>9</v>
      </c>
      <c r="E951" s="221">
        <v>100.8</v>
      </c>
    </row>
    <row r="952" spans="1:5">
      <c r="A952" s="247">
        <v>41627.459733796299</v>
      </c>
      <c r="B952" s="221">
        <v>9</v>
      </c>
      <c r="E952" s="221">
        <v>96.6</v>
      </c>
    </row>
    <row r="953" spans="1:5">
      <c r="A953" s="247">
        <v>41627.501400462963</v>
      </c>
      <c r="B953" s="221">
        <v>9.5</v>
      </c>
      <c r="E953" s="221">
        <v>90.6</v>
      </c>
    </row>
    <row r="954" spans="1:5">
      <c r="A954" s="247">
        <v>41627.543067129627</v>
      </c>
      <c r="B954" s="221">
        <v>11</v>
      </c>
      <c r="E954" s="221">
        <v>81.599999999999994</v>
      </c>
    </row>
    <row r="955" spans="1:5">
      <c r="A955" s="247">
        <v>41627.584733796299</v>
      </c>
      <c r="B955" s="221">
        <v>14</v>
      </c>
      <c r="E955" s="221">
        <v>72</v>
      </c>
    </row>
    <row r="956" spans="1:5">
      <c r="A956" s="247">
        <v>41627.626400462963</v>
      </c>
      <c r="B956" s="221">
        <v>11.5</v>
      </c>
      <c r="E956" s="221">
        <v>72</v>
      </c>
    </row>
    <row r="957" spans="1:5">
      <c r="A957" s="247">
        <v>41627.668067129627</v>
      </c>
      <c r="B957" s="221">
        <v>12</v>
      </c>
      <c r="E957" s="221">
        <v>70.2</v>
      </c>
    </row>
    <row r="958" spans="1:5">
      <c r="A958" s="247">
        <v>41627.709733796299</v>
      </c>
      <c r="B958" s="221">
        <v>11</v>
      </c>
      <c r="E958" s="221">
        <v>72</v>
      </c>
    </row>
    <row r="959" spans="1:5">
      <c r="A959" s="247">
        <v>41627.751400462963</v>
      </c>
      <c r="B959" s="221">
        <v>6.5</v>
      </c>
      <c r="E959" s="221">
        <v>90</v>
      </c>
    </row>
    <row r="960" spans="1:5">
      <c r="A960" s="247">
        <v>41627.793067129627</v>
      </c>
      <c r="B960" s="221">
        <v>4</v>
      </c>
      <c r="E960" s="221">
        <v>98.4</v>
      </c>
    </row>
    <row r="961" spans="1:5">
      <c r="A961" s="247">
        <v>41627.834733796299</v>
      </c>
      <c r="B961" s="221">
        <v>4</v>
      </c>
      <c r="E961" s="221">
        <v>98.4</v>
      </c>
    </row>
    <row r="962" spans="1:5">
      <c r="A962" s="247">
        <v>41627.876400462963</v>
      </c>
      <c r="B962" s="221">
        <v>2.5</v>
      </c>
      <c r="E962" s="221">
        <v>102.6</v>
      </c>
    </row>
    <row r="963" spans="1:5">
      <c r="A963" s="247">
        <v>41627.918067129627</v>
      </c>
      <c r="B963" s="221">
        <v>1.5</v>
      </c>
      <c r="E963" s="221">
        <v>105</v>
      </c>
    </row>
    <row r="964" spans="1:5">
      <c r="A964" s="247">
        <v>41627.959733796299</v>
      </c>
      <c r="B964" s="221">
        <v>1</v>
      </c>
      <c r="E964" s="221">
        <v>104.4</v>
      </c>
    </row>
    <row r="965" spans="1:5">
      <c r="A965" s="247">
        <v>41628.001400462963</v>
      </c>
      <c r="B965" s="221">
        <v>2</v>
      </c>
      <c r="E965" s="221">
        <v>105</v>
      </c>
    </row>
    <row r="966" spans="1:5">
      <c r="A966" s="247">
        <v>41628.043067129627</v>
      </c>
      <c r="B966" s="221">
        <v>2.5</v>
      </c>
      <c r="E966" s="221">
        <v>105.6</v>
      </c>
    </row>
    <row r="967" spans="1:5">
      <c r="A967" s="247">
        <v>41628.084733796299</v>
      </c>
      <c r="B967" s="221">
        <v>4</v>
      </c>
      <c r="E967" s="221">
        <v>102</v>
      </c>
    </row>
    <row r="968" spans="1:5">
      <c r="A968" s="247">
        <v>41628.126400462963</v>
      </c>
      <c r="B968" s="221">
        <v>4</v>
      </c>
      <c r="E968" s="221">
        <v>99.6</v>
      </c>
    </row>
    <row r="969" spans="1:5">
      <c r="A969" s="247">
        <v>41628.168067129627</v>
      </c>
      <c r="B969" s="221">
        <v>4</v>
      </c>
      <c r="E969" s="221">
        <v>102</v>
      </c>
    </row>
    <row r="970" spans="1:5">
      <c r="A970" s="247">
        <v>41628.209733796299</v>
      </c>
      <c r="B970" s="221">
        <v>4</v>
      </c>
      <c r="E970" s="221">
        <v>103.2</v>
      </c>
    </row>
    <row r="971" spans="1:5">
      <c r="A971" s="247">
        <v>41628.251400462963</v>
      </c>
      <c r="B971" s="221">
        <v>4.5</v>
      </c>
      <c r="E971" s="221">
        <v>103.8</v>
      </c>
    </row>
    <row r="972" spans="1:5">
      <c r="A972" s="247">
        <v>41628.293067129627</v>
      </c>
      <c r="B972" s="221">
        <v>4</v>
      </c>
      <c r="E972" s="221">
        <v>105</v>
      </c>
    </row>
    <row r="973" spans="1:5">
      <c r="A973" s="247">
        <v>41628.334733796299</v>
      </c>
      <c r="B973" s="221">
        <v>4</v>
      </c>
      <c r="E973" s="221">
        <v>103.8</v>
      </c>
    </row>
    <row r="974" spans="1:5">
      <c r="A974" s="247">
        <v>41628.376400462963</v>
      </c>
      <c r="B974" s="221">
        <v>3.5</v>
      </c>
      <c r="E974" s="221">
        <v>103.8</v>
      </c>
    </row>
    <row r="975" spans="1:5">
      <c r="A975" s="247">
        <v>41628.418067129627</v>
      </c>
      <c r="B975" s="221">
        <v>1.5</v>
      </c>
      <c r="E975" s="221">
        <v>105.6</v>
      </c>
    </row>
    <row r="976" spans="1:5">
      <c r="A976" s="247">
        <v>41628.459733796299</v>
      </c>
      <c r="B976" s="221">
        <v>3.5</v>
      </c>
      <c r="E976" s="221">
        <v>105</v>
      </c>
    </row>
    <row r="977" spans="1:5">
      <c r="A977" s="247">
        <v>41628.501400462963</v>
      </c>
      <c r="B977" s="221">
        <v>8</v>
      </c>
      <c r="E977" s="221">
        <v>89.4</v>
      </c>
    </row>
    <row r="978" spans="1:5">
      <c r="A978" s="247">
        <v>41628.543067129627</v>
      </c>
      <c r="B978" s="221">
        <v>10</v>
      </c>
      <c r="E978" s="221">
        <v>81.599999999999994</v>
      </c>
    </row>
    <row r="979" spans="1:5">
      <c r="A979" s="247">
        <v>41628.584733796299</v>
      </c>
      <c r="B979" s="221">
        <v>11.5</v>
      </c>
      <c r="E979" s="221">
        <v>73.8</v>
      </c>
    </row>
    <row r="980" spans="1:5">
      <c r="A980" s="247">
        <v>41628.626400462963</v>
      </c>
      <c r="B980" s="221">
        <v>12</v>
      </c>
      <c r="E980" s="221">
        <v>73.2</v>
      </c>
    </row>
    <row r="981" spans="1:5">
      <c r="A981" s="247">
        <v>41628.668067129627</v>
      </c>
      <c r="B981" s="221">
        <v>12</v>
      </c>
      <c r="E981" s="221">
        <v>72</v>
      </c>
    </row>
    <row r="982" spans="1:5">
      <c r="A982" s="247">
        <v>41628.709733796299</v>
      </c>
      <c r="B982" s="221">
        <v>11</v>
      </c>
      <c r="E982" s="221">
        <v>72.599999999999994</v>
      </c>
    </row>
    <row r="983" spans="1:5">
      <c r="A983" s="247">
        <v>41628.751400462963</v>
      </c>
      <c r="B983" s="221">
        <v>5</v>
      </c>
      <c r="E983" s="221">
        <v>91.8</v>
      </c>
    </row>
    <row r="984" spans="1:5">
      <c r="A984" s="247">
        <v>41628.793067129627</v>
      </c>
      <c r="B984" s="221">
        <v>1.5</v>
      </c>
      <c r="E984" s="221">
        <v>103.8</v>
      </c>
    </row>
    <row r="985" spans="1:5">
      <c r="A985" s="247">
        <v>41628.834733796299</v>
      </c>
      <c r="B985" s="221">
        <v>2.5</v>
      </c>
      <c r="E985" s="221">
        <v>103.2</v>
      </c>
    </row>
    <row r="986" spans="1:5">
      <c r="A986" s="247">
        <v>41628.876400462963</v>
      </c>
      <c r="B986" s="221">
        <v>0</v>
      </c>
      <c r="E986" s="221">
        <v>105</v>
      </c>
    </row>
    <row r="987" spans="1:5">
      <c r="A987" s="247">
        <v>41628.918067129627</v>
      </c>
      <c r="B987" s="221">
        <v>0</v>
      </c>
      <c r="E987" s="221">
        <v>105.6</v>
      </c>
    </row>
    <row r="988" spans="1:5">
      <c r="A988" s="247">
        <v>41628.959733796299</v>
      </c>
      <c r="B988" s="221">
        <v>0.5</v>
      </c>
      <c r="E988" s="221">
        <v>105.6</v>
      </c>
    </row>
    <row r="989" spans="1:5">
      <c r="A989" s="247">
        <v>41629.001400462963</v>
      </c>
      <c r="B989" s="221">
        <v>-0.5</v>
      </c>
      <c r="E989" s="221">
        <v>105</v>
      </c>
    </row>
    <row r="990" spans="1:5">
      <c r="A990" s="247">
        <v>41629.043067129627</v>
      </c>
      <c r="B990" s="221">
        <v>-1</v>
      </c>
      <c r="E990" s="221">
        <v>106.2</v>
      </c>
    </row>
    <row r="991" spans="1:5">
      <c r="A991" s="247">
        <v>41629.084733796299</v>
      </c>
      <c r="B991" s="221">
        <v>-0.5</v>
      </c>
      <c r="E991" s="221">
        <v>106.2</v>
      </c>
    </row>
    <row r="992" spans="1:5">
      <c r="A992" s="247">
        <v>41629.126400462963</v>
      </c>
      <c r="B992" s="221">
        <v>-1.5</v>
      </c>
      <c r="E992" s="221">
        <v>106.8</v>
      </c>
    </row>
    <row r="993" spans="1:5">
      <c r="A993" s="247">
        <v>41629.168067129627</v>
      </c>
      <c r="B993" s="221">
        <v>-1</v>
      </c>
      <c r="E993" s="221">
        <v>106.8</v>
      </c>
    </row>
    <row r="994" spans="1:5">
      <c r="A994" s="247">
        <v>41629.209733796299</v>
      </c>
      <c r="B994" s="221">
        <v>-1</v>
      </c>
      <c r="E994" s="221">
        <v>106.8</v>
      </c>
    </row>
    <row r="995" spans="1:5">
      <c r="A995" s="247">
        <v>41629.251400462963</v>
      </c>
      <c r="B995" s="221">
        <v>-0.5</v>
      </c>
      <c r="E995" s="221">
        <v>106.8</v>
      </c>
    </row>
    <row r="996" spans="1:5">
      <c r="A996" s="247">
        <v>41629.293067129627</v>
      </c>
      <c r="B996" s="221">
        <v>0</v>
      </c>
      <c r="E996" s="221">
        <v>106.2</v>
      </c>
    </row>
    <row r="997" spans="1:5">
      <c r="A997" s="247">
        <v>41629.334733796299</v>
      </c>
      <c r="B997" s="221">
        <v>0</v>
      </c>
      <c r="E997" s="221">
        <v>106.2</v>
      </c>
    </row>
    <row r="998" spans="1:5">
      <c r="A998" s="247">
        <v>41629.376400462963</v>
      </c>
      <c r="B998" s="221">
        <v>0</v>
      </c>
      <c r="E998" s="221">
        <v>105</v>
      </c>
    </row>
    <row r="999" spans="1:5">
      <c r="A999" s="247">
        <v>41629.418067129627</v>
      </c>
      <c r="B999" s="221">
        <v>0.5</v>
      </c>
      <c r="E999" s="221">
        <v>100.2</v>
      </c>
    </row>
    <row r="1000" spans="1:5">
      <c r="A1000" s="247">
        <v>41629.459733796299</v>
      </c>
      <c r="B1000" s="221">
        <v>1.5</v>
      </c>
      <c r="E1000" s="221">
        <v>97.2</v>
      </c>
    </row>
    <row r="1001" spans="1:5">
      <c r="A1001" s="247">
        <v>41629.501400462963</v>
      </c>
      <c r="B1001" s="221">
        <v>3.5</v>
      </c>
      <c r="E1001" s="221">
        <v>91.8</v>
      </c>
    </row>
    <row r="1002" spans="1:5">
      <c r="A1002" s="247">
        <v>41629.543067129627</v>
      </c>
      <c r="B1002" s="221">
        <v>4.5</v>
      </c>
      <c r="E1002" s="221">
        <v>91.8</v>
      </c>
    </row>
    <row r="1003" spans="1:5">
      <c r="A1003" s="247">
        <v>41629.584733796299</v>
      </c>
      <c r="B1003" s="221">
        <v>6.5</v>
      </c>
      <c r="E1003" s="221">
        <v>82.2</v>
      </c>
    </row>
    <row r="1004" spans="1:5">
      <c r="A1004" s="247">
        <v>41629.626400462963</v>
      </c>
      <c r="B1004" s="221">
        <v>6.5</v>
      </c>
      <c r="E1004" s="221">
        <v>82.8</v>
      </c>
    </row>
    <row r="1005" spans="1:5">
      <c r="A1005" s="247">
        <v>41629.668067129627</v>
      </c>
      <c r="B1005" s="221">
        <v>6</v>
      </c>
      <c r="E1005" s="221">
        <v>88.8</v>
      </c>
    </row>
    <row r="1006" spans="1:5">
      <c r="A1006" s="247">
        <v>41629.709733796299</v>
      </c>
      <c r="B1006" s="221">
        <v>5.5</v>
      </c>
      <c r="E1006" s="221">
        <v>87</v>
      </c>
    </row>
    <row r="1007" spans="1:5">
      <c r="A1007" s="247">
        <v>41629.751400462963</v>
      </c>
      <c r="B1007" s="221">
        <v>4</v>
      </c>
      <c r="E1007" s="221">
        <v>91.8</v>
      </c>
    </row>
    <row r="1008" spans="1:5">
      <c r="A1008" s="247">
        <v>41629.793067129627</v>
      </c>
      <c r="B1008" s="221">
        <v>4</v>
      </c>
      <c r="E1008" s="221">
        <v>91.2</v>
      </c>
    </row>
    <row r="1009" spans="1:5">
      <c r="A1009" s="247">
        <v>41629.834733796299</v>
      </c>
      <c r="B1009" s="221">
        <v>1.5</v>
      </c>
      <c r="E1009" s="221">
        <v>97.2</v>
      </c>
    </row>
    <row r="1010" spans="1:5">
      <c r="A1010" s="247">
        <v>41629.876400462963</v>
      </c>
      <c r="B1010" s="221">
        <v>3.5</v>
      </c>
      <c r="E1010" s="221">
        <v>89.4</v>
      </c>
    </row>
    <row r="1011" spans="1:5">
      <c r="A1011" s="247">
        <v>41629.918067129627</v>
      </c>
      <c r="B1011" s="221">
        <v>3.5</v>
      </c>
      <c r="E1011" s="221">
        <v>88.2</v>
      </c>
    </row>
    <row r="1012" spans="1:5">
      <c r="A1012" s="247">
        <v>41629.959733796299</v>
      </c>
      <c r="B1012" s="221">
        <v>3</v>
      </c>
      <c r="E1012" s="221">
        <v>91.8</v>
      </c>
    </row>
    <row r="1013" spans="1:5">
      <c r="A1013" s="247">
        <v>41630.001400462963</v>
      </c>
      <c r="B1013" s="221">
        <v>5.5</v>
      </c>
      <c r="E1013" s="221">
        <v>89.4</v>
      </c>
    </row>
    <row r="1014" spans="1:5">
      <c r="A1014" s="247">
        <v>41630.043067129627</v>
      </c>
      <c r="B1014" s="221">
        <v>6.5</v>
      </c>
      <c r="E1014" s="221">
        <v>86.4</v>
      </c>
    </row>
    <row r="1015" spans="1:5">
      <c r="A1015" s="247">
        <v>41630.084733796299</v>
      </c>
      <c r="B1015" s="221">
        <v>6</v>
      </c>
      <c r="E1015" s="221">
        <v>87.6</v>
      </c>
    </row>
    <row r="1016" spans="1:5">
      <c r="A1016" s="247">
        <v>41630.126400462963</v>
      </c>
      <c r="B1016" s="221">
        <v>5.5</v>
      </c>
      <c r="E1016" s="221">
        <v>91.8</v>
      </c>
    </row>
    <row r="1017" spans="1:5">
      <c r="A1017" s="247">
        <v>41630.168067129627</v>
      </c>
      <c r="B1017" s="221">
        <v>6</v>
      </c>
      <c r="E1017" s="221">
        <v>92.4</v>
      </c>
    </row>
    <row r="1018" spans="1:5">
      <c r="A1018" s="247">
        <v>41630.209733796299</v>
      </c>
      <c r="B1018" s="221">
        <v>6.5</v>
      </c>
      <c r="E1018" s="221">
        <v>95.4</v>
      </c>
    </row>
    <row r="1019" spans="1:5">
      <c r="A1019" s="247">
        <v>41630.251400462963</v>
      </c>
      <c r="B1019" s="221">
        <v>7</v>
      </c>
      <c r="E1019" s="221">
        <v>95.4</v>
      </c>
    </row>
    <row r="1020" spans="1:5">
      <c r="A1020" s="247">
        <v>41630.293067129627</v>
      </c>
      <c r="B1020" s="221">
        <v>6.5</v>
      </c>
      <c r="E1020" s="221">
        <v>100.8</v>
      </c>
    </row>
    <row r="1021" spans="1:5">
      <c r="A1021" s="247">
        <v>41630.334733796299</v>
      </c>
      <c r="B1021" s="221">
        <v>6.5</v>
      </c>
      <c r="E1021" s="221">
        <v>101.4</v>
      </c>
    </row>
    <row r="1022" spans="1:5">
      <c r="A1022" s="247">
        <v>41630.376400462963</v>
      </c>
      <c r="B1022" s="221">
        <v>7</v>
      </c>
      <c r="E1022" s="221">
        <v>102</v>
      </c>
    </row>
    <row r="1023" spans="1:5">
      <c r="A1023" s="247">
        <v>41630.418067129627</v>
      </c>
      <c r="B1023" s="221">
        <v>6.5</v>
      </c>
      <c r="E1023" s="221">
        <v>100.2</v>
      </c>
    </row>
    <row r="1024" spans="1:5">
      <c r="A1024" s="247">
        <v>41630.459733796299</v>
      </c>
      <c r="B1024" s="221">
        <v>7</v>
      </c>
      <c r="E1024" s="221">
        <v>96.6</v>
      </c>
    </row>
    <row r="1025" spans="1:5">
      <c r="A1025" s="247">
        <v>41630.501400462963</v>
      </c>
      <c r="B1025" s="221">
        <v>8</v>
      </c>
      <c r="E1025" s="221">
        <v>96.6</v>
      </c>
    </row>
    <row r="1026" spans="1:5">
      <c r="A1026" s="247">
        <v>41630.543067129627</v>
      </c>
      <c r="B1026" s="221">
        <v>9.5</v>
      </c>
      <c r="E1026" s="221">
        <v>93.6</v>
      </c>
    </row>
    <row r="1027" spans="1:5">
      <c r="A1027" s="247">
        <v>41630.584733796299</v>
      </c>
      <c r="B1027" s="221">
        <v>11</v>
      </c>
      <c r="E1027" s="221">
        <v>88.8</v>
      </c>
    </row>
    <row r="1028" spans="1:5">
      <c r="A1028" s="247">
        <v>41630.626400462963</v>
      </c>
      <c r="B1028" s="221">
        <v>11</v>
      </c>
      <c r="E1028" s="221">
        <v>87.6</v>
      </c>
    </row>
    <row r="1029" spans="1:5">
      <c r="A1029" s="247">
        <v>41630.668067129627</v>
      </c>
      <c r="B1029" s="221">
        <v>10.5</v>
      </c>
      <c r="E1029" s="221">
        <v>86.4</v>
      </c>
    </row>
    <row r="1030" spans="1:5">
      <c r="A1030" s="247">
        <v>41630.709733796299</v>
      </c>
      <c r="B1030" s="221">
        <v>10.5</v>
      </c>
      <c r="E1030" s="221">
        <v>88.2</v>
      </c>
    </row>
    <row r="1031" spans="1:5">
      <c r="A1031" s="247">
        <v>41630.751400462963</v>
      </c>
      <c r="B1031" s="221">
        <v>10</v>
      </c>
      <c r="E1031" s="221">
        <v>89.4</v>
      </c>
    </row>
    <row r="1032" spans="1:5">
      <c r="A1032" s="247">
        <v>41630.793067129627</v>
      </c>
      <c r="B1032" s="221">
        <v>9.5</v>
      </c>
      <c r="E1032" s="221">
        <v>93.6</v>
      </c>
    </row>
    <row r="1033" spans="1:5">
      <c r="A1033" s="247">
        <v>41630.834733796299</v>
      </c>
      <c r="B1033" s="221">
        <v>8.5</v>
      </c>
      <c r="E1033" s="221">
        <v>98.4</v>
      </c>
    </row>
    <row r="1034" spans="1:5">
      <c r="A1034" s="247">
        <v>41630.876400462963</v>
      </c>
      <c r="B1034" s="221">
        <v>9</v>
      </c>
      <c r="E1034" s="221">
        <v>97.2</v>
      </c>
    </row>
    <row r="1035" spans="1:5">
      <c r="A1035" s="247">
        <v>41630.918067129627</v>
      </c>
      <c r="B1035" s="221">
        <v>9</v>
      </c>
      <c r="E1035" s="221">
        <v>97.2</v>
      </c>
    </row>
    <row r="1036" spans="1:5">
      <c r="A1036" s="247">
        <v>41630.959733796299</v>
      </c>
      <c r="B1036" s="221">
        <v>9</v>
      </c>
      <c r="E1036" s="221">
        <v>97.2</v>
      </c>
    </row>
    <row r="1037" spans="1:5">
      <c r="A1037" s="247">
        <v>41631.001400462963</v>
      </c>
      <c r="B1037" s="221">
        <v>9</v>
      </c>
      <c r="E1037" s="221">
        <v>98.4</v>
      </c>
    </row>
    <row r="1038" spans="1:5">
      <c r="A1038" s="247">
        <v>41631.043067129627</v>
      </c>
      <c r="B1038" s="221">
        <v>8.5</v>
      </c>
      <c r="E1038" s="221">
        <v>102</v>
      </c>
    </row>
    <row r="1039" spans="1:5">
      <c r="A1039" s="247">
        <v>41631.084733796299</v>
      </c>
      <c r="B1039" s="221">
        <v>8.5</v>
      </c>
      <c r="E1039" s="221">
        <v>102</v>
      </c>
    </row>
    <row r="1040" spans="1:5">
      <c r="A1040" s="247">
        <v>41631.126400462963</v>
      </c>
      <c r="B1040" s="221">
        <v>8.5</v>
      </c>
      <c r="E1040" s="221">
        <v>102</v>
      </c>
    </row>
    <row r="1041" spans="1:5">
      <c r="A1041" s="247">
        <v>41631.168067129627</v>
      </c>
      <c r="B1041" s="221">
        <v>9</v>
      </c>
      <c r="E1041" s="221">
        <v>99.6</v>
      </c>
    </row>
    <row r="1042" spans="1:5">
      <c r="A1042" s="247">
        <v>41631.209733796299</v>
      </c>
      <c r="B1042" s="221">
        <v>8.5</v>
      </c>
      <c r="E1042" s="221">
        <v>100.8</v>
      </c>
    </row>
    <row r="1043" spans="1:5">
      <c r="A1043" s="247">
        <v>41631.251400462963</v>
      </c>
      <c r="B1043" s="221">
        <v>8.5</v>
      </c>
      <c r="E1043" s="221">
        <v>101.4</v>
      </c>
    </row>
    <row r="1044" spans="1:5">
      <c r="A1044" s="247">
        <v>41631.293067129627</v>
      </c>
      <c r="B1044" s="221">
        <v>8.5</v>
      </c>
      <c r="E1044" s="221">
        <v>101.4</v>
      </c>
    </row>
    <row r="1045" spans="1:5">
      <c r="A1045" s="247">
        <v>41631.334733796299</v>
      </c>
      <c r="B1045" s="221">
        <v>8.5</v>
      </c>
      <c r="E1045" s="221">
        <v>100.8</v>
      </c>
    </row>
    <row r="1046" spans="1:5">
      <c r="A1046" s="247">
        <v>41631.376400462963</v>
      </c>
      <c r="B1046" s="221">
        <v>8.5</v>
      </c>
      <c r="E1046" s="221">
        <v>100.2</v>
      </c>
    </row>
    <row r="1047" spans="1:5">
      <c r="A1047" s="247">
        <v>41631.418067129627</v>
      </c>
      <c r="B1047" s="221">
        <v>8.5</v>
      </c>
      <c r="E1047" s="221">
        <v>97.8</v>
      </c>
    </row>
    <row r="1048" spans="1:5">
      <c r="A1048" s="247">
        <v>41631.459733796299</v>
      </c>
      <c r="B1048" s="221">
        <v>9.5</v>
      </c>
      <c r="E1048" s="221">
        <v>96.6</v>
      </c>
    </row>
    <row r="1049" spans="1:5">
      <c r="A1049" s="247">
        <v>41631.501400462963</v>
      </c>
      <c r="B1049" s="221">
        <v>11.5</v>
      </c>
      <c r="E1049" s="221">
        <v>88.8</v>
      </c>
    </row>
    <row r="1050" spans="1:5">
      <c r="A1050" s="247">
        <v>41631.543067129627</v>
      </c>
      <c r="B1050" s="221">
        <v>13.5</v>
      </c>
      <c r="E1050" s="221">
        <v>78.599999999999994</v>
      </c>
    </row>
    <row r="1051" spans="1:5">
      <c r="A1051" s="247">
        <v>41631.584733796299</v>
      </c>
      <c r="B1051" s="221">
        <v>15</v>
      </c>
      <c r="E1051" s="221">
        <v>73.8</v>
      </c>
    </row>
    <row r="1052" spans="1:5">
      <c r="A1052" s="247">
        <v>41631.626400462963</v>
      </c>
      <c r="B1052" s="221">
        <v>14</v>
      </c>
      <c r="E1052" s="221">
        <v>74.400000000000006</v>
      </c>
    </row>
    <row r="1053" spans="1:5">
      <c r="A1053" s="247">
        <v>41631.668067129627</v>
      </c>
      <c r="B1053" s="221">
        <v>13.5</v>
      </c>
      <c r="E1053" s="221">
        <v>73.8</v>
      </c>
    </row>
    <row r="1054" spans="1:5">
      <c r="A1054" s="247">
        <v>41631.709733796299</v>
      </c>
      <c r="B1054" s="221">
        <v>12</v>
      </c>
      <c r="E1054" s="221">
        <v>79.8</v>
      </c>
    </row>
    <row r="1055" spans="1:5">
      <c r="A1055" s="247">
        <v>41631.751400462963</v>
      </c>
      <c r="B1055" s="221">
        <v>10.5</v>
      </c>
      <c r="E1055" s="221">
        <v>82.2</v>
      </c>
    </row>
    <row r="1056" spans="1:5">
      <c r="A1056" s="247">
        <v>41631.793067129627</v>
      </c>
      <c r="B1056" s="221">
        <v>10</v>
      </c>
      <c r="E1056" s="221">
        <v>80.400000000000006</v>
      </c>
    </row>
    <row r="1057" spans="1:5">
      <c r="A1057" s="247">
        <v>41631.834733796299</v>
      </c>
      <c r="B1057" s="221">
        <v>9.5</v>
      </c>
      <c r="E1057" s="221">
        <v>81</v>
      </c>
    </row>
    <row r="1058" spans="1:5">
      <c r="A1058" s="247">
        <v>41631.876400462963</v>
      </c>
      <c r="B1058" s="221">
        <v>9.5</v>
      </c>
      <c r="E1058" s="221">
        <v>81</v>
      </c>
    </row>
    <row r="1059" spans="1:5">
      <c r="A1059" s="247">
        <v>41631.918067129627</v>
      </c>
      <c r="B1059" s="221">
        <v>9.5</v>
      </c>
      <c r="E1059" s="221">
        <v>79.2</v>
      </c>
    </row>
    <row r="1060" spans="1:5">
      <c r="A1060" s="247">
        <v>41631.959733796299</v>
      </c>
      <c r="B1060" s="221">
        <v>9.5</v>
      </c>
      <c r="E1060" s="221">
        <v>79.8</v>
      </c>
    </row>
    <row r="1061" spans="1:5">
      <c r="A1061" s="247">
        <v>41632.001400462963</v>
      </c>
      <c r="B1061" s="221">
        <v>9.5</v>
      </c>
      <c r="E1061" s="221">
        <v>80.400000000000006</v>
      </c>
    </row>
    <row r="1062" spans="1:5">
      <c r="A1062" s="247">
        <v>41632.043067129627</v>
      </c>
      <c r="B1062" s="221">
        <v>10</v>
      </c>
      <c r="E1062" s="221">
        <v>78</v>
      </c>
    </row>
    <row r="1063" spans="1:5">
      <c r="A1063" s="247">
        <v>41632.084733796299</v>
      </c>
      <c r="B1063" s="221">
        <v>10</v>
      </c>
      <c r="E1063" s="221">
        <v>75</v>
      </c>
    </row>
    <row r="1064" spans="1:5">
      <c r="A1064" s="247">
        <v>41632.126400462963</v>
      </c>
      <c r="B1064" s="221">
        <v>11</v>
      </c>
      <c r="E1064" s="221">
        <v>68.400000000000006</v>
      </c>
    </row>
    <row r="1065" spans="1:5">
      <c r="A1065" s="247">
        <v>41632.168067129627</v>
      </c>
      <c r="B1065" s="221">
        <v>11</v>
      </c>
      <c r="E1065" s="221">
        <v>71.400000000000006</v>
      </c>
    </row>
    <row r="1066" spans="1:5">
      <c r="A1066" s="247">
        <v>41632.209733796299</v>
      </c>
      <c r="B1066" s="221">
        <v>10.5</v>
      </c>
      <c r="E1066" s="221">
        <v>74.400000000000006</v>
      </c>
    </row>
    <row r="1067" spans="1:5">
      <c r="A1067" s="247">
        <v>41632.251400462963</v>
      </c>
      <c r="B1067" s="221">
        <v>9.5</v>
      </c>
      <c r="E1067" s="221">
        <v>84</v>
      </c>
    </row>
    <row r="1068" spans="1:5">
      <c r="A1068" s="247">
        <v>41632.293067129627</v>
      </c>
      <c r="B1068" s="221">
        <v>9.5</v>
      </c>
      <c r="E1068" s="221">
        <v>87.6</v>
      </c>
    </row>
    <row r="1069" spans="1:5">
      <c r="A1069" s="247">
        <v>41632.334733796299</v>
      </c>
      <c r="B1069" s="221">
        <v>9.5</v>
      </c>
      <c r="E1069" s="221">
        <v>87.6</v>
      </c>
    </row>
    <row r="1070" spans="1:5">
      <c r="A1070" s="247">
        <v>41632.376400462963</v>
      </c>
      <c r="B1070" s="221">
        <v>9</v>
      </c>
      <c r="E1070" s="221">
        <v>95.4</v>
      </c>
    </row>
    <row r="1071" spans="1:5">
      <c r="A1071" s="247">
        <v>41632.418067129627</v>
      </c>
      <c r="B1071" s="221">
        <v>9</v>
      </c>
      <c r="E1071" s="221">
        <v>102</v>
      </c>
    </row>
    <row r="1072" spans="1:5">
      <c r="A1072" s="247">
        <v>41632.459733796299</v>
      </c>
      <c r="B1072" s="221">
        <v>9</v>
      </c>
      <c r="E1072" s="221">
        <v>97.8</v>
      </c>
    </row>
    <row r="1073" spans="1:5">
      <c r="A1073" s="247">
        <v>41632.501400462963</v>
      </c>
      <c r="B1073" s="221">
        <v>9.5</v>
      </c>
      <c r="E1073" s="221">
        <v>98.4</v>
      </c>
    </row>
    <row r="1074" spans="1:5">
      <c r="A1074" s="247">
        <v>41632.543067129627</v>
      </c>
      <c r="B1074" s="221">
        <v>10</v>
      </c>
      <c r="E1074" s="221">
        <v>95.4</v>
      </c>
    </row>
    <row r="1075" spans="1:5">
      <c r="A1075" s="247">
        <v>41632.584733796299</v>
      </c>
      <c r="B1075" s="221">
        <v>10</v>
      </c>
      <c r="E1075" s="221">
        <v>98.4</v>
      </c>
    </row>
    <row r="1076" spans="1:5">
      <c r="A1076" s="247">
        <v>41632.626400462963</v>
      </c>
      <c r="B1076" s="221">
        <v>10</v>
      </c>
      <c r="E1076" s="221">
        <v>99.6</v>
      </c>
    </row>
    <row r="1077" spans="1:5">
      <c r="A1077" s="247">
        <v>41632.668067129627</v>
      </c>
      <c r="B1077" s="221">
        <v>10.5</v>
      </c>
      <c r="E1077" s="221">
        <v>91.8</v>
      </c>
    </row>
    <row r="1078" spans="1:5">
      <c r="A1078" s="247">
        <v>41632.709733796299</v>
      </c>
      <c r="B1078" s="221">
        <v>11.5</v>
      </c>
      <c r="E1078" s="221">
        <v>88.8</v>
      </c>
    </row>
    <row r="1079" spans="1:5">
      <c r="A1079" s="247">
        <v>41632.751400462963</v>
      </c>
      <c r="B1079" s="221">
        <v>12</v>
      </c>
      <c r="E1079" s="221">
        <v>85.8</v>
      </c>
    </row>
    <row r="1080" spans="1:5">
      <c r="A1080" s="247">
        <v>41632.793067129627</v>
      </c>
      <c r="B1080" s="221">
        <v>11</v>
      </c>
      <c r="E1080" s="221">
        <v>91.8</v>
      </c>
    </row>
    <row r="1081" spans="1:5">
      <c r="A1081" s="247">
        <v>41632.834733796299</v>
      </c>
      <c r="B1081" s="221">
        <v>10.5</v>
      </c>
      <c r="E1081" s="221">
        <v>96.6</v>
      </c>
    </row>
    <row r="1082" spans="1:5">
      <c r="A1082" s="247">
        <v>41632.876400462963</v>
      </c>
      <c r="B1082" s="221">
        <v>11</v>
      </c>
      <c r="E1082" s="221">
        <v>91.2</v>
      </c>
    </row>
    <row r="1083" spans="1:5">
      <c r="A1083" s="247">
        <v>41632.918067129627</v>
      </c>
      <c r="B1083" s="221">
        <v>10.5</v>
      </c>
      <c r="E1083" s="221">
        <v>97.2</v>
      </c>
    </row>
    <row r="1084" spans="1:5">
      <c r="A1084" s="247">
        <v>41632.959733796299</v>
      </c>
      <c r="B1084" s="221">
        <v>10.5</v>
      </c>
      <c r="E1084" s="221">
        <v>96.6</v>
      </c>
    </row>
    <row r="1085" spans="1:5">
      <c r="A1085" s="247">
        <v>41633.001400462963</v>
      </c>
      <c r="B1085" s="221">
        <v>9.5</v>
      </c>
      <c r="E1085" s="221">
        <v>102</v>
      </c>
    </row>
    <row r="1086" spans="1:5">
      <c r="A1086" s="247">
        <v>41633.043067129627</v>
      </c>
      <c r="B1086" s="221">
        <v>9.5</v>
      </c>
      <c r="E1086" s="221">
        <v>102</v>
      </c>
    </row>
    <row r="1087" spans="1:5">
      <c r="A1087" s="247">
        <v>41633.084733796299</v>
      </c>
      <c r="B1087" s="221">
        <v>8.5</v>
      </c>
      <c r="E1087" s="221">
        <v>101.4</v>
      </c>
    </row>
    <row r="1088" spans="1:5">
      <c r="A1088" s="247">
        <v>41633.126400462963</v>
      </c>
      <c r="B1088" s="221">
        <v>8</v>
      </c>
      <c r="E1088" s="221">
        <v>102.6</v>
      </c>
    </row>
    <row r="1089" spans="1:5">
      <c r="A1089" s="247">
        <v>41633.168067129627</v>
      </c>
      <c r="B1089" s="221">
        <v>8</v>
      </c>
      <c r="E1089" s="221">
        <v>103.2</v>
      </c>
    </row>
    <row r="1090" spans="1:5">
      <c r="A1090" s="247">
        <v>41633.209733796299</v>
      </c>
      <c r="B1090" s="221">
        <v>8</v>
      </c>
      <c r="E1090" s="221">
        <v>103.8</v>
      </c>
    </row>
    <row r="1091" spans="1:5">
      <c r="A1091" s="247">
        <v>41633.251400462963</v>
      </c>
      <c r="B1091" s="221">
        <v>7.5</v>
      </c>
      <c r="E1091" s="221">
        <v>103.8</v>
      </c>
    </row>
    <row r="1092" spans="1:5">
      <c r="A1092" s="247">
        <v>41633.293067129627</v>
      </c>
      <c r="B1092" s="221">
        <v>7</v>
      </c>
      <c r="E1092" s="221">
        <v>103.8</v>
      </c>
    </row>
    <row r="1093" spans="1:5">
      <c r="A1093" s="247">
        <v>41633.334733796299</v>
      </c>
      <c r="B1093" s="221">
        <v>6</v>
      </c>
      <c r="E1093" s="221">
        <v>102.6</v>
      </c>
    </row>
    <row r="1094" spans="1:5">
      <c r="A1094" s="247">
        <v>41633.376400462963</v>
      </c>
      <c r="B1094" s="221">
        <v>5.5</v>
      </c>
      <c r="E1094" s="221">
        <v>104.4</v>
      </c>
    </row>
    <row r="1095" spans="1:5">
      <c r="A1095" s="247">
        <v>41633.418067129627</v>
      </c>
      <c r="B1095" s="221">
        <v>6</v>
      </c>
      <c r="E1095" s="221">
        <v>105</v>
      </c>
    </row>
    <row r="1096" spans="1:5">
      <c r="A1096" s="247">
        <v>41633.459733796299</v>
      </c>
      <c r="B1096" s="221">
        <v>7.5</v>
      </c>
      <c r="E1096" s="221">
        <v>103.2</v>
      </c>
    </row>
    <row r="1097" spans="1:5">
      <c r="A1097" s="247">
        <v>41633.501400462963</v>
      </c>
      <c r="B1097" s="221">
        <v>8</v>
      </c>
      <c r="E1097" s="221">
        <v>99</v>
      </c>
    </row>
    <row r="1098" spans="1:5">
      <c r="A1098" s="247">
        <v>41633.543067129627</v>
      </c>
      <c r="B1098" s="221">
        <v>12</v>
      </c>
      <c r="E1098" s="221">
        <v>85.8</v>
      </c>
    </row>
    <row r="1099" spans="1:5">
      <c r="A1099" s="247">
        <v>41633.584733796299</v>
      </c>
      <c r="B1099" s="221">
        <v>11.5</v>
      </c>
      <c r="E1099" s="221">
        <v>81</v>
      </c>
    </row>
    <row r="1100" spans="1:5">
      <c r="A1100" s="247">
        <v>41633.626400462963</v>
      </c>
      <c r="B1100" s="221">
        <v>11.5</v>
      </c>
      <c r="E1100" s="221">
        <v>78.599999999999994</v>
      </c>
    </row>
    <row r="1101" spans="1:5">
      <c r="A1101" s="247">
        <v>41633.668067129627</v>
      </c>
      <c r="B1101" s="221">
        <v>9.5</v>
      </c>
      <c r="E1101" s="221">
        <v>82.2</v>
      </c>
    </row>
    <row r="1102" spans="1:5">
      <c r="A1102" s="247">
        <v>41633.709733796299</v>
      </c>
      <c r="B1102" s="221">
        <v>8.5</v>
      </c>
      <c r="E1102" s="221">
        <v>88.8</v>
      </c>
    </row>
    <row r="1103" spans="1:5">
      <c r="A1103" s="247">
        <v>41633.751400462963</v>
      </c>
      <c r="B1103" s="221">
        <v>7</v>
      </c>
      <c r="E1103" s="221">
        <v>96</v>
      </c>
    </row>
    <row r="1104" spans="1:5">
      <c r="A1104" s="247">
        <v>41633.793067129627</v>
      </c>
      <c r="B1104" s="221">
        <v>6</v>
      </c>
      <c r="E1104" s="221">
        <v>99.6</v>
      </c>
    </row>
    <row r="1105" spans="1:5">
      <c r="A1105" s="247">
        <v>41633.834733796299</v>
      </c>
      <c r="B1105" s="221">
        <v>5.5</v>
      </c>
      <c r="E1105" s="221">
        <v>100.2</v>
      </c>
    </row>
    <row r="1106" spans="1:5">
      <c r="A1106" s="247">
        <v>41633.876400462963</v>
      </c>
      <c r="B1106" s="221">
        <v>5</v>
      </c>
      <c r="E1106" s="221">
        <v>101.4</v>
      </c>
    </row>
    <row r="1107" spans="1:5">
      <c r="A1107" s="247">
        <v>41633.918067129627</v>
      </c>
      <c r="B1107" s="221">
        <v>4.5</v>
      </c>
      <c r="E1107" s="221">
        <v>102</v>
      </c>
    </row>
    <row r="1108" spans="1:5">
      <c r="A1108" s="247">
        <v>41633.959733796299</v>
      </c>
      <c r="B1108" s="221">
        <v>4</v>
      </c>
      <c r="E1108" s="221">
        <v>103.8</v>
      </c>
    </row>
    <row r="1109" spans="1:5">
      <c r="A1109" s="247">
        <v>41634.001400462963</v>
      </c>
      <c r="B1109" s="221">
        <v>3.5</v>
      </c>
      <c r="E1109" s="221">
        <v>103.8</v>
      </c>
    </row>
    <row r="1110" spans="1:5">
      <c r="A1110" s="247">
        <v>41634.043067129627</v>
      </c>
      <c r="B1110" s="221">
        <v>4.5</v>
      </c>
      <c r="E1110" s="221">
        <v>102</v>
      </c>
    </row>
    <row r="1111" spans="1:5">
      <c r="A1111" s="247">
        <v>41634.084733796299</v>
      </c>
      <c r="B1111" s="221">
        <v>4.5</v>
      </c>
      <c r="E1111" s="221">
        <v>101.4</v>
      </c>
    </row>
    <row r="1112" spans="1:5">
      <c r="A1112" s="247">
        <v>41634.126400462963</v>
      </c>
      <c r="B1112" s="221">
        <v>5</v>
      </c>
      <c r="E1112" s="221">
        <v>103.8</v>
      </c>
    </row>
    <row r="1113" spans="1:5">
      <c r="A1113" s="247">
        <v>41634.168067129627</v>
      </c>
      <c r="B1113" s="221">
        <v>5</v>
      </c>
      <c r="E1113" s="221">
        <v>103.2</v>
      </c>
    </row>
    <row r="1114" spans="1:5">
      <c r="A1114" s="247">
        <v>41634.209733796299</v>
      </c>
      <c r="B1114" s="221">
        <v>5</v>
      </c>
      <c r="E1114" s="221">
        <v>104.4</v>
      </c>
    </row>
    <row r="1115" spans="1:5">
      <c r="A1115" s="247">
        <v>41634.251400462963</v>
      </c>
      <c r="B1115" s="221">
        <v>5</v>
      </c>
      <c r="E1115" s="221">
        <v>103.8</v>
      </c>
    </row>
    <row r="1116" spans="1:5">
      <c r="A1116" s="247">
        <v>41634.293067129627</v>
      </c>
      <c r="B1116" s="221">
        <v>4.5</v>
      </c>
      <c r="E1116" s="221">
        <v>104.4</v>
      </c>
    </row>
    <row r="1117" spans="1:5">
      <c r="A1117" s="247">
        <v>41634.334733796299</v>
      </c>
      <c r="B1117" s="221">
        <v>4.5</v>
      </c>
      <c r="E1117" s="221">
        <v>103.8</v>
      </c>
    </row>
    <row r="1118" spans="1:5">
      <c r="A1118" s="247">
        <v>41634.376400462963</v>
      </c>
      <c r="B1118" s="221">
        <v>3.5</v>
      </c>
      <c r="E1118" s="221">
        <v>103.8</v>
      </c>
    </row>
    <row r="1119" spans="1:5">
      <c r="A1119" s="247">
        <v>41634.418067129627</v>
      </c>
      <c r="B1119" s="221">
        <v>3</v>
      </c>
      <c r="E1119" s="221">
        <v>103.8</v>
      </c>
    </row>
    <row r="1120" spans="1:5">
      <c r="A1120" s="247">
        <v>41634.459733796299</v>
      </c>
      <c r="B1120" s="221">
        <v>3.5</v>
      </c>
      <c r="E1120" s="221">
        <v>103.8</v>
      </c>
    </row>
    <row r="1121" spans="1:5">
      <c r="A1121" s="247">
        <v>41634.501400462963</v>
      </c>
      <c r="B1121" s="221">
        <v>5</v>
      </c>
      <c r="E1121" s="221">
        <v>100.2</v>
      </c>
    </row>
    <row r="1122" spans="1:5">
      <c r="A1122" s="247">
        <v>41634.543067129627</v>
      </c>
      <c r="B1122" s="221">
        <v>5.5</v>
      </c>
      <c r="E1122" s="221">
        <v>97.2</v>
      </c>
    </row>
    <row r="1123" spans="1:5">
      <c r="A1123" s="247">
        <v>41634.584733796299</v>
      </c>
      <c r="B1123" s="221">
        <v>10</v>
      </c>
      <c r="E1123" s="221">
        <v>82.2</v>
      </c>
    </row>
    <row r="1124" spans="1:5">
      <c r="A1124" s="247">
        <v>41634.626400462963</v>
      </c>
      <c r="B1124" s="221">
        <v>9.5</v>
      </c>
      <c r="E1124" s="221">
        <v>85.8</v>
      </c>
    </row>
    <row r="1125" spans="1:5">
      <c r="A1125" s="247">
        <v>41634.668067129627</v>
      </c>
      <c r="B1125" s="221">
        <v>10.5</v>
      </c>
      <c r="E1125" s="221">
        <v>78</v>
      </c>
    </row>
    <row r="1126" spans="1:5">
      <c r="A1126" s="247">
        <v>41634.709733796299</v>
      </c>
      <c r="B1126" s="221">
        <v>9.5</v>
      </c>
      <c r="E1126" s="221">
        <v>82.2</v>
      </c>
    </row>
    <row r="1127" spans="1:5">
      <c r="A1127" s="247">
        <v>41634.751400462963</v>
      </c>
      <c r="B1127" s="221">
        <v>6</v>
      </c>
      <c r="E1127" s="221">
        <v>93.6</v>
      </c>
    </row>
    <row r="1128" spans="1:5">
      <c r="A1128" s="247">
        <v>41634.793067129627</v>
      </c>
      <c r="B1128" s="221">
        <v>3.5</v>
      </c>
      <c r="E1128" s="221">
        <v>100.8</v>
      </c>
    </row>
    <row r="1129" spans="1:5">
      <c r="A1129" s="247">
        <v>41634.834733796299</v>
      </c>
      <c r="B1129" s="221">
        <v>3.5</v>
      </c>
      <c r="E1129" s="221">
        <v>99.6</v>
      </c>
    </row>
    <row r="1130" spans="1:5">
      <c r="A1130" s="247">
        <v>41634.876400462963</v>
      </c>
      <c r="B1130" s="221">
        <v>3</v>
      </c>
      <c r="E1130" s="221">
        <v>102</v>
      </c>
    </row>
    <row r="1131" spans="1:5">
      <c r="A1131" s="247">
        <v>41634.918067129627</v>
      </c>
      <c r="B1131" s="221">
        <v>2</v>
      </c>
      <c r="E1131" s="221">
        <v>103.8</v>
      </c>
    </row>
    <row r="1132" spans="1:5">
      <c r="A1132" s="247">
        <v>41634.959733796299</v>
      </c>
      <c r="B1132" s="221">
        <v>2</v>
      </c>
      <c r="E1132" s="221">
        <v>105</v>
      </c>
    </row>
    <row r="1133" spans="1:5">
      <c r="A1133" s="247">
        <v>41635.001400462963</v>
      </c>
      <c r="B1133" s="221">
        <v>3</v>
      </c>
      <c r="E1133" s="221">
        <v>103.2</v>
      </c>
    </row>
    <row r="1134" spans="1:5">
      <c r="A1134" s="247">
        <v>41635.043067129627</v>
      </c>
      <c r="B1134" s="221">
        <v>3.5</v>
      </c>
      <c r="E1134" s="221">
        <v>102</v>
      </c>
    </row>
    <row r="1135" spans="1:5">
      <c r="A1135" s="247">
        <v>41635.084733796299</v>
      </c>
      <c r="B1135" s="221">
        <v>3.5</v>
      </c>
      <c r="E1135" s="221">
        <v>102</v>
      </c>
    </row>
    <row r="1136" spans="1:5">
      <c r="A1136" s="247">
        <v>41635.126400462963</v>
      </c>
      <c r="B1136" s="221">
        <v>5</v>
      </c>
      <c r="E1136" s="221">
        <v>97.8</v>
      </c>
    </row>
    <row r="1137" spans="1:5">
      <c r="A1137" s="247">
        <v>41635.168067129627</v>
      </c>
      <c r="B1137" s="221">
        <v>5</v>
      </c>
      <c r="E1137" s="221">
        <v>99.6</v>
      </c>
    </row>
    <row r="1138" spans="1:5">
      <c r="A1138" s="247">
        <v>41635.209733796299</v>
      </c>
      <c r="B1138" s="221">
        <v>5.5</v>
      </c>
      <c r="E1138" s="221">
        <v>99</v>
      </c>
    </row>
    <row r="1139" spans="1:5">
      <c r="A1139" s="247">
        <v>41635.251400462963</v>
      </c>
      <c r="B1139" s="221">
        <v>6</v>
      </c>
      <c r="E1139" s="221">
        <v>101.4</v>
      </c>
    </row>
    <row r="1140" spans="1:5">
      <c r="A1140" s="247">
        <v>41635.293067129627</v>
      </c>
      <c r="B1140" s="221">
        <v>6.5</v>
      </c>
      <c r="E1140" s="221">
        <v>102</v>
      </c>
    </row>
    <row r="1141" spans="1:5">
      <c r="A1141" s="247">
        <v>41635.334733796299</v>
      </c>
      <c r="B1141" s="221">
        <v>7.5</v>
      </c>
      <c r="E1141" s="221">
        <v>98.4</v>
      </c>
    </row>
    <row r="1142" spans="1:5">
      <c r="A1142" s="247">
        <v>41635.376400462963</v>
      </c>
      <c r="B1142" s="221">
        <v>7</v>
      </c>
      <c r="E1142" s="221">
        <v>102</v>
      </c>
    </row>
    <row r="1143" spans="1:5">
      <c r="A1143" s="247">
        <v>41635.418067129627</v>
      </c>
      <c r="B1143" s="221">
        <v>8</v>
      </c>
      <c r="E1143" s="221">
        <v>100.2</v>
      </c>
    </row>
    <row r="1144" spans="1:5">
      <c r="A1144" s="247">
        <v>41635.459733796299</v>
      </c>
      <c r="B1144" s="221">
        <v>8.5</v>
      </c>
      <c r="E1144" s="221">
        <v>100.8</v>
      </c>
    </row>
    <row r="1145" spans="1:5">
      <c r="A1145" s="247">
        <v>41635.501400462963</v>
      </c>
      <c r="B1145" s="221">
        <v>9.5</v>
      </c>
      <c r="E1145" s="221">
        <v>99</v>
      </c>
    </row>
    <row r="1146" spans="1:5">
      <c r="A1146" s="247">
        <v>41635.543067129627</v>
      </c>
      <c r="B1146" s="221">
        <v>10.5</v>
      </c>
      <c r="E1146" s="221">
        <v>96.6</v>
      </c>
    </row>
    <row r="1147" spans="1:5">
      <c r="A1147" s="247">
        <v>41635.584733796299</v>
      </c>
      <c r="B1147" s="221">
        <v>12</v>
      </c>
      <c r="E1147" s="221">
        <v>92.4</v>
      </c>
    </row>
    <row r="1148" spans="1:5">
      <c r="A1148" s="247">
        <v>41635.626400462963</v>
      </c>
      <c r="B1148" s="221">
        <v>13.5</v>
      </c>
      <c r="E1148" s="221">
        <v>86.4</v>
      </c>
    </row>
    <row r="1149" spans="1:5">
      <c r="A1149" s="247">
        <v>41635.668067129627</v>
      </c>
      <c r="B1149" s="221">
        <v>13</v>
      </c>
      <c r="E1149" s="221">
        <v>84.6</v>
      </c>
    </row>
    <row r="1150" spans="1:5">
      <c r="A1150" s="247">
        <v>41635.709733796299</v>
      </c>
      <c r="B1150" s="221">
        <v>13</v>
      </c>
      <c r="E1150" s="221">
        <v>85.2</v>
      </c>
    </row>
    <row r="1151" spans="1:5">
      <c r="A1151" s="247">
        <v>41635.751400462963</v>
      </c>
      <c r="B1151" s="221">
        <v>12</v>
      </c>
      <c r="E1151" s="221">
        <v>87.6</v>
      </c>
    </row>
    <row r="1152" spans="1:5">
      <c r="A1152" s="247">
        <v>41635.793067129627</v>
      </c>
      <c r="B1152" s="221">
        <v>11.5</v>
      </c>
      <c r="E1152" s="221">
        <v>87.6</v>
      </c>
    </row>
    <row r="1153" spans="1:5">
      <c r="A1153" s="247">
        <v>41635.834733796299</v>
      </c>
      <c r="B1153" s="221">
        <v>11</v>
      </c>
      <c r="E1153" s="221">
        <v>90</v>
      </c>
    </row>
    <row r="1154" spans="1:5">
      <c r="A1154" s="247">
        <v>41635.876400462963</v>
      </c>
      <c r="B1154" s="221">
        <v>11.5</v>
      </c>
      <c r="E1154" s="221">
        <v>87.6</v>
      </c>
    </row>
    <row r="1155" spans="1:5">
      <c r="A1155" s="247">
        <v>41635.918067129627</v>
      </c>
      <c r="B1155" s="221">
        <v>11.5</v>
      </c>
      <c r="E1155" s="221">
        <v>85.8</v>
      </c>
    </row>
    <row r="1156" spans="1:5">
      <c r="A1156" s="247">
        <v>41635.959733796299</v>
      </c>
      <c r="B1156" s="221">
        <v>11.5</v>
      </c>
      <c r="E1156" s="221">
        <v>85.8</v>
      </c>
    </row>
    <row r="1157" spans="1:5">
      <c r="A1157" s="247">
        <v>41636.001400462963</v>
      </c>
      <c r="B1157" s="221">
        <v>11</v>
      </c>
      <c r="E1157" s="221">
        <v>89.4</v>
      </c>
    </row>
    <row r="1158" spans="1:5">
      <c r="A1158" s="247">
        <v>41636.043067129627</v>
      </c>
      <c r="B1158" s="221">
        <v>10</v>
      </c>
      <c r="E1158" s="221">
        <v>93</v>
      </c>
    </row>
    <row r="1159" spans="1:5">
      <c r="A1159" s="247">
        <v>41636.084733796299</v>
      </c>
      <c r="B1159" s="221">
        <v>11</v>
      </c>
      <c r="E1159" s="221">
        <v>89.4</v>
      </c>
    </row>
    <row r="1160" spans="1:5">
      <c r="A1160" s="247">
        <v>41636.126400462963</v>
      </c>
      <c r="B1160" s="221">
        <v>10</v>
      </c>
      <c r="E1160" s="221">
        <v>100.2</v>
      </c>
    </row>
    <row r="1161" spans="1:5">
      <c r="A1161" s="247">
        <v>41636.168067129627</v>
      </c>
      <c r="B1161" s="221">
        <v>9</v>
      </c>
      <c r="E1161" s="221">
        <v>101.4</v>
      </c>
    </row>
    <row r="1162" spans="1:5">
      <c r="A1162" s="247">
        <v>41636.209733796299</v>
      </c>
      <c r="B1162" s="221">
        <v>9.5</v>
      </c>
      <c r="E1162" s="221">
        <v>101.4</v>
      </c>
    </row>
    <row r="1163" spans="1:5">
      <c r="A1163" s="247">
        <v>41636.251400462963</v>
      </c>
      <c r="B1163" s="221">
        <v>9</v>
      </c>
      <c r="E1163" s="221">
        <v>102</v>
      </c>
    </row>
    <row r="1164" spans="1:5">
      <c r="A1164" s="247">
        <v>41636.293067129627</v>
      </c>
      <c r="B1164" s="221">
        <v>9</v>
      </c>
      <c r="E1164" s="221">
        <v>100.8</v>
      </c>
    </row>
    <row r="1165" spans="1:5">
      <c r="A1165" s="247">
        <v>41636.334733796299</v>
      </c>
      <c r="B1165" s="221">
        <v>8.5</v>
      </c>
      <c r="E1165" s="221">
        <v>99</v>
      </c>
    </row>
    <row r="1166" spans="1:5">
      <c r="A1166" s="247">
        <v>41636.376400462963</v>
      </c>
      <c r="B1166" s="221">
        <v>8</v>
      </c>
      <c r="E1166" s="221">
        <v>99.6</v>
      </c>
    </row>
    <row r="1167" spans="1:5">
      <c r="A1167" s="247">
        <v>41636.418067129627</v>
      </c>
      <c r="B1167" s="221">
        <v>8</v>
      </c>
      <c r="E1167" s="221">
        <v>99.6</v>
      </c>
    </row>
    <row r="1168" spans="1:5">
      <c r="A1168" s="247">
        <v>41636.459733796299</v>
      </c>
      <c r="B1168" s="221">
        <v>9.5</v>
      </c>
      <c r="E1168" s="221">
        <v>94.2</v>
      </c>
    </row>
    <row r="1169" spans="1:5">
      <c r="A1169" s="247">
        <v>41636.501400462963</v>
      </c>
      <c r="B1169" s="221">
        <v>9.5</v>
      </c>
      <c r="E1169" s="221">
        <v>94.8</v>
      </c>
    </row>
    <row r="1170" spans="1:5">
      <c r="A1170" s="247">
        <v>41636.543067129627</v>
      </c>
      <c r="B1170" s="221">
        <v>10</v>
      </c>
      <c r="E1170" s="221">
        <v>91.8</v>
      </c>
    </row>
    <row r="1171" spans="1:5">
      <c r="A1171" s="247">
        <v>41636.584733796299</v>
      </c>
      <c r="B1171" s="221">
        <v>10.5</v>
      </c>
      <c r="E1171" s="221">
        <v>90</v>
      </c>
    </row>
    <row r="1172" spans="1:5">
      <c r="A1172" s="247">
        <v>41636.626400462963</v>
      </c>
      <c r="B1172" s="221">
        <v>9.5</v>
      </c>
      <c r="E1172" s="221">
        <v>92.4</v>
      </c>
    </row>
    <row r="1173" spans="1:5">
      <c r="A1173" s="247">
        <v>41636.668067129627</v>
      </c>
      <c r="B1173" s="221">
        <v>7.5</v>
      </c>
      <c r="E1173" s="221">
        <v>94.2</v>
      </c>
    </row>
    <row r="1174" spans="1:5">
      <c r="A1174" s="247">
        <v>41636.709733796299</v>
      </c>
      <c r="B1174" s="221">
        <v>6.5</v>
      </c>
      <c r="E1174" s="221">
        <v>94.2</v>
      </c>
    </row>
    <row r="1175" spans="1:5">
      <c r="A1175" s="247">
        <v>41636.751400462963</v>
      </c>
      <c r="B1175" s="221">
        <v>5</v>
      </c>
      <c r="E1175" s="221">
        <v>98.4</v>
      </c>
    </row>
    <row r="1176" spans="1:5">
      <c r="A1176" s="247">
        <v>41636.793067129627</v>
      </c>
      <c r="B1176" s="221">
        <v>4</v>
      </c>
      <c r="E1176" s="221">
        <v>102</v>
      </c>
    </row>
    <row r="1177" spans="1:5">
      <c r="A1177" s="247">
        <v>41636.834733796299</v>
      </c>
      <c r="B1177" s="221">
        <v>4.5</v>
      </c>
      <c r="E1177" s="221">
        <v>102</v>
      </c>
    </row>
    <row r="1178" spans="1:5">
      <c r="A1178" s="247">
        <v>41636.876400462963</v>
      </c>
      <c r="B1178" s="221">
        <v>4.5</v>
      </c>
      <c r="E1178" s="221">
        <v>102</v>
      </c>
    </row>
    <row r="1179" spans="1:5">
      <c r="A1179" s="247">
        <v>41636.918067129627</v>
      </c>
      <c r="B1179" s="221">
        <v>5</v>
      </c>
      <c r="E1179" s="221">
        <v>99.6</v>
      </c>
    </row>
    <row r="1180" spans="1:5">
      <c r="A1180" s="247">
        <v>41636.959733796299</v>
      </c>
      <c r="B1180" s="221">
        <v>4.5</v>
      </c>
      <c r="E1180" s="221">
        <v>100.2</v>
      </c>
    </row>
    <row r="1181" spans="1:5">
      <c r="A1181" s="247">
        <v>41637.001400462963</v>
      </c>
      <c r="B1181" s="221">
        <v>4.5</v>
      </c>
      <c r="E1181" s="221">
        <v>99.6</v>
      </c>
    </row>
    <row r="1182" spans="1:5">
      <c r="A1182" s="247">
        <v>41637.043067129627</v>
      </c>
      <c r="B1182" s="221">
        <v>4.5</v>
      </c>
      <c r="E1182" s="221">
        <v>100.2</v>
      </c>
    </row>
    <row r="1183" spans="1:5">
      <c r="A1183" s="247">
        <v>41637.084733796299</v>
      </c>
      <c r="B1183" s="221">
        <v>4.5</v>
      </c>
      <c r="E1183" s="221">
        <v>101.4</v>
      </c>
    </row>
    <row r="1184" spans="1:5">
      <c r="A1184" s="247">
        <v>41637.126400462963</v>
      </c>
      <c r="B1184" s="221">
        <v>4.5</v>
      </c>
      <c r="E1184" s="221">
        <v>102</v>
      </c>
    </row>
    <row r="1185" spans="1:5">
      <c r="A1185" s="247">
        <v>41637.168067129627</v>
      </c>
      <c r="B1185" s="221">
        <v>4.5</v>
      </c>
      <c r="E1185" s="221">
        <v>100.8</v>
      </c>
    </row>
    <row r="1186" spans="1:5">
      <c r="A1186" s="247">
        <v>41637.209733796299</v>
      </c>
      <c r="B1186" s="221">
        <v>4</v>
      </c>
      <c r="E1186" s="221">
        <v>101.4</v>
      </c>
    </row>
    <row r="1187" spans="1:5">
      <c r="A1187" s="247">
        <v>41637.251400462963</v>
      </c>
      <c r="B1187" s="221">
        <v>4</v>
      </c>
      <c r="E1187" s="221">
        <v>103.2</v>
      </c>
    </row>
    <row r="1188" spans="1:5">
      <c r="A1188" s="247">
        <v>41637.293067129627</v>
      </c>
      <c r="B1188" s="221">
        <v>4</v>
      </c>
      <c r="E1188" s="221">
        <v>102.6</v>
      </c>
    </row>
    <row r="1189" spans="1:5">
      <c r="A1189" s="247">
        <v>41637.334733796299</v>
      </c>
      <c r="B1189" s="221">
        <v>4.5</v>
      </c>
      <c r="E1189" s="221">
        <v>100.8</v>
      </c>
    </row>
    <row r="1190" spans="1:5">
      <c r="A1190" s="247">
        <v>41637.376400462963</v>
      </c>
      <c r="B1190" s="221">
        <v>3.5</v>
      </c>
      <c r="E1190" s="221">
        <v>102</v>
      </c>
    </row>
    <row r="1191" spans="1:5">
      <c r="A1191" s="247">
        <v>41637.418067129627</v>
      </c>
      <c r="B1191" s="221">
        <v>3.5</v>
      </c>
      <c r="E1191" s="221">
        <v>103.2</v>
      </c>
    </row>
    <row r="1192" spans="1:5">
      <c r="A1192" s="247">
        <v>41637.459733796299</v>
      </c>
      <c r="B1192" s="221">
        <v>5.5</v>
      </c>
      <c r="E1192" s="221">
        <v>99</v>
      </c>
    </row>
    <row r="1193" spans="1:5">
      <c r="A1193" s="247">
        <v>41637.501400462963</v>
      </c>
      <c r="B1193" s="221">
        <v>6</v>
      </c>
      <c r="E1193" s="221">
        <v>99</v>
      </c>
    </row>
    <row r="1194" spans="1:5">
      <c r="A1194" s="247">
        <v>41637.543067129627</v>
      </c>
      <c r="B1194" s="221">
        <v>7</v>
      </c>
      <c r="E1194" s="221">
        <v>94.8</v>
      </c>
    </row>
    <row r="1195" spans="1:5">
      <c r="A1195" s="247">
        <v>41637.584733796299</v>
      </c>
      <c r="B1195" s="221">
        <v>8.5</v>
      </c>
      <c r="E1195" s="221">
        <v>88.8</v>
      </c>
    </row>
    <row r="1196" spans="1:5">
      <c r="A1196" s="247">
        <v>41637.626400462963</v>
      </c>
      <c r="B1196" s="221">
        <v>8</v>
      </c>
      <c r="E1196" s="221">
        <v>88.8</v>
      </c>
    </row>
    <row r="1197" spans="1:5">
      <c r="A1197" s="247">
        <v>41637.668067129627</v>
      </c>
      <c r="B1197" s="221">
        <v>8</v>
      </c>
      <c r="E1197" s="221">
        <v>88.8</v>
      </c>
    </row>
    <row r="1198" spans="1:5">
      <c r="A1198" s="247">
        <v>41637.709733796299</v>
      </c>
      <c r="B1198" s="221">
        <v>7.5</v>
      </c>
      <c r="E1198" s="221">
        <v>90.6</v>
      </c>
    </row>
    <row r="1199" spans="1:5">
      <c r="A1199" s="247">
        <v>41637.751400462963</v>
      </c>
      <c r="B1199" s="221">
        <v>5</v>
      </c>
      <c r="E1199" s="221">
        <v>99.6</v>
      </c>
    </row>
    <row r="1200" spans="1:5">
      <c r="A1200" s="247">
        <v>41637.793067129627</v>
      </c>
      <c r="B1200" s="221">
        <v>3</v>
      </c>
      <c r="E1200" s="221">
        <v>102</v>
      </c>
    </row>
    <row r="1201" spans="1:5">
      <c r="A1201" s="247">
        <v>41637.834733796299</v>
      </c>
      <c r="B1201" s="221">
        <v>3</v>
      </c>
      <c r="E1201" s="221">
        <v>103.8</v>
      </c>
    </row>
    <row r="1202" spans="1:5">
      <c r="A1202" s="247">
        <v>41637.876400462963</v>
      </c>
      <c r="B1202" s="221">
        <v>2.5</v>
      </c>
      <c r="E1202" s="221">
        <v>105</v>
      </c>
    </row>
    <row r="1203" spans="1:5">
      <c r="A1203" s="247">
        <v>41637.918067129627</v>
      </c>
      <c r="B1203" s="221">
        <v>1.5</v>
      </c>
      <c r="E1203" s="221">
        <v>105.6</v>
      </c>
    </row>
    <row r="1204" spans="1:5">
      <c r="A1204" s="247">
        <v>41637.959733796299</v>
      </c>
      <c r="B1204" s="221">
        <v>0.5</v>
      </c>
      <c r="E1204" s="221">
        <v>106.2</v>
      </c>
    </row>
    <row r="1205" spans="1:5">
      <c r="A1205" s="247">
        <v>41638.001400462963</v>
      </c>
      <c r="B1205" s="221">
        <v>1</v>
      </c>
      <c r="E1205" s="221">
        <v>106.2</v>
      </c>
    </row>
    <row r="1206" spans="1:5">
      <c r="A1206" s="247">
        <v>41638.043067129627</v>
      </c>
      <c r="B1206" s="221">
        <v>1</v>
      </c>
      <c r="E1206" s="221">
        <v>106.2</v>
      </c>
    </row>
    <row r="1207" spans="1:5">
      <c r="A1207" s="247">
        <v>41638.084733796299</v>
      </c>
      <c r="B1207" s="221">
        <v>1</v>
      </c>
      <c r="E1207" s="221">
        <v>106.2</v>
      </c>
    </row>
    <row r="1208" spans="1:5">
      <c r="A1208" s="247">
        <v>41638.126400462963</v>
      </c>
      <c r="B1208" s="221">
        <v>0.5</v>
      </c>
      <c r="E1208" s="221">
        <v>106.2</v>
      </c>
    </row>
    <row r="1209" spans="1:5">
      <c r="A1209" s="247">
        <v>41638.168067129627</v>
      </c>
      <c r="B1209" s="221">
        <v>0</v>
      </c>
      <c r="E1209" s="221">
        <v>106.8</v>
      </c>
    </row>
    <row r="1210" spans="1:5">
      <c r="A1210" s="247">
        <v>41638.209733796299</v>
      </c>
      <c r="B1210" s="221">
        <v>0</v>
      </c>
      <c r="E1210" s="221">
        <v>105.6</v>
      </c>
    </row>
    <row r="1211" spans="1:5">
      <c r="A1211" s="247">
        <v>41638.251400462963</v>
      </c>
      <c r="B1211" s="221">
        <v>1</v>
      </c>
      <c r="E1211" s="221">
        <v>106.8</v>
      </c>
    </row>
    <row r="1212" spans="1:5">
      <c r="A1212" s="247">
        <v>41638.293067129627</v>
      </c>
      <c r="B1212" s="221">
        <v>1</v>
      </c>
      <c r="E1212" s="221">
        <v>106.8</v>
      </c>
    </row>
    <row r="1213" spans="1:5">
      <c r="A1213" s="247">
        <v>41638.334733796299</v>
      </c>
      <c r="B1213" s="221">
        <v>1</v>
      </c>
      <c r="E1213" s="221">
        <v>106.8</v>
      </c>
    </row>
    <row r="1214" spans="1:5">
      <c r="A1214" s="247">
        <v>41638.376400462963</v>
      </c>
      <c r="B1214" s="221">
        <v>0.5</v>
      </c>
      <c r="E1214" s="221">
        <v>106.8</v>
      </c>
    </row>
    <row r="1215" spans="1:5">
      <c r="A1215" s="247">
        <v>41638.418067129627</v>
      </c>
      <c r="B1215" s="221">
        <v>1.5</v>
      </c>
      <c r="E1215" s="221">
        <v>106.8</v>
      </c>
    </row>
    <row r="1216" spans="1:5">
      <c r="A1216" s="247">
        <v>41638.459733796299</v>
      </c>
      <c r="B1216" s="221">
        <v>2.5</v>
      </c>
      <c r="E1216" s="221">
        <v>106.2</v>
      </c>
    </row>
    <row r="1217" spans="1:5">
      <c r="A1217" s="247">
        <v>41638.501400462963</v>
      </c>
      <c r="B1217" s="221">
        <v>4.5</v>
      </c>
      <c r="E1217" s="221">
        <v>105.6</v>
      </c>
    </row>
    <row r="1218" spans="1:5">
      <c r="A1218" s="247">
        <v>41638.543067129627</v>
      </c>
      <c r="B1218" s="221">
        <v>7</v>
      </c>
      <c r="E1218" s="221">
        <v>92.4</v>
      </c>
    </row>
    <row r="1219" spans="1:5">
      <c r="A1219" s="247">
        <v>41638.584733796299</v>
      </c>
      <c r="B1219" s="221">
        <v>9</v>
      </c>
      <c r="E1219" s="221">
        <v>86.4</v>
      </c>
    </row>
    <row r="1220" spans="1:5">
      <c r="A1220" s="247">
        <v>41638.626400462963</v>
      </c>
      <c r="B1220" s="221">
        <v>8.5</v>
      </c>
      <c r="E1220" s="221">
        <v>86.4</v>
      </c>
    </row>
    <row r="1221" spans="1:5">
      <c r="A1221" s="247">
        <v>41638.668067129627</v>
      </c>
      <c r="B1221" s="221">
        <v>8.5</v>
      </c>
      <c r="E1221" s="221">
        <v>85.8</v>
      </c>
    </row>
    <row r="1222" spans="1:5">
      <c r="A1222" s="247">
        <v>41638.709733796299</v>
      </c>
      <c r="B1222" s="221">
        <v>7.5</v>
      </c>
      <c r="E1222" s="221">
        <v>88.8</v>
      </c>
    </row>
    <row r="1223" spans="1:5">
      <c r="A1223" s="247">
        <v>41638.751400462963</v>
      </c>
      <c r="B1223" s="221">
        <v>6.5</v>
      </c>
      <c r="E1223" s="221">
        <v>93</v>
      </c>
    </row>
    <row r="1224" spans="1:5">
      <c r="A1224" s="247">
        <v>41638.793067129627</v>
      </c>
      <c r="B1224" s="221">
        <v>6</v>
      </c>
      <c r="E1224" s="221">
        <v>96</v>
      </c>
    </row>
    <row r="1225" spans="1:5">
      <c r="A1225" s="247">
        <v>41638.834733796299</v>
      </c>
      <c r="B1225" s="221">
        <v>6</v>
      </c>
      <c r="E1225" s="221">
        <v>94.8</v>
      </c>
    </row>
    <row r="1226" spans="1:5">
      <c r="A1226" s="247">
        <v>41638.876400462963</v>
      </c>
      <c r="B1226" s="221">
        <v>6</v>
      </c>
      <c r="E1226" s="221">
        <v>96</v>
      </c>
    </row>
    <row r="1227" spans="1:5">
      <c r="A1227" s="247">
        <v>41638.918067129627</v>
      </c>
      <c r="B1227" s="221">
        <v>6</v>
      </c>
      <c r="E1227" s="221">
        <v>93.6</v>
      </c>
    </row>
    <row r="1228" spans="1:5">
      <c r="A1228" s="247">
        <v>41638.959733796299</v>
      </c>
      <c r="B1228" s="221">
        <v>5.5</v>
      </c>
      <c r="E1228" s="221">
        <v>87.6</v>
      </c>
    </row>
    <row r="1229" spans="1:5">
      <c r="A1229" s="247">
        <v>41639.001400462963</v>
      </c>
      <c r="B1229" s="221">
        <v>5.5</v>
      </c>
      <c r="E1229" s="221">
        <v>91.8</v>
      </c>
    </row>
    <row r="1230" spans="1:5">
      <c r="A1230" s="247">
        <v>41639.043067129627</v>
      </c>
      <c r="B1230" s="221">
        <v>5.5</v>
      </c>
      <c r="E1230" s="221">
        <v>88.2</v>
      </c>
    </row>
    <row r="1231" spans="1:5">
      <c r="A1231" s="247">
        <v>41639.084733796299</v>
      </c>
      <c r="B1231" s="221">
        <v>6</v>
      </c>
      <c r="E1231" s="221">
        <v>85.8</v>
      </c>
    </row>
    <row r="1232" spans="1:5">
      <c r="A1232" s="247">
        <v>41639.126400462963</v>
      </c>
      <c r="B1232" s="221">
        <v>6</v>
      </c>
      <c r="E1232" s="221">
        <v>84.6</v>
      </c>
    </row>
    <row r="1233" spans="1:5">
      <c r="A1233" s="247">
        <v>41639.168067129627</v>
      </c>
      <c r="B1233" s="221">
        <v>6</v>
      </c>
      <c r="E1233" s="221">
        <v>85.2</v>
      </c>
    </row>
    <row r="1234" spans="1:5">
      <c r="A1234" s="247">
        <v>41639.209733796299</v>
      </c>
      <c r="B1234" s="221">
        <v>6</v>
      </c>
      <c r="E1234" s="221">
        <v>85.8</v>
      </c>
    </row>
    <row r="1235" spans="1:5">
      <c r="A1235" s="247">
        <v>41639.251400462963</v>
      </c>
      <c r="B1235" s="221">
        <v>6</v>
      </c>
      <c r="E1235" s="221">
        <v>84</v>
      </c>
    </row>
    <row r="1236" spans="1:5">
      <c r="A1236" s="247">
        <v>41639.293067129627</v>
      </c>
      <c r="B1236" s="221">
        <v>4</v>
      </c>
      <c r="E1236" s="221">
        <v>91.8</v>
      </c>
    </row>
    <row r="1237" spans="1:5">
      <c r="A1237" s="247">
        <v>41639.334733796299</v>
      </c>
      <c r="B1237" s="221">
        <v>3</v>
      </c>
      <c r="E1237" s="221">
        <v>94.8</v>
      </c>
    </row>
    <row r="1238" spans="1:5">
      <c r="A1238" s="247">
        <v>41639.376400462963</v>
      </c>
      <c r="B1238" s="221">
        <v>5</v>
      </c>
      <c r="E1238" s="221">
        <v>87.6</v>
      </c>
    </row>
    <row r="1239" spans="1:5">
      <c r="A1239" s="247">
        <v>41639.418067129627</v>
      </c>
      <c r="B1239" s="221">
        <v>4.5</v>
      </c>
      <c r="E1239" s="221">
        <v>89.4</v>
      </c>
    </row>
    <row r="1240" spans="1:5">
      <c r="A1240" s="247">
        <v>41639.459733796299</v>
      </c>
      <c r="B1240" s="221">
        <v>6</v>
      </c>
      <c r="E1240" s="221">
        <v>85.2</v>
      </c>
    </row>
    <row r="1241" spans="1:5">
      <c r="A1241" s="247">
        <v>41639.501400462963</v>
      </c>
      <c r="B1241" s="221">
        <v>8.5</v>
      </c>
      <c r="E1241" s="221">
        <v>77.400000000000006</v>
      </c>
    </row>
    <row r="1242" spans="1:5">
      <c r="A1242" s="247">
        <v>41639.543067129627</v>
      </c>
      <c r="B1242" s="221">
        <v>11</v>
      </c>
      <c r="E1242" s="221">
        <v>65.400000000000006</v>
      </c>
    </row>
    <row r="1243" spans="1:5">
      <c r="A1243" s="247">
        <v>41639.584733796299</v>
      </c>
      <c r="B1243" s="221">
        <v>14</v>
      </c>
      <c r="E1243" s="221">
        <v>55.2</v>
      </c>
    </row>
    <row r="1244" spans="1:5">
      <c r="A1244" s="247">
        <v>41639.626400462963</v>
      </c>
      <c r="B1244" s="221">
        <v>14.5</v>
      </c>
      <c r="E1244" s="221">
        <v>49.8</v>
      </c>
    </row>
    <row r="1245" spans="1:5">
      <c r="A1245" s="247">
        <v>41639.668067129627</v>
      </c>
      <c r="B1245" s="221">
        <v>11</v>
      </c>
      <c r="E1245" s="221">
        <v>64.2</v>
      </c>
    </row>
    <row r="1246" spans="1:5">
      <c r="A1246" s="247">
        <v>41639.709733796299</v>
      </c>
      <c r="B1246" s="221">
        <v>9.5</v>
      </c>
      <c r="E1246" s="221">
        <v>73.8</v>
      </c>
    </row>
    <row r="1247" spans="1:5">
      <c r="A1247" s="247">
        <v>41639.751400462963</v>
      </c>
      <c r="B1247" s="221">
        <v>8.5</v>
      </c>
      <c r="E1247" s="221">
        <v>81</v>
      </c>
    </row>
    <row r="1248" spans="1:5">
      <c r="A1248" s="247">
        <v>41639.793067129627</v>
      </c>
      <c r="B1248" s="221">
        <v>8.5</v>
      </c>
      <c r="E1248" s="221">
        <v>82.2</v>
      </c>
    </row>
    <row r="1249" spans="1:5">
      <c r="A1249" s="247">
        <v>41639.834733796299</v>
      </c>
      <c r="B1249" s="221">
        <v>7.5</v>
      </c>
      <c r="E1249" s="221">
        <v>89.4</v>
      </c>
    </row>
    <row r="1250" spans="1:5">
      <c r="A1250" s="247">
        <v>41639.876400462963</v>
      </c>
      <c r="B1250" s="221">
        <v>7</v>
      </c>
      <c r="E1250" s="221">
        <v>98.4</v>
      </c>
    </row>
    <row r="1251" spans="1:5">
      <c r="A1251" s="247">
        <v>41639.918067129627</v>
      </c>
      <c r="B1251" s="221">
        <v>7</v>
      </c>
      <c r="E1251" s="221">
        <v>100.8</v>
      </c>
    </row>
    <row r="1252" spans="1:5">
      <c r="A1252" s="247">
        <v>41639.959733796299</v>
      </c>
      <c r="B1252" s="221">
        <v>7</v>
      </c>
      <c r="E1252" s="221">
        <v>101.4</v>
      </c>
    </row>
    <row r="1253" spans="1:5">
      <c r="A1253" s="247">
        <v>41640.001400462963</v>
      </c>
      <c r="B1253" s="221">
        <v>7</v>
      </c>
      <c r="E1253" s="221">
        <v>100.8</v>
      </c>
    </row>
    <row r="1254" spans="1:5">
      <c r="A1254" s="247">
        <v>41640.043067129627</v>
      </c>
      <c r="B1254" s="221">
        <v>6.5</v>
      </c>
      <c r="E1254" s="221">
        <v>101.4</v>
      </c>
    </row>
    <row r="1255" spans="1:5">
      <c r="A1255" s="247">
        <v>41640.084733796299</v>
      </c>
      <c r="B1255" s="221">
        <v>6</v>
      </c>
      <c r="E1255" s="221">
        <v>102</v>
      </c>
    </row>
    <row r="1256" spans="1:5">
      <c r="A1256" s="247">
        <v>41640.126400462963</v>
      </c>
      <c r="B1256" s="221">
        <v>7</v>
      </c>
      <c r="E1256" s="221">
        <v>100.8</v>
      </c>
    </row>
    <row r="1257" spans="1:5">
      <c r="A1257" s="247">
        <v>41640.168067129627</v>
      </c>
      <c r="B1257" s="221">
        <v>7</v>
      </c>
      <c r="E1257" s="221">
        <v>100.2</v>
      </c>
    </row>
    <row r="1258" spans="1:5">
      <c r="A1258" s="247">
        <v>41640.209733796299</v>
      </c>
      <c r="B1258" s="221">
        <v>6.5</v>
      </c>
      <c r="E1258" s="221">
        <v>102</v>
      </c>
    </row>
    <row r="1259" spans="1:5">
      <c r="A1259" s="247">
        <v>41640.251400462963</v>
      </c>
      <c r="B1259" s="221">
        <v>6.5</v>
      </c>
      <c r="E1259" s="221">
        <v>102</v>
      </c>
    </row>
    <row r="1260" spans="1:5">
      <c r="A1260" s="247">
        <v>41640.293067129627</v>
      </c>
      <c r="B1260" s="221">
        <v>6</v>
      </c>
      <c r="E1260" s="221">
        <v>102</v>
      </c>
    </row>
    <row r="1261" spans="1:5">
      <c r="A1261" s="247">
        <v>41640.334733796299</v>
      </c>
      <c r="B1261" s="221">
        <v>7</v>
      </c>
      <c r="E1261" s="221">
        <v>99.6</v>
      </c>
    </row>
    <row r="1262" spans="1:5">
      <c r="A1262" s="247">
        <v>41640.376400462963</v>
      </c>
      <c r="B1262" s="221">
        <v>6.5</v>
      </c>
      <c r="E1262" s="221">
        <v>100.2</v>
      </c>
    </row>
    <row r="1263" spans="1:5">
      <c r="A1263" s="247">
        <v>41640.418067129627</v>
      </c>
      <c r="B1263" s="221">
        <v>6</v>
      </c>
      <c r="E1263" s="221">
        <v>100.2</v>
      </c>
    </row>
    <row r="1264" spans="1:5">
      <c r="A1264" s="247">
        <v>41640.459733796299</v>
      </c>
      <c r="B1264" s="221">
        <v>7.5</v>
      </c>
      <c r="E1264" s="221">
        <v>98.4</v>
      </c>
    </row>
    <row r="1265" spans="1:5">
      <c r="A1265" s="247">
        <v>41640.501400462963</v>
      </c>
      <c r="B1265" s="221">
        <v>11</v>
      </c>
      <c r="E1265" s="221">
        <v>86.4</v>
      </c>
    </row>
    <row r="1266" spans="1:5">
      <c r="A1266" s="247">
        <v>41640.543067129627</v>
      </c>
      <c r="B1266" s="221">
        <v>11</v>
      </c>
      <c r="E1266" s="221">
        <v>85.8</v>
      </c>
    </row>
    <row r="1267" spans="1:5">
      <c r="A1267" s="247">
        <v>41640.584733796299</v>
      </c>
      <c r="B1267" s="221">
        <v>11</v>
      </c>
      <c r="E1267" s="221">
        <v>83.4</v>
      </c>
    </row>
    <row r="1268" spans="1:5">
      <c r="A1268" s="247">
        <v>41640.626400462963</v>
      </c>
      <c r="B1268" s="221">
        <v>11</v>
      </c>
      <c r="E1268" s="221">
        <v>82.2</v>
      </c>
    </row>
    <row r="1269" spans="1:5">
      <c r="A1269" s="247">
        <v>41640.668067129627</v>
      </c>
      <c r="B1269" s="221">
        <v>11.5</v>
      </c>
      <c r="E1269" s="221">
        <v>81</v>
      </c>
    </row>
    <row r="1270" spans="1:5">
      <c r="A1270" s="247">
        <v>41640.709733796299</v>
      </c>
      <c r="B1270" s="221">
        <v>11</v>
      </c>
      <c r="E1270" s="221">
        <v>81</v>
      </c>
    </row>
    <row r="1271" spans="1:5">
      <c r="A1271" s="247">
        <v>41640.751400462963</v>
      </c>
      <c r="B1271" s="221">
        <v>11</v>
      </c>
      <c r="E1271" s="221">
        <v>79.2</v>
      </c>
    </row>
    <row r="1272" spans="1:5">
      <c r="A1272" s="247">
        <v>41640.793067129627</v>
      </c>
      <c r="B1272" s="221">
        <v>10.5</v>
      </c>
      <c r="E1272" s="221">
        <v>81.599999999999994</v>
      </c>
    </row>
    <row r="1273" spans="1:5">
      <c r="A1273" s="247">
        <v>41640.834733796299</v>
      </c>
      <c r="B1273" s="221">
        <v>11</v>
      </c>
      <c r="E1273" s="221">
        <v>79.8</v>
      </c>
    </row>
    <row r="1274" spans="1:5">
      <c r="A1274" s="247">
        <v>41640.876400462963</v>
      </c>
      <c r="B1274" s="221">
        <v>9.5</v>
      </c>
      <c r="E1274" s="221">
        <v>87.6</v>
      </c>
    </row>
    <row r="1275" spans="1:5">
      <c r="A1275" s="247">
        <v>41640.918067129627</v>
      </c>
      <c r="B1275" s="221">
        <v>8.5</v>
      </c>
      <c r="E1275" s="221">
        <v>98.4</v>
      </c>
    </row>
    <row r="1276" spans="1:5">
      <c r="A1276" s="247">
        <v>41640.959733796299</v>
      </c>
      <c r="B1276" s="221">
        <v>8.5</v>
      </c>
      <c r="E1276" s="221">
        <v>101.4</v>
      </c>
    </row>
    <row r="1277" spans="1:5">
      <c r="A1277" s="247">
        <v>41641.001400462963</v>
      </c>
      <c r="B1277" s="221">
        <v>9.5</v>
      </c>
      <c r="E1277" s="221">
        <v>96.6</v>
      </c>
    </row>
    <row r="1278" spans="1:5">
      <c r="A1278" s="247">
        <v>41641.043067129627</v>
      </c>
      <c r="B1278" s="221">
        <v>9</v>
      </c>
      <c r="E1278" s="221">
        <v>97.2</v>
      </c>
    </row>
    <row r="1279" spans="1:5">
      <c r="A1279" s="247">
        <v>41641.084733796299</v>
      </c>
      <c r="B1279" s="221">
        <v>8.5</v>
      </c>
      <c r="E1279" s="221">
        <v>100.2</v>
      </c>
    </row>
    <row r="1280" spans="1:5">
      <c r="A1280" s="247">
        <v>41641.126400462963</v>
      </c>
      <c r="B1280" s="221">
        <v>9</v>
      </c>
      <c r="E1280" s="221">
        <v>100.2</v>
      </c>
    </row>
    <row r="1281" spans="1:5">
      <c r="A1281" s="247">
        <v>41641.168067129627</v>
      </c>
      <c r="B1281" s="221">
        <v>9.5</v>
      </c>
      <c r="E1281" s="221">
        <v>101.4</v>
      </c>
    </row>
    <row r="1282" spans="1:5">
      <c r="A1282" s="247">
        <v>41641.209733796299</v>
      </c>
      <c r="B1282" s="221">
        <v>9.5</v>
      </c>
      <c r="E1282" s="221">
        <v>95.4</v>
      </c>
    </row>
    <row r="1283" spans="1:5">
      <c r="A1283" s="247">
        <v>41641.251400462963</v>
      </c>
      <c r="B1283" s="221">
        <v>9</v>
      </c>
      <c r="E1283" s="221">
        <v>99.6</v>
      </c>
    </row>
    <row r="1284" spans="1:5">
      <c r="A1284" s="247">
        <v>41641.293067129627</v>
      </c>
      <c r="B1284" s="221">
        <v>9</v>
      </c>
      <c r="E1284" s="221">
        <v>99.6</v>
      </c>
    </row>
    <row r="1285" spans="1:5">
      <c r="A1285" s="247">
        <v>41641.334733796299</v>
      </c>
      <c r="B1285" s="221">
        <v>9.5</v>
      </c>
      <c r="E1285" s="221">
        <v>98.4</v>
      </c>
    </row>
    <row r="1286" spans="1:5">
      <c r="A1286" s="247">
        <v>41641.376400462963</v>
      </c>
      <c r="B1286" s="221">
        <v>7.5</v>
      </c>
      <c r="E1286" s="221">
        <v>101.4</v>
      </c>
    </row>
    <row r="1287" spans="1:5">
      <c r="A1287" s="247">
        <v>41641.418067129627</v>
      </c>
      <c r="B1287" s="221">
        <v>6.5</v>
      </c>
      <c r="E1287" s="221">
        <v>102</v>
      </c>
    </row>
    <row r="1288" spans="1:5">
      <c r="A1288" s="247">
        <v>41641.459733796299</v>
      </c>
      <c r="B1288" s="221">
        <v>7.5</v>
      </c>
      <c r="E1288" s="221">
        <v>102</v>
      </c>
    </row>
    <row r="1289" spans="1:5">
      <c r="A1289" s="247">
        <v>41641.501400462963</v>
      </c>
      <c r="B1289" s="221">
        <v>11</v>
      </c>
      <c r="E1289" s="221">
        <v>91.8</v>
      </c>
    </row>
    <row r="1290" spans="1:5">
      <c r="A1290" s="247">
        <v>41641.543067129627</v>
      </c>
      <c r="B1290" s="221">
        <v>12</v>
      </c>
      <c r="E1290" s="221">
        <v>86.4</v>
      </c>
    </row>
    <row r="1291" spans="1:5">
      <c r="A1291" s="247">
        <v>41641.584733796299</v>
      </c>
      <c r="B1291" s="221">
        <v>12</v>
      </c>
      <c r="E1291" s="221">
        <v>88.8</v>
      </c>
    </row>
    <row r="1292" spans="1:5">
      <c r="A1292" s="247">
        <v>41641.626400462963</v>
      </c>
      <c r="B1292" s="221">
        <v>15.5</v>
      </c>
      <c r="E1292" s="221">
        <v>80.400000000000006</v>
      </c>
    </row>
    <row r="1293" spans="1:5">
      <c r="A1293" s="247">
        <v>41641.668067129627</v>
      </c>
      <c r="B1293" s="221">
        <v>12.5</v>
      </c>
      <c r="E1293" s="221">
        <v>84.6</v>
      </c>
    </row>
    <row r="1294" spans="1:5">
      <c r="A1294" s="247">
        <v>41641.709733796299</v>
      </c>
      <c r="B1294" s="221">
        <v>11.5</v>
      </c>
      <c r="E1294" s="221">
        <v>88.8</v>
      </c>
    </row>
    <row r="1295" spans="1:5">
      <c r="A1295" s="247">
        <v>41641.751400462963</v>
      </c>
      <c r="B1295" s="221">
        <v>10.5</v>
      </c>
      <c r="E1295" s="221">
        <v>94.2</v>
      </c>
    </row>
    <row r="1296" spans="1:5">
      <c r="A1296" s="247">
        <v>41641.793067129627</v>
      </c>
      <c r="B1296" s="221">
        <v>9.5</v>
      </c>
      <c r="E1296" s="221">
        <v>97.2</v>
      </c>
    </row>
    <row r="1297" spans="1:5">
      <c r="A1297" s="247">
        <v>41641.834733796299</v>
      </c>
      <c r="B1297" s="221">
        <v>9</v>
      </c>
      <c r="E1297" s="221">
        <v>98.4</v>
      </c>
    </row>
    <row r="1298" spans="1:5">
      <c r="A1298" s="247">
        <v>41641.876400462963</v>
      </c>
      <c r="B1298" s="221">
        <v>9</v>
      </c>
      <c r="E1298" s="221">
        <v>97.8</v>
      </c>
    </row>
    <row r="1299" spans="1:5">
      <c r="A1299" s="247">
        <v>41641.918067129627</v>
      </c>
      <c r="B1299" s="221">
        <v>8.5</v>
      </c>
      <c r="E1299" s="221">
        <v>97.8</v>
      </c>
    </row>
    <row r="1300" spans="1:5">
      <c r="A1300" s="247">
        <v>41641.959733796299</v>
      </c>
      <c r="B1300" s="221">
        <v>7</v>
      </c>
      <c r="E1300" s="221">
        <v>102</v>
      </c>
    </row>
    <row r="1301" spans="1:5">
      <c r="A1301" s="247">
        <v>41642.001400462963</v>
      </c>
      <c r="B1301" s="221">
        <v>8</v>
      </c>
      <c r="E1301" s="221">
        <v>96.6</v>
      </c>
    </row>
    <row r="1302" spans="1:5">
      <c r="A1302" s="247">
        <v>41642.043067129627</v>
      </c>
      <c r="B1302" s="221">
        <v>8</v>
      </c>
      <c r="E1302" s="221">
        <v>97.2</v>
      </c>
    </row>
    <row r="1303" spans="1:5">
      <c r="A1303" s="247">
        <v>41642.084733796299</v>
      </c>
      <c r="B1303" s="221">
        <v>9</v>
      </c>
      <c r="E1303" s="221">
        <v>93</v>
      </c>
    </row>
    <row r="1304" spans="1:5">
      <c r="A1304" s="247">
        <v>41642.126400462963</v>
      </c>
      <c r="B1304" s="221">
        <v>9</v>
      </c>
      <c r="E1304" s="221">
        <v>92.4</v>
      </c>
    </row>
    <row r="1305" spans="1:5">
      <c r="A1305" s="247">
        <v>41642.168067129627</v>
      </c>
      <c r="B1305" s="221">
        <v>10</v>
      </c>
      <c r="E1305" s="221">
        <v>90.6</v>
      </c>
    </row>
    <row r="1306" spans="1:5">
      <c r="A1306" s="247">
        <v>41642.209733796299</v>
      </c>
      <c r="B1306" s="221">
        <v>10</v>
      </c>
      <c r="E1306" s="221">
        <v>97.2</v>
      </c>
    </row>
    <row r="1307" spans="1:5">
      <c r="A1307" s="247">
        <v>41642.251400462963</v>
      </c>
      <c r="B1307" s="221">
        <v>10.5</v>
      </c>
      <c r="E1307" s="221">
        <v>96</v>
      </c>
    </row>
    <row r="1308" spans="1:5">
      <c r="A1308" s="247">
        <v>41642.293067129627</v>
      </c>
      <c r="B1308" s="221">
        <v>11</v>
      </c>
      <c r="E1308" s="221">
        <v>96.6</v>
      </c>
    </row>
    <row r="1309" spans="1:5">
      <c r="A1309" s="247">
        <v>41642.334733796299</v>
      </c>
      <c r="B1309" s="221">
        <v>11</v>
      </c>
      <c r="E1309" s="221">
        <v>96.6</v>
      </c>
    </row>
    <row r="1310" spans="1:5">
      <c r="A1310" s="247">
        <v>41642.376400462963</v>
      </c>
      <c r="B1310" s="221">
        <v>11</v>
      </c>
      <c r="E1310" s="221">
        <v>96.6</v>
      </c>
    </row>
    <row r="1311" spans="1:5">
      <c r="A1311" s="247">
        <v>41642.418067129627</v>
      </c>
      <c r="B1311" s="221">
        <v>11.5</v>
      </c>
      <c r="E1311" s="221">
        <v>95.4</v>
      </c>
    </row>
    <row r="1312" spans="1:5">
      <c r="A1312" s="247">
        <v>41642.459733796299</v>
      </c>
      <c r="B1312" s="221">
        <v>11.5</v>
      </c>
      <c r="E1312" s="221">
        <v>96</v>
      </c>
    </row>
    <row r="1313" spans="1:5">
      <c r="A1313" s="247">
        <v>41642.501400462963</v>
      </c>
      <c r="B1313" s="221">
        <v>12.5</v>
      </c>
      <c r="E1313" s="221">
        <v>91.8</v>
      </c>
    </row>
    <row r="1314" spans="1:5">
      <c r="A1314" s="247">
        <v>41642.543067129627</v>
      </c>
      <c r="B1314" s="221">
        <v>12.5</v>
      </c>
      <c r="E1314" s="221">
        <v>93</v>
      </c>
    </row>
    <row r="1315" spans="1:5">
      <c r="A1315" s="247">
        <v>41642.584733796299</v>
      </c>
      <c r="B1315" s="221">
        <v>14</v>
      </c>
      <c r="E1315" s="221">
        <v>82.8</v>
      </c>
    </row>
    <row r="1316" spans="1:5">
      <c r="A1316" s="247">
        <v>41642.626400462963</v>
      </c>
      <c r="B1316" s="221">
        <v>14</v>
      </c>
      <c r="E1316" s="221">
        <v>77.400000000000006</v>
      </c>
    </row>
    <row r="1317" spans="1:5">
      <c r="A1317" s="247">
        <v>41642.668067129627</v>
      </c>
      <c r="B1317" s="221">
        <v>14</v>
      </c>
      <c r="E1317" s="221">
        <v>81.599999999999994</v>
      </c>
    </row>
    <row r="1318" spans="1:5">
      <c r="A1318" s="247">
        <v>41642.709733796299</v>
      </c>
      <c r="B1318" s="221">
        <v>13.5</v>
      </c>
      <c r="E1318" s="221">
        <v>80.400000000000006</v>
      </c>
    </row>
    <row r="1319" spans="1:5">
      <c r="A1319" s="247">
        <v>41642.751400462963</v>
      </c>
      <c r="B1319" s="221">
        <v>11.5</v>
      </c>
      <c r="E1319" s="221">
        <v>82.2</v>
      </c>
    </row>
    <row r="1320" spans="1:5">
      <c r="A1320" s="247">
        <v>41642.793067129627</v>
      </c>
      <c r="B1320" s="221">
        <v>10</v>
      </c>
      <c r="E1320" s="221">
        <v>88.2</v>
      </c>
    </row>
    <row r="1321" spans="1:5">
      <c r="A1321" s="247">
        <v>41642.834733796299</v>
      </c>
      <c r="B1321" s="221">
        <v>9</v>
      </c>
      <c r="E1321" s="221">
        <v>87.6</v>
      </c>
    </row>
    <row r="1322" spans="1:5">
      <c r="A1322" s="247">
        <v>41642.876400462963</v>
      </c>
      <c r="B1322" s="221">
        <v>8.5</v>
      </c>
      <c r="E1322" s="221">
        <v>91.8</v>
      </c>
    </row>
    <row r="1323" spans="1:5">
      <c r="A1323" s="247">
        <v>41642.918067129627</v>
      </c>
      <c r="B1323" s="221">
        <v>7.5</v>
      </c>
      <c r="E1323" s="221">
        <v>96</v>
      </c>
    </row>
    <row r="1324" spans="1:5">
      <c r="A1324" s="247">
        <v>41642.959733796299</v>
      </c>
      <c r="B1324" s="221">
        <v>7</v>
      </c>
      <c r="E1324" s="221">
        <v>97.2</v>
      </c>
    </row>
    <row r="1325" spans="1:5">
      <c r="A1325" s="247">
        <v>41643.001400462963</v>
      </c>
      <c r="B1325" s="221">
        <v>7.5</v>
      </c>
      <c r="E1325" s="221">
        <v>97.8</v>
      </c>
    </row>
    <row r="1326" spans="1:5">
      <c r="A1326" s="247">
        <v>41643.043067129627</v>
      </c>
      <c r="B1326" s="221">
        <v>6.5</v>
      </c>
      <c r="E1326" s="221">
        <v>101.4</v>
      </c>
    </row>
    <row r="1327" spans="1:5">
      <c r="A1327" s="247">
        <v>41643.084733796299</v>
      </c>
      <c r="B1327" s="221">
        <v>6.5</v>
      </c>
      <c r="E1327" s="221">
        <v>100.8</v>
      </c>
    </row>
    <row r="1328" spans="1:5">
      <c r="A1328" s="247">
        <v>41643.126400462963</v>
      </c>
      <c r="B1328" s="221">
        <v>6</v>
      </c>
      <c r="E1328" s="221">
        <v>102.6</v>
      </c>
    </row>
    <row r="1329" spans="1:5">
      <c r="A1329" s="247">
        <v>41643.168067129627</v>
      </c>
      <c r="B1329" s="221">
        <v>7.5</v>
      </c>
      <c r="E1329" s="221">
        <v>101.4</v>
      </c>
    </row>
    <row r="1330" spans="1:5">
      <c r="A1330" s="247">
        <v>41643.209733796299</v>
      </c>
      <c r="B1330" s="221">
        <v>7.5</v>
      </c>
      <c r="E1330" s="221">
        <v>100.8</v>
      </c>
    </row>
    <row r="1331" spans="1:5">
      <c r="A1331" s="247">
        <v>41643.251400462963</v>
      </c>
      <c r="B1331" s="221">
        <v>7</v>
      </c>
      <c r="E1331" s="221">
        <v>100.2</v>
      </c>
    </row>
    <row r="1332" spans="1:5">
      <c r="A1332" s="247">
        <v>41643.293067129627</v>
      </c>
      <c r="B1332" s="221">
        <v>7</v>
      </c>
      <c r="E1332" s="221">
        <v>98.4</v>
      </c>
    </row>
    <row r="1333" spans="1:5">
      <c r="A1333" s="247">
        <v>41643.334733796299</v>
      </c>
      <c r="B1333" s="221">
        <v>6.5</v>
      </c>
      <c r="E1333" s="221">
        <v>101.4</v>
      </c>
    </row>
    <row r="1334" spans="1:5">
      <c r="A1334" s="247">
        <v>41643.376400462963</v>
      </c>
      <c r="B1334" s="221">
        <v>7</v>
      </c>
      <c r="E1334" s="221">
        <v>99</v>
      </c>
    </row>
    <row r="1335" spans="1:5">
      <c r="A1335" s="247">
        <v>41643.418067129627</v>
      </c>
      <c r="B1335" s="221">
        <v>6.5</v>
      </c>
      <c r="E1335" s="221">
        <v>101.4</v>
      </c>
    </row>
    <row r="1336" spans="1:5">
      <c r="A1336" s="247">
        <v>41643.459733796299</v>
      </c>
      <c r="B1336" s="221">
        <v>9</v>
      </c>
      <c r="E1336" s="221">
        <v>94.2</v>
      </c>
    </row>
    <row r="1337" spans="1:5">
      <c r="A1337" s="247">
        <v>41643.501400462963</v>
      </c>
      <c r="B1337" s="221">
        <v>10.5</v>
      </c>
      <c r="E1337" s="221">
        <v>86.4</v>
      </c>
    </row>
    <row r="1338" spans="1:5">
      <c r="A1338" s="247">
        <v>41643.543067129627</v>
      </c>
      <c r="B1338" s="221">
        <v>15</v>
      </c>
      <c r="E1338" s="221">
        <v>68.400000000000006</v>
      </c>
    </row>
    <row r="1339" spans="1:5">
      <c r="A1339" s="247">
        <v>41643.584733796299</v>
      </c>
      <c r="B1339" s="221">
        <v>14.5</v>
      </c>
      <c r="E1339" s="221">
        <v>67.8</v>
      </c>
    </row>
    <row r="1340" spans="1:5">
      <c r="A1340" s="247">
        <v>41643.626400462963</v>
      </c>
      <c r="B1340" s="221">
        <v>13.5</v>
      </c>
      <c r="E1340" s="221">
        <v>67.8</v>
      </c>
    </row>
    <row r="1341" spans="1:5">
      <c r="A1341" s="247">
        <v>41643.668067129627</v>
      </c>
      <c r="B1341" s="221">
        <v>13</v>
      </c>
      <c r="E1341" s="221">
        <v>72</v>
      </c>
    </row>
    <row r="1342" spans="1:5">
      <c r="A1342" s="247">
        <v>41643.709733796299</v>
      </c>
      <c r="B1342" s="221">
        <v>11</v>
      </c>
      <c r="E1342" s="221">
        <v>85.8</v>
      </c>
    </row>
    <row r="1343" spans="1:5">
      <c r="A1343" s="247">
        <v>41643.751400462963</v>
      </c>
      <c r="B1343" s="221">
        <v>7.5</v>
      </c>
      <c r="E1343" s="221">
        <v>99.6</v>
      </c>
    </row>
    <row r="1344" spans="1:5">
      <c r="A1344" s="247">
        <v>41643.793067129627</v>
      </c>
      <c r="B1344" s="221">
        <v>7</v>
      </c>
      <c r="E1344" s="221">
        <v>102</v>
      </c>
    </row>
    <row r="1345" spans="1:5">
      <c r="A1345" s="247">
        <v>41643.834733796299</v>
      </c>
      <c r="B1345" s="221">
        <v>7</v>
      </c>
      <c r="E1345" s="221">
        <v>102</v>
      </c>
    </row>
    <row r="1346" spans="1:5">
      <c r="A1346" s="247">
        <v>41643.876400462963</v>
      </c>
      <c r="B1346" s="221">
        <v>7</v>
      </c>
      <c r="E1346" s="221">
        <v>101.4</v>
      </c>
    </row>
    <row r="1347" spans="1:5">
      <c r="A1347" s="247">
        <v>41643.918067129627</v>
      </c>
      <c r="B1347" s="221">
        <v>7</v>
      </c>
      <c r="E1347" s="221">
        <v>98.4</v>
      </c>
    </row>
    <row r="1348" spans="1:5">
      <c r="A1348" s="247">
        <v>41643.959733796299</v>
      </c>
      <c r="B1348" s="221">
        <v>6.5</v>
      </c>
      <c r="E1348" s="221">
        <v>98.4</v>
      </c>
    </row>
    <row r="1349" spans="1:5">
      <c r="A1349" s="247">
        <v>41644.001400462963</v>
      </c>
      <c r="B1349" s="221">
        <v>6</v>
      </c>
      <c r="E1349" s="221">
        <v>96.6</v>
      </c>
    </row>
    <row r="1350" spans="1:5">
      <c r="A1350" s="247">
        <v>41644.043067129627</v>
      </c>
      <c r="B1350" s="221">
        <v>4.5</v>
      </c>
      <c r="E1350" s="221">
        <v>99</v>
      </c>
    </row>
    <row r="1351" spans="1:5">
      <c r="A1351" s="247">
        <v>41644.084733796299</v>
      </c>
      <c r="B1351" s="221">
        <v>3.5</v>
      </c>
      <c r="E1351" s="221">
        <v>102</v>
      </c>
    </row>
    <row r="1352" spans="1:5">
      <c r="A1352" s="247">
        <v>41644.126400462963</v>
      </c>
      <c r="B1352" s="221">
        <v>3</v>
      </c>
      <c r="E1352" s="221">
        <v>103.2</v>
      </c>
    </row>
    <row r="1353" spans="1:5">
      <c r="A1353" s="247">
        <v>41644.168067129627</v>
      </c>
      <c r="B1353" s="221">
        <v>4</v>
      </c>
      <c r="E1353" s="221">
        <v>101.4</v>
      </c>
    </row>
    <row r="1354" spans="1:5">
      <c r="A1354" s="247">
        <v>41644.209733796299</v>
      </c>
      <c r="B1354" s="221">
        <v>4.5</v>
      </c>
      <c r="E1354" s="221">
        <v>100.8</v>
      </c>
    </row>
    <row r="1355" spans="1:5">
      <c r="A1355" s="247">
        <v>41644.251400462963</v>
      </c>
      <c r="B1355" s="221">
        <v>5</v>
      </c>
      <c r="E1355" s="221">
        <v>98.4</v>
      </c>
    </row>
    <row r="1356" spans="1:5">
      <c r="A1356" s="247">
        <v>41644.293067129627</v>
      </c>
      <c r="B1356" s="221">
        <v>4.5</v>
      </c>
      <c r="E1356" s="221">
        <v>99.6</v>
      </c>
    </row>
    <row r="1357" spans="1:5">
      <c r="A1357" s="247">
        <v>41644.334733796299</v>
      </c>
      <c r="B1357" s="221">
        <v>4.5</v>
      </c>
      <c r="E1357" s="221">
        <v>102.6</v>
      </c>
    </row>
    <row r="1358" spans="1:5">
      <c r="A1358" s="247">
        <v>41644.376400462963</v>
      </c>
      <c r="B1358" s="221">
        <v>4</v>
      </c>
      <c r="E1358" s="221">
        <v>102.6</v>
      </c>
    </row>
    <row r="1359" spans="1:5">
      <c r="A1359" s="247">
        <v>41644.418067129627</v>
      </c>
      <c r="B1359" s="221">
        <v>4.5</v>
      </c>
      <c r="E1359" s="221">
        <v>101.4</v>
      </c>
    </row>
    <row r="1360" spans="1:5">
      <c r="A1360" s="247">
        <v>41644.459733796299</v>
      </c>
      <c r="B1360" s="221">
        <v>5.5</v>
      </c>
      <c r="E1360" s="221">
        <v>100.2</v>
      </c>
    </row>
    <row r="1361" spans="1:5">
      <c r="A1361" s="247">
        <v>41644.501400462963</v>
      </c>
      <c r="B1361" s="221">
        <v>8</v>
      </c>
      <c r="E1361" s="221">
        <v>94.2</v>
      </c>
    </row>
    <row r="1362" spans="1:5">
      <c r="A1362" s="247">
        <v>41644.543067129627</v>
      </c>
      <c r="B1362" s="221">
        <v>12</v>
      </c>
      <c r="E1362" s="221">
        <v>85.8</v>
      </c>
    </row>
    <row r="1363" spans="1:5">
      <c r="A1363" s="247">
        <v>41644.584733796299</v>
      </c>
      <c r="B1363" s="221">
        <v>10</v>
      </c>
      <c r="E1363" s="221">
        <v>91.8</v>
      </c>
    </row>
    <row r="1364" spans="1:5">
      <c r="A1364" s="247">
        <v>41644.626400462963</v>
      </c>
      <c r="B1364" s="221">
        <v>11.5</v>
      </c>
      <c r="E1364" s="221">
        <v>87.6</v>
      </c>
    </row>
    <row r="1365" spans="1:5">
      <c r="A1365" s="247">
        <v>41644.668067129627</v>
      </c>
      <c r="B1365" s="221">
        <v>10</v>
      </c>
      <c r="E1365" s="221">
        <v>91.2</v>
      </c>
    </row>
    <row r="1366" spans="1:5">
      <c r="A1366" s="247">
        <v>41644.709733796299</v>
      </c>
      <c r="B1366" s="221">
        <v>9.5</v>
      </c>
      <c r="E1366" s="221">
        <v>94.2</v>
      </c>
    </row>
    <row r="1367" spans="1:5">
      <c r="A1367" s="247">
        <v>41644.751400462963</v>
      </c>
      <c r="B1367" s="221">
        <v>8.5</v>
      </c>
      <c r="E1367" s="221">
        <v>96.6</v>
      </c>
    </row>
    <row r="1368" spans="1:5">
      <c r="A1368" s="247">
        <v>41644.793067129627</v>
      </c>
      <c r="B1368" s="221">
        <v>7.5</v>
      </c>
      <c r="E1368" s="221">
        <v>98.4</v>
      </c>
    </row>
    <row r="1369" spans="1:5">
      <c r="A1369" s="247">
        <v>41644.834733796299</v>
      </c>
      <c r="B1369" s="221">
        <v>8.5</v>
      </c>
      <c r="E1369" s="221">
        <v>91.2</v>
      </c>
    </row>
    <row r="1370" spans="1:5">
      <c r="A1370" s="247">
        <v>41644.876400462963</v>
      </c>
      <c r="B1370" s="221">
        <v>7</v>
      </c>
      <c r="E1370" s="221">
        <v>99.6</v>
      </c>
    </row>
    <row r="1371" spans="1:5">
      <c r="A1371" s="247">
        <v>41644.918067129627</v>
      </c>
      <c r="B1371" s="221">
        <v>8</v>
      </c>
      <c r="E1371" s="221">
        <v>100.2</v>
      </c>
    </row>
    <row r="1372" spans="1:5">
      <c r="A1372" s="247">
        <v>41644.959733796299</v>
      </c>
      <c r="B1372" s="221">
        <v>8</v>
      </c>
      <c r="E1372" s="221">
        <v>102</v>
      </c>
    </row>
    <row r="1373" spans="1:5">
      <c r="A1373" s="247">
        <v>41645.001400462963</v>
      </c>
      <c r="B1373" s="221">
        <v>8.5</v>
      </c>
      <c r="E1373" s="221">
        <v>103.2</v>
      </c>
    </row>
    <row r="1374" spans="1:5">
      <c r="A1374" s="247">
        <v>41645.043067129627</v>
      </c>
      <c r="B1374" s="221">
        <v>8.5</v>
      </c>
      <c r="E1374" s="221">
        <v>102</v>
      </c>
    </row>
    <row r="1375" spans="1:5">
      <c r="A1375" s="247">
        <v>41645.084733796299</v>
      </c>
      <c r="B1375" s="221">
        <v>8</v>
      </c>
      <c r="E1375" s="221">
        <v>102</v>
      </c>
    </row>
    <row r="1376" spans="1:5">
      <c r="A1376" s="247">
        <v>41645.126400462963</v>
      </c>
      <c r="B1376" s="221">
        <v>8</v>
      </c>
      <c r="E1376" s="221">
        <v>102</v>
      </c>
    </row>
    <row r="1377" spans="1:5">
      <c r="A1377" s="247">
        <v>41645.168067129627</v>
      </c>
      <c r="B1377" s="221">
        <v>9</v>
      </c>
      <c r="E1377" s="221">
        <v>99</v>
      </c>
    </row>
    <row r="1378" spans="1:5">
      <c r="A1378" s="247">
        <v>41645.209733796299</v>
      </c>
      <c r="B1378" s="221">
        <v>9</v>
      </c>
      <c r="E1378" s="221">
        <v>98.4</v>
      </c>
    </row>
    <row r="1379" spans="1:5">
      <c r="A1379" s="247">
        <v>41645.251400462963</v>
      </c>
      <c r="B1379" s="221">
        <v>9.5</v>
      </c>
      <c r="E1379" s="221">
        <v>97.8</v>
      </c>
    </row>
    <row r="1380" spans="1:5">
      <c r="A1380" s="247">
        <v>41645.293067129627</v>
      </c>
      <c r="B1380" s="221">
        <v>9</v>
      </c>
      <c r="E1380" s="221">
        <v>99</v>
      </c>
    </row>
    <row r="1381" spans="1:5">
      <c r="A1381" s="247">
        <v>41645.334733796299</v>
      </c>
      <c r="B1381" s="221">
        <v>8.5</v>
      </c>
      <c r="E1381" s="221">
        <v>99.6</v>
      </c>
    </row>
    <row r="1382" spans="1:5">
      <c r="A1382" s="247">
        <v>41645.376400462963</v>
      </c>
      <c r="B1382" s="221">
        <v>8.5</v>
      </c>
      <c r="E1382" s="221">
        <v>100.2</v>
      </c>
    </row>
    <row r="1383" spans="1:5">
      <c r="A1383" s="247">
        <v>41645.418067129627</v>
      </c>
      <c r="B1383" s="221">
        <v>9.5</v>
      </c>
      <c r="E1383" s="221">
        <v>99</v>
      </c>
    </row>
    <row r="1384" spans="1:5">
      <c r="A1384" s="247">
        <v>41645.459733796299</v>
      </c>
      <c r="B1384" s="221">
        <v>10</v>
      </c>
      <c r="E1384" s="221">
        <v>97.2</v>
      </c>
    </row>
    <row r="1385" spans="1:5">
      <c r="A1385" s="247">
        <v>41645.501400462963</v>
      </c>
      <c r="B1385" s="221">
        <v>12</v>
      </c>
      <c r="E1385" s="221">
        <v>90</v>
      </c>
    </row>
    <row r="1386" spans="1:5">
      <c r="A1386" s="247">
        <v>41645.543067129627</v>
      </c>
      <c r="B1386" s="221">
        <v>12</v>
      </c>
      <c r="E1386" s="221">
        <v>89.4</v>
      </c>
    </row>
    <row r="1387" spans="1:5">
      <c r="A1387" s="247">
        <v>41645.584733796299</v>
      </c>
      <c r="B1387" s="221">
        <v>13</v>
      </c>
      <c r="E1387" s="221">
        <v>86.4</v>
      </c>
    </row>
    <row r="1388" spans="1:5">
      <c r="A1388" s="247">
        <v>41645.626400462963</v>
      </c>
      <c r="B1388" s="221">
        <v>13.5</v>
      </c>
      <c r="E1388" s="221">
        <v>83.4</v>
      </c>
    </row>
    <row r="1389" spans="1:5">
      <c r="A1389" s="247">
        <v>41645.668067129627</v>
      </c>
      <c r="B1389" s="221">
        <v>12</v>
      </c>
      <c r="E1389" s="221">
        <v>91.8</v>
      </c>
    </row>
    <row r="1390" spans="1:5">
      <c r="A1390" s="247">
        <v>41645.709733796299</v>
      </c>
      <c r="B1390" s="221">
        <v>13</v>
      </c>
      <c r="E1390" s="221">
        <v>90.6</v>
      </c>
    </row>
    <row r="1391" spans="1:5">
      <c r="A1391" s="247">
        <v>41645.751400462963</v>
      </c>
      <c r="B1391" s="221">
        <v>11.5</v>
      </c>
      <c r="E1391" s="221">
        <v>94.2</v>
      </c>
    </row>
    <row r="1392" spans="1:5">
      <c r="A1392" s="247">
        <v>41645.793067129627</v>
      </c>
      <c r="B1392" s="221">
        <v>11.5</v>
      </c>
      <c r="E1392" s="221">
        <v>90.6</v>
      </c>
    </row>
    <row r="1393" spans="1:5">
      <c r="A1393" s="247">
        <v>41645.834733796299</v>
      </c>
      <c r="B1393" s="221">
        <v>11</v>
      </c>
      <c r="E1393" s="221">
        <v>90</v>
      </c>
    </row>
    <row r="1394" spans="1:5">
      <c r="A1394" s="247">
        <v>41645.876400462963</v>
      </c>
      <c r="B1394" s="221">
        <v>12.5</v>
      </c>
      <c r="E1394" s="221">
        <v>84</v>
      </c>
    </row>
    <row r="1395" spans="1:5">
      <c r="A1395" s="247">
        <v>41645.918067129627</v>
      </c>
      <c r="B1395" s="221">
        <v>10.5</v>
      </c>
      <c r="E1395" s="221">
        <v>99.6</v>
      </c>
    </row>
    <row r="1396" spans="1:5">
      <c r="A1396" s="247">
        <v>41645.959733796299</v>
      </c>
      <c r="B1396" s="221">
        <v>11</v>
      </c>
      <c r="E1396" s="221">
        <v>94.8</v>
      </c>
    </row>
    <row r="1397" spans="1:5">
      <c r="A1397" s="247">
        <v>41646.001400462963</v>
      </c>
      <c r="B1397" s="221">
        <v>11</v>
      </c>
      <c r="E1397" s="221">
        <v>93</v>
      </c>
    </row>
    <row r="1398" spans="1:5">
      <c r="A1398" s="247">
        <v>41646.043067129627</v>
      </c>
      <c r="B1398" s="221">
        <v>10.5</v>
      </c>
      <c r="E1398" s="221">
        <v>91.2</v>
      </c>
    </row>
    <row r="1399" spans="1:5">
      <c r="A1399" s="247">
        <v>41646.084733796299</v>
      </c>
      <c r="B1399" s="221">
        <v>9</v>
      </c>
      <c r="E1399" s="221">
        <v>93</v>
      </c>
    </row>
    <row r="1400" spans="1:5">
      <c r="A1400" s="247">
        <v>41646.126400462963</v>
      </c>
      <c r="B1400" s="221">
        <v>8.5</v>
      </c>
      <c r="E1400" s="221">
        <v>96</v>
      </c>
    </row>
    <row r="1401" spans="1:5">
      <c r="A1401" s="247">
        <v>41646.168067129627</v>
      </c>
      <c r="B1401" s="221">
        <v>8</v>
      </c>
      <c r="E1401" s="221">
        <v>97.8</v>
      </c>
    </row>
    <row r="1402" spans="1:5">
      <c r="A1402" s="247">
        <v>41646.209733796299</v>
      </c>
      <c r="B1402" s="221">
        <v>9</v>
      </c>
      <c r="E1402" s="221">
        <v>93.6</v>
      </c>
    </row>
    <row r="1403" spans="1:5">
      <c r="A1403" s="247">
        <v>41646.251400462963</v>
      </c>
      <c r="B1403" s="221">
        <v>10</v>
      </c>
      <c r="E1403" s="221">
        <v>94.2</v>
      </c>
    </row>
    <row r="1404" spans="1:5">
      <c r="A1404" s="247">
        <v>41646.293067129627</v>
      </c>
      <c r="B1404" s="221">
        <v>9.5</v>
      </c>
      <c r="E1404" s="221">
        <v>96</v>
      </c>
    </row>
    <row r="1405" spans="1:5">
      <c r="A1405" s="247">
        <v>41646.334733796299</v>
      </c>
      <c r="B1405" s="221">
        <v>9.5</v>
      </c>
      <c r="E1405" s="221">
        <v>97.2</v>
      </c>
    </row>
    <row r="1406" spans="1:5">
      <c r="A1406" s="247">
        <v>41646.376400462963</v>
      </c>
      <c r="B1406" s="221">
        <v>9.5</v>
      </c>
      <c r="E1406" s="221">
        <v>99</v>
      </c>
    </row>
    <row r="1407" spans="1:5">
      <c r="A1407" s="247">
        <v>41646.418067129627</v>
      </c>
      <c r="B1407" s="221">
        <v>9.5</v>
      </c>
      <c r="E1407" s="221">
        <v>97.8</v>
      </c>
    </row>
    <row r="1408" spans="1:5">
      <c r="A1408" s="247">
        <v>41646.459733796299</v>
      </c>
      <c r="B1408" s="221">
        <v>10.5</v>
      </c>
      <c r="E1408" s="221">
        <v>94.2</v>
      </c>
    </row>
    <row r="1409" spans="1:5">
      <c r="A1409" s="247">
        <v>41646.501400462963</v>
      </c>
      <c r="B1409" s="221">
        <v>11.5</v>
      </c>
      <c r="E1409" s="221">
        <v>91.8</v>
      </c>
    </row>
    <row r="1410" spans="1:5">
      <c r="A1410" s="247">
        <v>41646.543067129627</v>
      </c>
      <c r="B1410" s="221">
        <v>12</v>
      </c>
      <c r="E1410" s="221">
        <v>88.8</v>
      </c>
    </row>
    <row r="1411" spans="1:5">
      <c r="A1411" s="247">
        <v>41646.584733796299</v>
      </c>
      <c r="B1411" s="221">
        <v>11</v>
      </c>
      <c r="E1411" s="221">
        <v>96.6</v>
      </c>
    </row>
    <row r="1412" spans="1:5">
      <c r="A1412" s="247">
        <v>41646.626400462963</v>
      </c>
      <c r="B1412" s="221">
        <v>15</v>
      </c>
      <c r="E1412" s="221">
        <v>81</v>
      </c>
    </row>
    <row r="1413" spans="1:5">
      <c r="A1413" s="247">
        <v>41646.668067129627</v>
      </c>
      <c r="B1413" s="221">
        <v>14</v>
      </c>
      <c r="E1413" s="221">
        <v>83.4</v>
      </c>
    </row>
    <row r="1414" spans="1:5">
      <c r="A1414" s="247">
        <v>41646.709733796299</v>
      </c>
      <c r="B1414" s="221">
        <v>13.5</v>
      </c>
      <c r="E1414" s="221">
        <v>85.8</v>
      </c>
    </row>
    <row r="1415" spans="1:5">
      <c r="A1415" s="247">
        <v>41646.751400462963</v>
      </c>
      <c r="B1415" s="221">
        <v>12.5</v>
      </c>
      <c r="E1415" s="221">
        <v>91.8</v>
      </c>
    </row>
    <row r="1416" spans="1:5">
      <c r="A1416" s="247">
        <v>41646.793067129627</v>
      </c>
      <c r="B1416" s="221">
        <v>12.5</v>
      </c>
      <c r="E1416" s="221">
        <v>91.2</v>
      </c>
    </row>
    <row r="1417" spans="1:5">
      <c r="A1417" s="247">
        <v>41646.834733796299</v>
      </c>
      <c r="B1417" s="221">
        <v>13</v>
      </c>
      <c r="E1417" s="221">
        <v>88.8</v>
      </c>
    </row>
    <row r="1418" spans="1:5">
      <c r="A1418" s="247">
        <v>41646.876400462963</v>
      </c>
      <c r="B1418" s="221">
        <v>12</v>
      </c>
      <c r="E1418" s="221">
        <v>91.8</v>
      </c>
    </row>
    <row r="1419" spans="1:5">
      <c r="A1419" s="247">
        <v>41646.918067129627</v>
      </c>
      <c r="B1419" s="221">
        <v>12.5</v>
      </c>
      <c r="E1419" s="221">
        <v>91.8</v>
      </c>
    </row>
    <row r="1420" spans="1:5">
      <c r="A1420" s="247">
        <v>41646.959733796299</v>
      </c>
      <c r="B1420" s="221">
        <v>12.5</v>
      </c>
      <c r="E1420" s="221">
        <v>91.2</v>
      </c>
    </row>
    <row r="1421" spans="1:5">
      <c r="A1421" s="247">
        <v>41647.001400462963</v>
      </c>
      <c r="B1421" s="221">
        <v>12</v>
      </c>
      <c r="E1421" s="221">
        <v>92.4</v>
      </c>
    </row>
    <row r="1422" spans="1:5">
      <c r="A1422" s="247">
        <v>41647.043067129627</v>
      </c>
      <c r="B1422" s="221">
        <v>11</v>
      </c>
      <c r="E1422" s="221">
        <v>95.4</v>
      </c>
    </row>
    <row r="1423" spans="1:5">
      <c r="A1423" s="247">
        <v>41647.084733796299</v>
      </c>
      <c r="B1423" s="221">
        <v>10.5</v>
      </c>
      <c r="E1423" s="221">
        <v>94.2</v>
      </c>
    </row>
    <row r="1424" spans="1:5">
      <c r="A1424" s="247">
        <v>41647.126400462963</v>
      </c>
      <c r="B1424" s="221">
        <v>9.5</v>
      </c>
      <c r="E1424" s="221">
        <v>95.4</v>
      </c>
    </row>
    <row r="1425" spans="1:5">
      <c r="A1425" s="247">
        <v>41647.168067129627</v>
      </c>
      <c r="B1425" s="221">
        <v>9.5</v>
      </c>
      <c r="E1425" s="221">
        <v>96.6</v>
      </c>
    </row>
    <row r="1426" spans="1:5">
      <c r="A1426" s="247">
        <v>41647.209733796299</v>
      </c>
      <c r="B1426" s="221">
        <v>9</v>
      </c>
      <c r="E1426" s="221">
        <v>96.6</v>
      </c>
    </row>
    <row r="1427" spans="1:5">
      <c r="A1427" s="247">
        <v>41647.251400462963</v>
      </c>
      <c r="B1427" s="221">
        <v>9</v>
      </c>
      <c r="E1427" s="221">
        <v>98.4</v>
      </c>
    </row>
    <row r="1428" spans="1:5">
      <c r="A1428" s="247">
        <v>41647.293067129627</v>
      </c>
      <c r="B1428" s="221">
        <v>8.5</v>
      </c>
      <c r="E1428" s="221">
        <v>99.6</v>
      </c>
    </row>
    <row r="1429" spans="1:5">
      <c r="A1429" s="247">
        <v>41647.334733796299</v>
      </c>
      <c r="B1429" s="221">
        <v>8</v>
      </c>
      <c r="E1429" s="221">
        <v>100.2</v>
      </c>
    </row>
    <row r="1430" spans="1:5">
      <c r="A1430" s="247">
        <v>41647.376400462963</v>
      </c>
      <c r="B1430" s="221">
        <v>6.5</v>
      </c>
      <c r="E1430" s="221">
        <v>103.8</v>
      </c>
    </row>
    <row r="1431" spans="1:5">
      <c r="A1431" s="247">
        <v>41647.418067129627</v>
      </c>
      <c r="B1431" s="221">
        <v>6</v>
      </c>
      <c r="E1431" s="221">
        <v>105.6</v>
      </c>
    </row>
    <row r="1432" spans="1:5">
      <c r="A1432" s="247">
        <v>41647.459733796299</v>
      </c>
      <c r="B1432" s="221">
        <v>8</v>
      </c>
      <c r="E1432" s="221">
        <v>103.2</v>
      </c>
    </row>
    <row r="1433" spans="1:5">
      <c r="A1433" s="247">
        <v>41647.501400462963</v>
      </c>
      <c r="B1433" s="221">
        <v>11</v>
      </c>
      <c r="E1433" s="221">
        <v>94.2</v>
      </c>
    </row>
    <row r="1434" spans="1:5">
      <c r="A1434" s="247">
        <v>41647.543067129627</v>
      </c>
      <c r="B1434" s="221">
        <v>13.5</v>
      </c>
      <c r="E1434" s="221">
        <v>85.8</v>
      </c>
    </row>
    <row r="1435" spans="1:5">
      <c r="A1435" s="247">
        <v>41647.584733796299</v>
      </c>
      <c r="B1435" s="221">
        <v>19.5</v>
      </c>
      <c r="E1435" s="221">
        <v>64.2</v>
      </c>
    </row>
    <row r="1436" spans="1:5">
      <c r="A1436" s="247">
        <v>41647.626400462963</v>
      </c>
      <c r="B1436" s="221">
        <v>16.5</v>
      </c>
      <c r="E1436" s="221">
        <v>72</v>
      </c>
    </row>
    <row r="1437" spans="1:5">
      <c r="A1437" s="247">
        <v>41647.668067129627</v>
      </c>
      <c r="B1437" s="221">
        <v>16</v>
      </c>
      <c r="E1437" s="221">
        <v>76.8</v>
      </c>
    </row>
    <row r="1438" spans="1:5">
      <c r="A1438" s="247">
        <v>41647.709733796299</v>
      </c>
      <c r="B1438" s="221">
        <v>17</v>
      </c>
      <c r="E1438" s="221">
        <v>74.400000000000006</v>
      </c>
    </row>
    <row r="1439" spans="1:5">
      <c r="A1439" s="247">
        <v>41647.751400462963</v>
      </c>
      <c r="B1439" s="221">
        <v>12</v>
      </c>
      <c r="E1439" s="221">
        <v>91.8</v>
      </c>
    </row>
    <row r="1440" spans="1:5">
      <c r="A1440" s="247">
        <v>41647.793067129627</v>
      </c>
      <c r="B1440" s="221">
        <v>11</v>
      </c>
      <c r="E1440" s="221">
        <v>94.2</v>
      </c>
    </row>
    <row r="1441" spans="1:5">
      <c r="A1441" s="247">
        <v>41647.834733796299</v>
      </c>
      <c r="B1441" s="221">
        <v>9.5</v>
      </c>
      <c r="E1441" s="221">
        <v>97.8</v>
      </c>
    </row>
    <row r="1442" spans="1:5">
      <c r="A1442" s="247">
        <v>41647.876400462963</v>
      </c>
      <c r="B1442" s="221">
        <v>10</v>
      </c>
      <c r="E1442" s="221">
        <v>98.4</v>
      </c>
    </row>
    <row r="1443" spans="1:5">
      <c r="A1443" s="247">
        <v>41647.918067129627</v>
      </c>
      <c r="B1443" s="221">
        <v>9.5</v>
      </c>
      <c r="E1443" s="221">
        <v>98.4</v>
      </c>
    </row>
    <row r="1444" spans="1:5">
      <c r="A1444" s="247">
        <v>41647.959733796299</v>
      </c>
      <c r="B1444" s="221">
        <v>9</v>
      </c>
      <c r="E1444" s="221">
        <v>96.6</v>
      </c>
    </row>
    <row r="1445" spans="1:5">
      <c r="A1445" s="247">
        <v>41648.001400462963</v>
      </c>
      <c r="B1445" s="221">
        <v>9</v>
      </c>
      <c r="E1445" s="221">
        <v>94.2</v>
      </c>
    </row>
    <row r="1446" spans="1:5">
      <c r="A1446" s="247">
        <v>41648.043067129627</v>
      </c>
      <c r="B1446" s="221">
        <v>8.5</v>
      </c>
      <c r="E1446" s="221">
        <v>95.4</v>
      </c>
    </row>
    <row r="1447" spans="1:5">
      <c r="A1447" s="247">
        <v>41648.084733796299</v>
      </c>
      <c r="B1447" s="221">
        <v>9.5</v>
      </c>
      <c r="E1447" s="221">
        <v>93</v>
      </c>
    </row>
    <row r="1448" spans="1:5">
      <c r="A1448" s="247">
        <v>41648.126400462963</v>
      </c>
      <c r="B1448" s="221">
        <v>10</v>
      </c>
      <c r="E1448" s="221">
        <v>90</v>
      </c>
    </row>
    <row r="1449" spans="1:5">
      <c r="A1449" s="247">
        <v>41648.168067129627</v>
      </c>
      <c r="B1449" s="221">
        <v>10</v>
      </c>
      <c r="E1449" s="221">
        <v>88.8</v>
      </c>
    </row>
    <row r="1450" spans="1:5">
      <c r="A1450" s="247">
        <v>41648.209733796299</v>
      </c>
      <c r="B1450" s="221">
        <v>9</v>
      </c>
      <c r="E1450" s="221">
        <v>90.6</v>
      </c>
    </row>
    <row r="1451" spans="1:5">
      <c r="A1451" s="247">
        <v>41648.251400462963</v>
      </c>
      <c r="B1451" s="221">
        <v>8</v>
      </c>
      <c r="E1451" s="221">
        <v>93</v>
      </c>
    </row>
    <row r="1452" spans="1:5">
      <c r="A1452" s="247">
        <v>41648.293067129627</v>
      </c>
      <c r="B1452" s="221">
        <v>8.5</v>
      </c>
      <c r="E1452" s="221">
        <v>90</v>
      </c>
    </row>
    <row r="1453" spans="1:5">
      <c r="A1453" s="247">
        <v>41648.334733796299</v>
      </c>
      <c r="B1453" s="221">
        <v>7.5</v>
      </c>
      <c r="E1453" s="221">
        <v>91.2</v>
      </c>
    </row>
    <row r="1454" spans="1:5">
      <c r="A1454" s="247">
        <v>41648.376400462963</v>
      </c>
      <c r="B1454" s="221">
        <v>7</v>
      </c>
      <c r="E1454" s="221">
        <v>94.2</v>
      </c>
    </row>
    <row r="1455" spans="1:5">
      <c r="A1455" s="247">
        <v>41648.418067129627</v>
      </c>
      <c r="B1455" s="221">
        <v>6.5</v>
      </c>
      <c r="E1455" s="221">
        <v>96.6</v>
      </c>
    </row>
    <row r="1456" spans="1:5">
      <c r="A1456" s="247">
        <v>41648.459733796299</v>
      </c>
      <c r="B1456" s="221">
        <v>9.5</v>
      </c>
      <c r="E1456" s="221">
        <v>90</v>
      </c>
    </row>
    <row r="1457" spans="1:5">
      <c r="A1457" s="247">
        <v>41648.501400462963</v>
      </c>
      <c r="B1457" s="221">
        <v>13</v>
      </c>
      <c r="E1457" s="221">
        <v>79.2</v>
      </c>
    </row>
    <row r="1458" spans="1:5">
      <c r="A1458" s="247">
        <v>41648.543067129627</v>
      </c>
      <c r="B1458" s="221">
        <v>12.5</v>
      </c>
      <c r="E1458" s="221">
        <v>82.2</v>
      </c>
    </row>
    <row r="1459" spans="1:5">
      <c r="A1459" s="247">
        <v>41648.584733796299</v>
      </c>
      <c r="B1459" s="221">
        <v>11</v>
      </c>
      <c r="E1459" s="221">
        <v>87.6</v>
      </c>
    </row>
    <row r="1460" spans="1:5">
      <c r="A1460" s="247">
        <v>41648.626400462963</v>
      </c>
      <c r="B1460" s="221">
        <v>9.5</v>
      </c>
      <c r="E1460" s="221">
        <v>100.2</v>
      </c>
    </row>
    <row r="1461" spans="1:5">
      <c r="A1461" s="247">
        <v>41648.668067129627</v>
      </c>
      <c r="B1461" s="221">
        <v>10.5</v>
      </c>
      <c r="E1461" s="221">
        <v>95.4</v>
      </c>
    </row>
    <row r="1462" spans="1:5">
      <c r="A1462" s="247">
        <v>41648.709733796299</v>
      </c>
      <c r="B1462" s="221">
        <v>10</v>
      </c>
      <c r="E1462" s="221">
        <v>94.2</v>
      </c>
    </row>
    <row r="1463" spans="1:5">
      <c r="A1463" s="247">
        <v>41648.751400462963</v>
      </c>
      <c r="B1463" s="221">
        <v>9.5</v>
      </c>
      <c r="E1463" s="221">
        <v>95.4</v>
      </c>
    </row>
    <row r="1464" spans="1:5">
      <c r="A1464" s="247">
        <v>41648.793067129627</v>
      </c>
      <c r="B1464" s="221">
        <v>9</v>
      </c>
      <c r="E1464" s="221">
        <v>93.6</v>
      </c>
    </row>
    <row r="1465" spans="1:5">
      <c r="A1465" s="247">
        <v>41648.834733796299</v>
      </c>
      <c r="B1465" s="221">
        <v>8.5</v>
      </c>
      <c r="E1465" s="221">
        <v>93.6</v>
      </c>
    </row>
    <row r="1466" spans="1:5">
      <c r="A1466" s="247">
        <v>41648.876400462963</v>
      </c>
      <c r="B1466" s="221">
        <v>8</v>
      </c>
      <c r="E1466" s="221">
        <v>97.2</v>
      </c>
    </row>
    <row r="1467" spans="1:5">
      <c r="A1467" s="247">
        <v>41648.918067129627</v>
      </c>
      <c r="B1467" s="221">
        <v>8</v>
      </c>
      <c r="E1467" s="221">
        <v>98.4</v>
      </c>
    </row>
    <row r="1468" spans="1:5">
      <c r="A1468" s="247">
        <v>41648.959733796299</v>
      </c>
      <c r="B1468" s="221">
        <v>7.5</v>
      </c>
      <c r="E1468" s="221">
        <v>99</v>
      </c>
    </row>
    <row r="1469" spans="1:5">
      <c r="A1469" s="247">
        <v>41649.001400462963</v>
      </c>
      <c r="B1469" s="221">
        <v>7.5</v>
      </c>
      <c r="E1469" s="221">
        <v>99</v>
      </c>
    </row>
    <row r="1470" spans="1:5">
      <c r="A1470" s="247">
        <v>41649.043067129627</v>
      </c>
      <c r="B1470" s="221">
        <v>7</v>
      </c>
      <c r="E1470" s="221">
        <v>100.8</v>
      </c>
    </row>
    <row r="1471" spans="1:5">
      <c r="A1471" s="247">
        <v>41649.084733796299</v>
      </c>
      <c r="B1471" s="221">
        <v>7</v>
      </c>
      <c r="E1471" s="221">
        <v>100.8</v>
      </c>
    </row>
    <row r="1472" spans="1:5">
      <c r="A1472" s="247">
        <v>41649.126400462963</v>
      </c>
      <c r="B1472" s="221">
        <v>7</v>
      </c>
      <c r="E1472" s="221">
        <v>100.2</v>
      </c>
    </row>
    <row r="1473" spans="1:5">
      <c r="A1473" s="247">
        <v>41649.168067129627</v>
      </c>
      <c r="B1473" s="221">
        <v>6.5</v>
      </c>
      <c r="E1473" s="221">
        <v>102</v>
      </c>
    </row>
    <row r="1474" spans="1:5">
      <c r="A1474" s="247">
        <v>41649.209733796299</v>
      </c>
      <c r="B1474" s="221">
        <v>6</v>
      </c>
      <c r="E1474" s="221">
        <v>102.6</v>
      </c>
    </row>
    <row r="1475" spans="1:5">
      <c r="A1475" s="247">
        <v>41649.251400462963</v>
      </c>
      <c r="B1475" s="221">
        <v>6</v>
      </c>
      <c r="E1475" s="221">
        <v>105</v>
      </c>
    </row>
    <row r="1476" spans="1:5">
      <c r="A1476" s="247">
        <v>41649.293067129627</v>
      </c>
      <c r="B1476" s="221">
        <v>6.5</v>
      </c>
      <c r="E1476" s="221">
        <v>103.8</v>
      </c>
    </row>
    <row r="1477" spans="1:5">
      <c r="A1477" s="247">
        <v>41649.334733796299</v>
      </c>
      <c r="B1477" s="221">
        <v>7</v>
      </c>
      <c r="E1477" s="221">
        <v>103.2</v>
      </c>
    </row>
    <row r="1478" spans="1:5">
      <c r="A1478" s="247">
        <v>41649.376400462963</v>
      </c>
      <c r="B1478" s="221">
        <v>6.5</v>
      </c>
      <c r="E1478" s="221">
        <v>103.8</v>
      </c>
    </row>
    <row r="1479" spans="1:5">
      <c r="A1479" s="247">
        <v>41649.418067129627</v>
      </c>
      <c r="B1479" s="221">
        <v>7</v>
      </c>
      <c r="E1479" s="221">
        <v>102.6</v>
      </c>
    </row>
    <row r="1480" spans="1:5">
      <c r="A1480" s="247">
        <v>41649.459733796299</v>
      </c>
      <c r="B1480" s="221">
        <v>8.5</v>
      </c>
      <c r="E1480" s="221">
        <v>97.2</v>
      </c>
    </row>
    <row r="1481" spans="1:5">
      <c r="A1481" s="247">
        <v>41649.501400462963</v>
      </c>
      <c r="B1481" s="221">
        <v>10.5</v>
      </c>
      <c r="E1481" s="221">
        <v>88.2</v>
      </c>
    </row>
    <row r="1482" spans="1:5">
      <c r="A1482" s="247">
        <v>41649.543067129627</v>
      </c>
      <c r="B1482" s="221">
        <v>19</v>
      </c>
      <c r="E1482" s="221">
        <v>60.6</v>
      </c>
    </row>
    <row r="1483" spans="1:5">
      <c r="A1483" s="247">
        <v>41649.584733796299</v>
      </c>
      <c r="B1483" s="221">
        <v>13.5</v>
      </c>
      <c r="E1483" s="221">
        <v>75.599999999999994</v>
      </c>
    </row>
    <row r="1484" spans="1:5">
      <c r="A1484" s="247">
        <v>41649.626400462963</v>
      </c>
      <c r="B1484" s="221">
        <v>18.5</v>
      </c>
      <c r="E1484" s="221">
        <v>57.6</v>
      </c>
    </row>
    <row r="1485" spans="1:5">
      <c r="A1485" s="247">
        <v>41649.668067129627</v>
      </c>
      <c r="B1485" s="221">
        <v>19</v>
      </c>
      <c r="E1485" s="221">
        <v>55.2</v>
      </c>
    </row>
    <row r="1486" spans="1:5">
      <c r="A1486" s="247">
        <v>41649.709733796299</v>
      </c>
      <c r="B1486" s="221">
        <v>17.5</v>
      </c>
      <c r="E1486" s="221">
        <v>59.4</v>
      </c>
    </row>
    <row r="1487" spans="1:5">
      <c r="A1487" s="247">
        <v>41649.751400462963</v>
      </c>
      <c r="B1487" s="221">
        <v>10.5</v>
      </c>
      <c r="E1487" s="221">
        <v>85.8</v>
      </c>
    </row>
    <row r="1488" spans="1:5">
      <c r="A1488" s="247">
        <v>41649.793067129627</v>
      </c>
      <c r="B1488" s="221">
        <v>8</v>
      </c>
      <c r="E1488" s="221">
        <v>96.6</v>
      </c>
    </row>
    <row r="1489" spans="1:5">
      <c r="A1489" s="247">
        <v>41649.834733796299</v>
      </c>
      <c r="B1489" s="221">
        <v>7.5</v>
      </c>
      <c r="E1489" s="221">
        <v>99</v>
      </c>
    </row>
    <row r="1490" spans="1:5">
      <c r="A1490" s="247">
        <v>41649.876400462963</v>
      </c>
      <c r="B1490" s="221">
        <v>7</v>
      </c>
      <c r="E1490" s="221">
        <v>100.8</v>
      </c>
    </row>
    <row r="1491" spans="1:5">
      <c r="A1491" s="247">
        <v>41649.918067129627</v>
      </c>
      <c r="B1491" s="221">
        <v>7</v>
      </c>
      <c r="E1491" s="221">
        <v>100.8</v>
      </c>
    </row>
    <row r="1492" spans="1:5">
      <c r="A1492" s="247">
        <v>41649.959733796299</v>
      </c>
      <c r="B1492" s="221">
        <v>7</v>
      </c>
      <c r="E1492" s="221">
        <v>100.2</v>
      </c>
    </row>
    <row r="1493" spans="1:5">
      <c r="A1493" s="247">
        <v>41650.001400462963</v>
      </c>
      <c r="B1493" s="221">
        <v>7</v>
      </c>
      <c r="E1493" s="221">
        <v>100.2</v>
      </c>
    </row>
    <row r="1494" spans="1:5">
      <c r="A1494" s="247">
        <v>41650.043067129627</v>
      </c>
      <c r="B1494" s="221">
        <v>6.5</v>
      </c>
      <c r="E1494" s="221">
        <v>102</v>
      </c>
    </row>
    <row r="1495" spans="1:5">
      <c r="A1495" s="247">
        <v>41650.084733796299</v>
      </c>
      <c r="B1495" s="221">
        <v>6.5</v>
      </c>
      <c r="E1495" s="221">
        <v>101.4</v>
      </c>
    </row>
    <row r="1496" spans="1:5">
      <c r="A1496" s="247">
        <v>41650.126400462963</v>
      </c>
      <c r="B1496" s="221">
        <v>6.5</v>
      </c>
      <c r="E1496" s="221">
        <v>102</v>
      </c>
    </row>
    <row r="1497" spans="1:5">
      <c r="A1497" s="247">
        <v>41650.168067129627</v>
      </c>
      <c r="B1497" s="221">
        <v>5.5</v>
      </c>
      <c r="E1497" s="221">
        <v>103.8</v>
      </c>
    </row>
    <row r="1498" spans="1:5">
      <c r="A1498" s="247">
        <v>41650.209733796299</v>
      </c>
      <c r="B1498" s="221">
        <v>5.5</v>
      </c>
      <c r="E1498" s="221">
        <v>103.8</v>
      </c>
    </row>
    <row r="1499" spans="1:5">
      <c r="A1499" s="247">
        <v>41650.251400462963</v>
      </c>
      <c r="B1499" s="221">
        <v>6</v>
      </c>
      <c r="E1499" s="221">
        <v>102.6</v>
      </c>
    </row>
    <row r="1500" spans="1:5">
      <c r="A1500" s="247">
        <v>41650.293067129627</v>
      </c>
      <c r="B1500" s="221">
        <v>7.5</v>
      </c>
      <c r="E1500" s="221">
        <v>100.2</v>
      </c>
    </row>
    <row r="1501" spans="1:5">
      <c r="A1501" s="247">
        <v>41650.334733796299</v>
      </c>
      <c r="B1501" s="221">
        <v>7</v>
      </c>
      <c r="E1501" s="221">
        <v>101.4</v>
      </c>
    </row>
    <row r="1502" spans="1:5">
      <c r="A1502" s="247">
        <v>41650.376400462963</v>
      </c>
      <c r="B1502" s="221">
        <v>8</v>
      </c>
      <c r="E1502" s="221">
        <v>100.2</v>
      </c>
    </row>
    <row r="1503" spans="1:5">
      <c r="A1503" s="247">
        <v>41650.418067129627</v>
      </c>
      <c r="B1503" s="221">
        <v>8.5</v>
      </c>
      <c r="E1503" s="221">
        <v>98.4</v>
      </c>
    </row>
    <row r="1504" spans="1:5">
      <c r="A1504" s="247">
        <v>41650.459733796299</v>
      </c>
      <c r="B1504" s="221">
        <v>8.5</v>
      </c>
      <c r="E1504" s="221">
        <v>100.2</v>
      </c>
    </row>
    <row r="1505" spans="1:5">
      <c r="A1505" s="247">
        <v>41650.501400462963</v>
      </c>
      <c r="B1505" s="221">
        <v>9</v>
      </c>
      <c r="E1505" s="221">
        <v>98.4</v>
      </c>
    </row>
    <row r="1506" spans="1:5">
      <c r="A1506" s="247">
        <v>41650.543067129627</v>
      </c>
      <c r="B1506" s="221">
        <v>9.5</v>
      </c>
      <c r="E1506" s="221">
        <v>100.2</v>
      </c>
    </row>
    <row r="1507" spans="1:5">
      <c r="A1507" s="247">
        <v>41650.584733796299</v>
      </c>
      <c r="B1507" s="221">
        <v>9.5</v>
      </c>
      <c r="E1507" s="221">
        <v>100.2</v>
      </c>
    </row>
    <row r="1508" spans="1:5">
      <c r="A1508" s="247">
        <v>41650.626400462963</v>
      </c>
      <c r="B1508" s="221">
        <v>9.5</v>
      </c>
      <c r="E1508" s="221">
        <v>100.2</v>
      </c>
    </row>
    <row r="1509" spans="1:5">
      <c r="A1509" s="247">
        <v>41650.668067129627</v>
      </c>
      <c r="B1509" s="221">
        <v>9.5</v>
      </c>
      <c r="E1509" s="221">
        <v>99.6</v>
      </c>
    </row>
    <row r="1510" spans="1:5">
      <c r="A1510" s="247">
        <v>41650.709733796299</v>
      </c>
      <c r="B1510" s="221">
        <v>9.5</v>
      </c>
      <c r="E1510" s="221">
        <v>99.6</v>
      </c>
    </row>
    <row r="1511" spans="1:5">
      <c r="A1511" s="247">
        <v>41650.751400462963</v>
      </c>
      <c r="B1511" s="221">
        <v>8.5</v>
      </c>
      <c r="E1511" s="221">
        <v>102</v>
      </c>
    </row>
    <row r="1512" spans="1:5">
      <c r="A1512" s="247">
        <v>41650.793067129627</v>
      </c>
      <c r="B1512" s="221">
        <v>8.5</v>
      </c>
      <c r="E1512" s="221">
        <v>102</v>
      </c>
    </row>
    <row r="1513" spans="1:5">
      <c r="A1513" s="247">
        <v>41650.834733796299</v>
      </c>
      <c r="B1513" s="221">
        <v>6.5</v>
      </c>
      <c r="E1513" s="221">
        <v>103.8</v>
      </c>
    </row>
    <row r="1514" spans="1:5">
      <c r="A1514" s="247">
        <v>41650.876400462963</v>
      </c>
      <c r="B1514" s="221">
        <v>7</v>
      </c>
      <c r="E1514" s="221">
        <v>104.4</v>
      </c>
    </row>
    <row r="1515" spans="1:5">
      <c r="A1515" s="247">
        <v>41650.918067129627</v>
      </c>
      <c r="B1515" s="221">
        <v>7.5</v>
      </c>
      <c r="E1515" s="221">
        <v>103.8</v>
      </c>
    </row>
    <row r="1516" spans="1:5">
      <c r="A1516" s="247">
        <v>41650.959733796299</v>
      </c>
      <c r="B1516" s="221">
        <v>7.5</v>
      </c>
      <c r="E1516" s="221">
        <v>103.2</v>
      </c>
    </row>
    <row r="1517" spans="1:5">
      <c r="A1517" s="247">
        <v>41651.001400462963</v>
      </c>
      <c r="B1517" s="221">
        <v>7.5</v>
      </c>
      <c r="E1517" s="221">
        <v>102.6</v>
      </c>
    </row>
    <row r="1518" spans="1:5">
      <c r="A1518" s="247">
        <v>41651.043067129627</v>
      </c>
      <c r="B1518" s="221">
        <v>7.5</v>
      </c>
      <c r="E1518" s="221">
        <v>101.4</v>
      </c>
    </row>
    <row r="1519" spans="1:5">
      <c r="A1519" s="247">
        <v>41651.084733796299</v>
      </c>
      <c r="B1519" s="221">
        <v>7.5</v>
      </c>
      <c r="E1519" s="221">
        <v>102</v>
      </c>
    </row>
    <row r="1520" spans="1:5">
      <c r="A1520" s="247">
        <v>41651.126400462963</v>
      </c>
      <c r="B1520" s="221">
        <v>7</v>
      </c>
      <c r="E1520" s="221">
        <v>103.2</v>
      </c>
    </row>
    <row r="1521" spans="1:5">
      <c r="A1521" s="247">
        <v>41651.168067129627</v>
      </c>
      <c r="B1521" s="221">
        <v>7</v>
      </c>
      <c r="E1521" s="221">
        <v>103.8</v>
      </c>
    </row>
    <row r="1522" spans="1:5">
      <c r="A1522" s="247">
        <v>41651.209733796299</v>
      </c>
      <c r="B1522" s="221">
        <v>7</v>
      </c>
      <c r="E1522" s="221">
        <v>103.8</v>
      </c>
    </row>
    <row r="1523" spans="1:5">
      <c r="A1523" s="247">
        <v>41651.251400462963</v>
      </c>
      <c r="B1523" s="221">
        <v>7</v>
      </c>
      <c r="E1523" s="221">
        <v>102.6</v>
      </c>
    </row>
    <row r="1524" spans="1:5">
      <c r="A1524" s="247">
        <v>41651.293067129627</v>
      </c>
      <c r="B1524" s="221">
        <v>7</v>
      </c>
      <c r="E1524" s="221">
        <v>102</v>
      </c>
    </row>
    <row r="1525" spans="1:5">
      <c r="A1525" s="247">
        <v>41651.334733796299</v>
      </c>
      <c r="B1525" s="221">
        <v>7</v>
      </c>
      <c r="E1525" s="221">
        <v>102.6</v>
      </c>
    </row>
    <row r="1526" spans="1:5">
      <c r="A1526" s="247">
        <v>41651.376400462963</v>
      </c>
      <c r="B1526" s="221">
        <v>6</v>
      </c>
      <c r="E1526" s="221">
        <v>103.8</v>
      </c>
    </row>
    <row r="1527" spans="1:5">
      <c r="A1527" s="247">
        <v>41651.418067129627</v>
      </c>
      <c r="B1527" s="221">
        <v>5</v>
      </c>
      <c r="E1527" s="221">
        <v>105.6</v>
      </c>
    </row>
    <row r="1528" spans="1:5">
      <c r="A1528" s="247">
        <v>41651.459733796299</v>
      </c>
      <c r="B1528" s="221">
        <v>5.5</v>
      </c>
      <c r="E1528" s="221">
        <v>104.4</v>
      </c>
    </row>
    <row r="1529" spans="1:5">
      <c r="A1529" s="247">
        <v>41651.501400462963</v>
      </c>
      <c r="B1529" s="221">
        <v>6.5</v>
      </c>
      <c r="E1529" s="221">
        <v>102.6</v>
      </c>
    </row>
    <row r="1530" spans="1:5">
      <c r="A1530" s="247">
        <v>41651.543067129627</v>
      </c>
      <c r="B1530" s="221">
        <v>8.5</v>
      </c>
      <c r="E1530" s="221">
        <v>97.8</v>
      </c>
    </row>
    <row r="1531" spans="1:5">
      <c r="A1531" s="247">
        <v>41651.584733796299</v>
      </c>
      <c r="B1531" s="221">
        <v>12</v>
      </c>
      <c r="E1531" s="221">
        <v>85.2</v>
      </c>
    </row>
    <row r="1532" spans="1:5">
      <c r="A1532" s="247">
        <v>41651.626400462963</v>
      </c>
      <c r="B1532" s="221">
        <v>16.5</v>
      </c>
      <c r="E1532" s="221">
        <v>66</v>
      </c>
    </row>
    <row r="1533" spans="1:5">
      <c r="A1533" s="247">
        <v>41651.668067129627</v>
      </c>
      <c r="B1533" s="221">
        <v>17.5</v>
      </c>
      <c r="E1533" s="221">
        <v>61.8</v>
      </c>
    </row>
    <row r="1534" spans="1:5">
      <c r="A1534" s="247">
        <v>41651.709733796299</v>
      </c>
      <c r="B1534" s="221">
        <v>15</v>
      </c>
      <c r="E1534" s="221">
        <v>68.400000000000006</v>
      </c>
    </row>
    <row r="1535" spans="1:5">
      <c r="A1535" s="247">
        <v>41651.751400462963</v>
      </c>
      <c r="B1535" s="221">
        <v>9.5</v>
      </c>
      <c r="E1535" s="221">
        <v>93.6</v>
      </c>
    </row>
    <row r="1536" spans="1:5">
      <c r="A1536" s="247">
        <v>41651.793067129627</v>
      </c>
      <c r="B1536" s="221">
        <v>7</v>
      </c>
      <c r="E1536" s="221">
        <v>100.8</v>
      </c>
    </row>
    <row r="1537" spans="1:5">
      <c r="A1537" s="247">
        <v>41651.834733796299</v>
      </c>
      <c r="B1537" s="221">
        <v>7</v>
      </c>
      <c r="E1537" s="221">
        <v>100.2</v>
      </c>
    </row>
    <row r="1538" spans="1:5">
      <c r="A1538" s="247">
        <v>41651.876400462963</v>
      </c>
      <c r="B1538" s="221">
        <v>6.5</v>
      </c>
      <c r="E1538" s="221">
        <v>100.2</v>
      </c>
    </row>
    <row r="1539" spans="1:5">
      <c r="A1539" s="247">
        <v>41651.918067129627</v>
      </c>
      <c r="B1539" s="221">
        <v>5.5</v>
      </c>
      <c r="E1539" s="221">
        <v>99.6</v>
      </c>
    </row>
    <row r="1540" spans="1:5">
      <c r="A1540" s="247">
        <v>41651.959733796299</v>
      </c>
      <c r="B1540" s="221">
        <v>6.5</v>
      </c>
      <c r="E1540" s="221">
        <v>100.2</v>
      </c>
    </row>
    <row r="1541" spans="1:5">
      <c r="A1541" s="247">
        <v>41652.001400462963</v>
      </c>
      <c r="B1541" s="221">
        <v>7</v>
      </c>
      <c r="E1541" s="221">
        <v>99.6</v>
      </c>
    </row>
    <row r="1542" spans="1:5">
      <c r="A1542" s="247">
        <v>41652.043067129627</v>
      </c>
      <c r="B1542" s="221">
        <v>6.5</v>
      </c>
      <c r="E1542" s="221">
        <v>102</v>
      </c>
    </row>
    <row r="1543" spans="1:5">
      <c r="A1543" s="247">
        <v>41652.084733796299</v>
      </c>
      <c r="B1543" s="221">
        <v>7.5</v>
      </c>
      <c r="E1543" s="221">
        <v>101.4</v>
      </c>
    </row>
    <row r="1544" spans="1:5">
      <c r="A1544" s="247">
        <v>41652.126400462963</v>
      </c>
      <c r="B1544" s="221">
        <v>8</v>
      </c>
      <c r="E1544" s="221">
        <v>100.2</v>
      </c>
    </row>
    <row r="1545" spans="1:5">
      <c r="A1545" s="247">
        <v>41652.168067129627</v>
      </c>
      <c r="B1545" s="221">
        <v>9</v>
      </c>
      <c r="E1545" s="221">
        <v>102</v>
      </c>
    </row>
    <row r="1546" spans="1:5">
      <c r="A1546" s="247">
        <v>41652.209733796299</v>
      </c>
      <c r="B1546" s="221">
        <v>9</v>
      </c>
      <c r="E1546" s="221">
        <v>102.6</v>
      </c>
    </row>
    <row r="1547" spans="1:5">
      <c r="A1547" s="247">
        <v>41652.251400462963</v>
      </c>
      <c r="B1547" s="221">
        <v>7</v>
      </c>
      <c r="E1547" s="221">
        <v>104.4</v>
      </c>
    </row>
    <row r="1548" spans="1:5">
      <c r="A1548" s="247">
        <v>41652.293067129627</v>
      </c>
      <c r="B1548" s="221">
        <v>8</v>
      </c>
      <c r="E1548" s="221">
        <v>103.8</v>
      </c>
    </row>
    <row r="1549" spans="1:5">
      <c r="A1549" s="247">
        <v>41652.334733796299</v>
      </c>
      <c r="B1549" s="221">
        <v>8</v>
      </c>
      <c r="E1549" s="221">
        <v>105</v>
      </c>
    </row>
    <row r="1550" spans="1:5">
      <c r="A1550" s="247">
        <v>41652.376400462963</v>
      </c>
      <c r="B1550" s="221">
        <v>7</v>
      </c>
      <c r="E1550" s="221">
        <v>105</v>
      </c>
    </row>
    <row r="1551" spans="1:5">
      <c r="A1551" s="247">
        <v>41652.418067129627</v>
      </c>
      <c r="B1551" s="221">
        <v>7.5</v>
      </c>
      <c r="E1551" s="221">
        <v>103.8</v>
      </c>
    </row>
    <row r="1552" spans="1:5">
      <c r="A1552" s="247">
        <v>41652.459733796299</v>
      </c>
      <c r="B1552" s="221">
        <v>8</v>
      </c>
      <c r="E1552" s="221">
        <v>104.4</v>
      </c>
    </row>
    <row r="1553" spans="1:5">
      <c r="A1553" s="247">
        <v>41652.501400462963</v>
      </c>
      <c r="B1553" s="221">
        <v>9</v>
      </c>
      <c r="E1553" s="221">
        <v>103.8</v>
      </c>
    </row>
    <row r="1554" spans="1:5">
      <c r="A1554" s="247">
        <v>41652.543067129627</v>
      </c>
      <c r="B1554" s="221">
        <v>10</v>
      </c>
      <c r="E1554" s="221">
        <v>98.4</v>
      </c>
    </row>
    <row r="1555" spans="1:5">
      <c r="A1555" s="247">
        <v>41652.584733796299</v>
      </c>
      <c r="B1555" s="221">
        <v>13</v>
      </c>
      <c r="E1555" s="221">
        <v>82.8</v>
      </c>
    </row>
    <row r="1556" spans="1:5">
      <c r="A1556" s="247">
        <v>41652.626400462963</v>
      </c>
      <c r="B1556" s="221">
        <v>8.5</v>
      </c>
      <c r="E1556" s="221">
        <v>96</v>
      </c>
    </row>
    <row r="1557" spans="1:5">
      <c r="A1557" s="247">
        <v>41652.668067129627</v>
      </c>
      <c r="B1557" s="221">
        <v>10</v>
      </c>
      <c r="E1557" s="221">
        <v>90</v>
      </c>
    </row>
    <row r="1558" spans="1:5">
      <c r="A1558" s="247">
        <v>41652.709733796299</v>
      </c>
      <c r="B1558" s="221">
        <v>10</v>
      </c>
      <c r="E1558" s="221">
        <v>88.2</v>
      </c>
    </row>
    <row r="1559" spans="1:5">
      <c r="A1559" s="247">
        <v>41652.751400462963</v>
      </c>
      <c r="B1559" s="221">
        <v>8</v>
      </c>
      <c r="E1559" s="221">
        <v>94.2</v>
      </c>
    </row>
    <row r="1560" spans="1:5">
      <c r="A1560" s="247">
        <v>41652.793067129627</v>
      </c>
      <c r="B1560" s="221">
        <v>6</v>
      </c>
      <c r="E1560" s="221">
        <v>96</v>
      </c>
    </row>
    <row r="1561" spans="1:5">
      <c r="A1561" s="247">
        <v>41652.834733796299</v>
      </c>
      <c r="B1561" s="221">
        <v>5.5</v>
      </c>
      <c r="E1561" s="221">
        <v>100.2</v>
      </c>
    </row>
    <row r="1562" spans="1:5">
      <c r="A1562" s="247">
        <v>41652.876400462963</v>
      </c>
      <c r="B1562" s="221">
        <v>5</v>
      </c>
      <c r="E1562" s="221">
        <v>100.2</v>
      </c>
    </row>
    <row r="1563" spans="1:5">
      <c r="A1563" s="247">
        <v>41652.918067129627</v>
      </c>
      <c r="B1563" s="221">
        <v>5</v>
      </c>
      <c r="E1563" s="221">
        <v>102</v>
      </c>
    </row>
    <row r="1564" spans="1:5">
      <c r="A1564" s="247">
        <v>41652.959733796299</v>
      </c>
      <c r="B1564" s="221">
        <v>4.5</v>
      </c>
      <c r="E1564" s="221">
        <v>100.2</v>
      </c>
    </row>
    <row r="1565" spans="1:5">
      <c r="A1565" s="247">
        <v>41653.001400462963</v>
      </c>
      <c r="B1565" s="221">
        <v>5.5</v>
      </c>
      <c r="E1565" s="221">
        <v>99</v>
      </c>
    </row>
    <row r="1566" spans="1:5">
      <c r="A1566" s="247">
        <v>41653.043067129627</v>
      </c>
      <c r="B1566" s="221">
        <v>5.5</v>
      </c>
      <c r="E1566" s="221">
        <v>100.2</v>
      </c>
    </row>
    <row r="1567" spans="1:5">
      <c r="A1567" s="247">
        <v>41653.084733796299</v>
      </c>
      <c r="B1567" s="221">
        <v>6</v>
      </c>
      <c r="E1567" s="221">
        <v>99</v>
      </c>
    </row>
    <row r="1568" spans="1:5">
      <c r="A1568" s="247">
        <v>41653.126400462963</v>
      </c>
      <c r="B1568" s="221">
        <v>5.5</v>
      </c>
      <c r="E1568" s="221">
        <v>100.8</v>
      </c>
    </row>
    <row r="1569" spans="1:5">
      <c r="A1569" s="247">
        <v>41653.168067129627</v>
      </c>
      <c r="B1569" s="221">
        <v>6</v>
      </c>
      <c r="E1569" s="221">
        <v>100.2</v>
      </c>
    </row>
    <row r="1570" spans="1:5">
      <c r="A1570" s="247">
        <v>41653.209733796299</v>
      </c>
      <c r="B1570" s="221">
        <v>5.5</v>
      </c>
      <c r="E1570" s="221">
        <v>100.8</v>
      </c>
    </row>
    <row r="1571" spans="1:5">
      <c r="A1571" s="247">
        <v>41653.251400462963</v>
      </c>
      <c r="B1571" s="221">
        <v>5</v>
      </c>
      <c r="E1571" s="221">
        <v>102</v>
      </c>
    </row>
    <row r="1572" spans="1:5">
      <c r="A1572" s="247">
        <v>41653.293067129627</v>
      </c>
      <c r="B1572" s="221">
        <v>5</v>
      </c>
      <c r="E1572" s="221">
        <v>102</v>
      </c>
    </row>
    <row r="1573" spans="1:5">
      <c r="A1573" s="247">
        <v>41653.334733796299</v>
      </c>
      <c r="B1573" s="221">
        <v>5</v>
      </c>
      <c r="E1573" s="221">
        <v>102</v>
      </c>
    </row>
    <row r="1574" spans="1:5">
      <c r="A1574" s="247">
        <v>41653.376400462963</v>
      </c>
      <c r="B1574" s="221">
        <v>5</v>
      </c>
      <c r="E1574" s="221">
        <v>103.2</v>
      </c>
    </row>
    <row r="1575" spans="1:5">
      <c r="A1575" s="247">
        <v>41653.418067129627</v>
      </c>
      <c r="B1575" s="221">
        <v>5</v>
      </c>
      <c r="E1575" s="221">
        <v>103.8</v>
      </c>
    </row>
    <row r="1576" spans="1:5">
      <c r="A1576" s="247">
        <v>41653.459733796299</v>
      </c>
      <c r="B1576" s="221">
        <v>5.5</v>
      </c>
      <c r="E1576" s="221">
        <v>103.2</v>
      </c>
    </row>
    <row r="1577" spans="1:5">
      <c r="A1577" s="247">
        <v>41653.501400462963</v>
      </c>
      <c r="B1577" s="221">
        <v>6</v>
      </c>
      <c r="E1577" s="221">
        <v>97.8</v>
      </c>
    </row>
    <row r="1578" spans="1:5">
      <c r="A1578" s="247">
        <v>41653.543067129627</v>
      </c>
      <c r="B1578" s="221">
        <v>8.5</v>
      </c>
      <c r="E1578" s="221">
        <v>86.4</v>
      </c>
    </row>
    <row r="1579" spans="1:5">
      <c r="A1579" s="247">
        <v>41653.584733796299</v>
      </c>
      <c r="B1579" s="221">
        <v>9.5</v>
      </c>
      <c r="E1579" s="221">
        <v>79.8</v>
      </c>
    </row>
    <row r="1580" spans="1:5">
      <c r="A1580" s="247">
        <v>41653.626400462963</v>
      </c>
      <c r="B1580" s="221">
        <v>8.5</v>
      </c>
      <c r="E1580" s="221">
        <v>82.2</v>
      </c>
    </row>
    <row r="1581" spans="1:5">
      <c r="A1581" s="247">
        <v>41653.668067129627</v>
      </c>
      <c r="B1581" s="221">
        <v>12.5</v>
      </c>
      <c r="E1581" s="221">
        <v>66</v>
      </c>
    </row>
    <row r="1582" spans="1:5">
      <c r="A1582" s="247">
        <v>41653.709733796299</v>
      </c>
      <c r="B1582" s="221">
        <v>8</v>
      </c>
      <c r="E1582" s="221">
        <v>82.2</v>
      </c>
    </row>
    <row r="1583" spans="1:5">
      <c r="A1583" s="247">
        <v>41653.751400462963</v>
      </c>
      <c r="B1583" s="221">
        <v>6.5</v>
      </c>
      <c r="E1583" s="221">
        <v>89.4</v>
      </c>
    </row>
    <row r="1584" spans="1:5">
      <c r="A1584" s="247">
        <v>41653.793067129627</v>
      </c>
      <c r="B1584" s="221">
        <v>3</v>
      </c>
      <c r="E1584" s="221">
        <v>101.4</v>
      </c>
    </row>
    <row r="1585" spans="1:5">
      <c r="A1585" s="247">
        <v>41653.834733796299</v>
      </c>
      <c r="B1585" s="221">
        <v>2.5</v>
      </c>
      <c r="E1585" s="221">
        <v>102.6</v>
      </c>
    </row>
    <row r="1586" spans="1:5">
      <c r="A1586" s="247">
        <v>41653.876400462963</v>
      </c>
      <c r="B1586" s="221">
        <v>2</v>
      </c>
      <c r="E1586" s="221">
        <v>103.2</v>
      </c>
    </row>
    <row r="1587" spans="1:5">
      <c r="A1587" s="247">
        <v>41653.918067129627</v>
      </c>
      <c r="B1587" s="221">
        <v>1.5</v>
      </c>
      <c r="E1587" s="221">
        <v>104.4</v>
      </c>
    </row>
    <row r="1588" spans="1:5">
      <c r="A1588" s="247">
        <v>41653.959733796299</v>
      </c>
      <c r="B1588" s="221">
        <v>1</v>
      </c>
      <c r="E1588" s="221">
        <v>105</v>
      </c>
    </row>
    <row r="1589" spans="1:5">
      <c r="A1589" s="247">
        <v>41654.001400462963</v>
      </c>
      <c r="B1589" s="221">
        <v>0.5</v>
      </c>
      <c r="E1589" s="221">
        <v>105.6</v>
      </c>
    </row>
    <row r="1590" spans="1:5">
      <c r="A1590" s="247">
        <v>41654.043067129627</v>
      </c>
      <c r="B1590" s="221">
        <v>0.5</v>
      </c>
      <c r="E1590" s="221">
        <v>105.6</v>
      </c>
    </row>
    <row r="1591" spans="1:5">
      <c r="A1591" s="247">
        <v>41654.084733796299</v>
      </c>
      <c r="B1591" s="221">
        <v>1</v>
      </c>
      <c r="E1591" s="221">
        <v>105</v>
      </c>
    </row>
    <row r="1592" spans="1:5">
      <c r="A1592" s="247">
        <v>41654.126400462963</v>
      </c>
      <c r="B1592" s="221">
        <v>2</v>
      </c>
      <c r="E1592" s="221">
        <v>103.2</v>
      </c>
    </row>
    <row r="1593" spans="1:5">
      <c r="A1593" s="247">
        <v>41654.168067129627</v>
      </c>
      <c r="B1593" s="221">
        <v>2</v>
      </c>
      <c r="E1593" s="221">
        <v>102.6</v>
      </c>
    </row>
    <row r="1594" spans="1:5">
      <c r="A1594" s="247">
        <v>41654.209733796299</v>
      </c>
      <c r="B1594" s="221">
        <v>3</v>
      </c>
      <c r="E1594" s="221">
        <v>100.8</v>
      </c>
    </row>
    <row r="1595" spans="1:5">
      <c r="A1595" s="247">
        <v>41654.251400462963</v>
      </c>
      <c r="B1595" s="221">
        <v>3.5</v>
      </c>
      <c r="E1595" s="221">
        <v>98.4</v>
      </c>
    </row>
    <row r="1596" spans="1:5">
      <c r="A1596" s="247">
        <v>41654.293067129627</v>
      </c>
      <c r="B1596" s="221">
        <v>4</v>
      </c>
      <c r="E1596" s="221">
        <v>97.2</v>
      </c>
    </row>
    <row r="1597" spans="1:5">
      <c r="A1597" s="247">
        <v>41654.334733796299</v>
      </c>
      <c r="B1597" s="221">
        <v>4.5</v>
      </c>
      <c r="E1597" s="221">
        <v>94.2</v>
      </c>
    </row>
    <row r="1598" spans="1:5">
      <c r="A1598" s="247">
        <v>41654.376400462963</v>
      </c>
      <c r="B1598" s="221">
        <v>4</v>
      </c>
      <c r="E1598" s="221">
        <v>100.8</v>
      </c>
    </row>
    <row r="1599" spans="1:5">
      <c r="A1599" s="247">
        <v>41654.418067129627</v>
      </c>
      <c r="B1599" s="221">
        <v>4</v>
      </c>
      <c r="E1599" s="221">
        <v>102</v>
      </c>
    </row>
    <row r="1600" spans="1:5">
      <c r="A1600" s="247">
        <v>41654.459733796299</v>
      </c>
      <c r="B1600" s="221">
        <v>5</v>
      </c>
      <c r="E1600" s="221">
        <v>101.4</v>
      </c>
    </row>
    <row r="1601" spans="1:5">
      <c r="A1601" s="247">
        <v>41654.501400462963</v>
      </c>
      <c r="B1601" s="221">
        <v>5.5</v>
      </c>
      <c r="E1601" s="221">
        <v>101.4</v>
      </c>
    </row>
    <row r="1602" spans="1:5">
      <c r="A1602" s="247">
        <v>41654.543067129627</v>
      </c>
      <c r="B1602" s="221">
        <v>6.5</v>
      </c>
      <c r="E1602" s="221">
        <v>99.6</v>
      </c>
    </row>
    <row r="1603" spans="1:5">
      <c r="A1603" s="247">
        <v>41654.584733796299</v>
      </c>
      <c r="B1603" s="221">
        <v>7</v>
      </c>
      <c r="E1603" s="221">
        <v>98.4</v>
      </c>
    </row>
    <row r="1604" spans="1:5">
      <c r="A1604" s="247">
        <v>41654.626400462963</v>
      </c>
      <c r="B1604" s="221">
        <v>7</v>
      </c>
      <c r="E1604" s="221">
        <v>100.8</v>
      </c>
    </row>
    <row r="1605" spans="1:5">
      <c r="A1605" s="247">
        <v>41654.668067129627</v>
      </c>
      <c r="B1605" s="221">
        <v>7.5</v>
      </c>
      <c r="E1605" s="221">
        <v>101.4</v>
      </c>
    </row>
    <row r="1606" spans="1:5">
      <c r="A1606" s="247">
        <v>41654.709733796299</v>
      </c>
      <c r="B1606" s="221">
        <v>7</v>
      </c>
      <c r="E1606" s="221">
        <v>102.6</v>
      </c>
    </row>
    <row r="1607" spans="1:5">
      <c r="A1607" s="247">
        <v>41654.751400462963</v>
      </c>
      <c r="B1607" s="221">
        <v>7</v>
      </c>
      <c r="E1607" s="221">
        <v>102.6</v>
      </c>
    </row>
    <row r="1608" spans="1:5">
      <c r="A1608" s="247">
        <v>41654.793067129627</v>
      </c>
      <c r="B1608" s="221">
        <v>7</v>
      </c>
      <c r="E1608" s="221">
        <v>103.2</v>
      </c>
    </row>
    <row r="1609" spans="1:5">
      <c r="A1609" s="247">
        <v>41654.834733796299</v>
      </c>
      <c r="B1609" s="221">
        <v>6.5</v>
      </c>
      <c r="E1609" s="221">
        <v>103.8</v>
      </c>
    </row>
    <row r="1610" spans="1:5">
      <c r="A1610" s="247">
        <v>41654.876400462963</v>
      </c>
      <c r="B1610" s="221">
        <v>7</v>
      </c>
      <c r="E1610" s="221">
        <v>103.8</v>
      </c>
    </row>
    <row r="1611" spans="1:5">
      <c r="A1611" s="247">
        <v>41654.918067129627</v>
      </c>
      <c r="B1611" s="221">
        <v>7</v>
      </c>
      <c r="E1611" s="221">
        <v>103.8</v>
      </c>
    </row>
    <row r="1612" spans="1:5">
      <c r="A1612" s="247">
        <v>41654.959733796299</v>
      </c>
      <c r="B1612" s="221">
        <v>7</v>
      </c>
      <c r="E1612" s="221">
        <v>103.2</v>
      </c>
    </row>
    <row r="1613" spans="1:5">
      <c r="A1613" s="247">
        <v>41655.001400462963</v>
      </c>
      <c r="B1613" s="221">
        <v>7</v>
      </c>
      <c r="E1613" s="221">
        <v>102.6</v>
      </c>
    </row>
    <row r="1614" spans="1:5">
      <c r="A1614" s="247">
        <v>41655.043067129627</v>
      </c>
      <c r="B1614" s="221">
        <v>7.5</v>
      </c>
      <c r="E1614" s="221">
        <v>100.8</v>
      </c>
    </row>
    <row r="1615" spans="1:5">
      <c r="A1615" s="247">
        <v>41655.084733796299</v>
      </c>
      <c r="B1615" s="221">
        <v>7.5</v>
      </c>
      <c r="E1615" s="221">
        <v>100.2</v>
      </c>
    </row>
    <row r="1616" spans="1:5">
      <c r="A1616" s="247">
        <v>41655.126400462963</v>
      </c>
      <c r="B1616" s="221">
        <v>7</v>
      </c>
      <c r="E1616" s="221">
        <v>101.4</v>
      </c>
    </row>
    <row r="1617" spans="1:5">
      <c r="A1617" s="247">
        <v>41655.168067129627</v>
      </c>
      <c r="B1617" s="221">
        <v>8</v>
      </c>
      <c r="E1617" s="221">
        <v>97.2</v>
      </c>
    </row>
    <row r="1618" spans="1:5">
      <c r="A1618" s="247">
        <v>41655.209733796299</v>
      </c>
      <c r="B1618" s="221">
        <v>9</v>
      </c>
      <c r="E1618" s="221">
        <v>94.8</v>
      </c>
    </row>
    <row r="1619" spans="1:5">
      <c r="A1619" s="247">
        <v>41655.251400462963</v>
      </c>
      <c r="B1619" s="221">
        <v>9</v>
      </c>
      <c r="E1619" s="221">
        <v>96</v>
      </c>
    </row>
    <row r="1620" spans="1:5">
      <c r="A1620" s="247">
        <v>41655.293067129627</v>
      </c>
      <c r="B1620" s="221">
        <v>9.5</v>
      </c>
      <c r="E1620" s="221">
        <v>91.2</v>
      </c>
    </row>
    <row r="1621" spans="1:5">
      <c r="A1621" s="247">
        <v>41655.334733796299</v>
      </c>
      <c r="B1621" s="221">
        <v>9</v>
      </c>
      <c r="E1621" s="221">
        <v>94.8</v>
      </c>
    </row>
    <row r="1622" spans="1:5">
      <c r="A1622" s="247">
        <v>41655.376400462963</v>
      </c>
      <c r="B1622" s="221">
        <v>9</v>
      </c>
      <c r="E1622" s="221">
        <v>92.4</v>
      </c>
    </row>
    <row r="1623" spans="1:5">
      <c r="A1623" s="247">
        <v>41655.418067129627</v>
      </c>
      <c r="B1623" s="221">
        <v>8</v>
      </c>
      <c r="E1623" s="221">
        <v>98.4</v>
      </c>
    </row>
    <row r="1624" spans="1:5">
      <c r="A1624" s="247">
        <v>41655.459733796299</v>
      </c>
      <c r="B1624" s="221">
        <v>8</v>
      </c>
      <c r="E1624" s="221">
        <v>99.6</v>
      </c>
    </row>
    <row r="1625" spans="1:5">
      <c r="A1625" s="247">
        <v>41655.501400462963</v>
      </c>
      <c r="B1625" s="221">
        <v>8</v>
      </c>
      <c r="E1625" s="221">
        <v>99.6</v>
      </c>
    </row>
    <row r="1626" spans="1:5">
      <c r="A1626" s="247">
        <v>41655.543067129627</v>
      </c>
      <c r="B1626" s="221">
        <v>8.5</v>
      </c>
      <c r="E1626" s="221">
        <v>96</v>
      </c>
    </row>
    <row r="1627" spans="1:5">
      <c r="A1627" s="247">
        <v>41655.584733796299</v>
      </c>
      <c r="B1627" s="221">
        <v>12</v>
      </c>
      <c r="E1627" s="221">
        <v>84</v>
      </c>
    </row>
    <row r="1628" spans="1:5">
      <c r="A1628" s="247">
        <v>41655.626400462963</v>
      </c>
      <c r="B1628" s="221">
        <v>12</v>
      </c>
      <c r="E1628" s="221">
        <v>82.2</v>
      </c>
    </row>
    <row r="1629" spans="1:5">
      <c r="A1629" s="247">
        <v>41655.668067129627</v>
      </c>
      <c r="B1629" s="221">
        <v>11</v>
      </c>
      <c r="E1629" s="221">
        <v>82.2</v>
      </c>
    </row>
    <row r="1630" spans="1:5">
      <c r="A1630" s="247">
        <v>41655.709733796299</v>
      </c>
      <c r="B1630" s="221">
        <v>9.5</v>
      </c>
      <c r="E1630" s="221">
        <v>85.8</v>
      </c>
    </row>
    <row r="1631" spans="1:5">
      <c r="A1631" s="247">
        <v>41655.751400462963</v>
      </c>
      <c r="B1631" s="221">
        <v>8.5</v>
      </c>
      <c r="E1631" s="221">
        <v>88.2</v>
      </c>
    </row>
    <row r="1632" spans="1:5">
      <c r="A1632" s="247">
        <v>41655.793067129627</v>
      </c>
      <c r="B1632" s="221">
        <v>6.5</v>
      </c>
      <c r="E1632" s="221">
        <v>99.6</v>
      </c>
    </row>
    <row r="1633" spans="1:5">
      <c r="A1633" s="247">
        <v>41655.834733796299</v>
      </c>
      <c r="B1633" s="221">
        <v>6</v>
      </c>
      <c r="E1633" s="221">
        <v>101.4</v>
      </c>
    </row>
    <row r="1634" spans="1:5">
      <c r="A1634" s="247">
        <v>41655.876400462963</v>
      </c>
      <c r="B1634" s="221">
        <v>6</v>
      </c>
      <c r="E1634" s="221">
        <v>100.2</v>
      </c>
    </row>
    <row r="1635" spans="1:5">
      <c r="A1635" s="247">
        <v>41655.918067129627</v>
      </c>
      <c r="B1635" s="221">
        <v>6.5</v>
      </c>
      <c r="E1635" s="221">
        <v>98.4</v>
      </c>
    </row>
    <row r="1636" spans="1:5">
      <c r="A1636" s="247">
        <v>41655.959733796299</v>
      </c>
      <c r="B1636" s="221">
        <v>6.5</v>
      </c>
      <c r="E1636" s="221">
        <v>98.4</v>
      </c>
    </row>
    <row r="1637" spans="1:5">
      <c r="A1637" s="247">
        <v>41656.001400462963</v>
      </c>
      <c r="B1637" s="221">
        <v>6</v>
      </c>
      <c r="E1637" s="221">
        <v>98.4</v>
      </c>
    </row>
    <row r="1638" spans="1:5">
      <c r="A1638" s="247">
        <v>41656.043067129627</v>
      </c>
      <c r="B1638" s="221">
        <v>6</v>
      </c>
      <c r="E1638" s="221">
        <v>99</v>
      </c>
    </row>
    <row r="1639" spans="1:5">
      <c r="A1639" s="247">
        <v>41656.084733796299</v>
      </c>
      <c r="B1639" s="221">
        <v>5.5</v>
      </c>
      <c r="E1639" s="221">
        <v>100.8</v>
      </c>
    </row>
    <row r="1640" spans="1:5">
      <c r="A1640" s="247">
        <v>41656.126400462963</v>
      </c>
      <c r="B1640" s="221">
        <v>6</v>
      </c>
      <c r="E1640" s="221">
        <v>99.6</v>
      </c>
    </row>
    <row r="1641" spans="1:5">
      <c r="A1641" s="247">
        <v>41656.168067129627</v>
      </c>
      <c r="B1641" s="221">
        <v>6</v>
      </c>
      <c r="E1641" s="221">
        <v>100.2</v>
      </c>
    </row>
    <row r="1642" spans="1:5">
      <c r="A1642" s="247">
        <v>41656.209733796299</v>
      </c>
      <c r="B1642" s="221">
        <v>6.5</v>
      </c>
      <c r="E1642" s="221">
        <v>95.4</v>
      </c>
    </row>
    <row r="1643" spans="1:5">
      <c r="A1643" s="247">
        <v>41656.251400462963</v>
      </c>
      <c r="B1643" s="221">
        <v>5.5</v>
      </c>
      <c r="E1643" s="221">
        <v>99</v>
      </c>
    </row>
    <row r="1644" spans="1:5">
      <c r="A1644" s="247">
        <v>41656.293067129627</v>
      </c>
      <c r="B1644" s="221">
        <v>5.5</v>
      </c>
      <c r="E1644" s="221">
        <v>98.4</v>
      </c>
    </row>
    <row r="1645" spans="1:5">
      <c r="A1645" s="247">
        <v>41656.334733796299</v>
      </c>
      <c r="B1645" s="221">
        <v>5</v>
      </c>
      <c r="E1645" s="221">
        <v>99.6</v>
      </c>
    </row>
    <row r="1646" spans="1:5">
      <c r="A1646" s="247">
        <v>41656.376400462963</v>
      </c>
      <c r="B1646" s="221">
        <v>4</v>
      </c>
      <c r="E1646" s="221">
        <v>101.4</v>
      </c>
    </row>
    <row r="1647" spans="1:5">
      <c r="A1647" s="247">
        <v>41656.418067129627</v>
      </c>
      <c r="B1647" s="221">
        <v>4.5</v>
      </c>
      <c r="E1647" s="221">
        <v>100.2</v>
      </c>
    </row>
    <row r="1648" spans="1:5">
      <c r="A1648" s="247">
        <v>41656.459733796299</v>
      </c>
      <c r="B1648" s="221">
        <v>6.5</v>
      </c>
      <c r="E1648" s="221">
        <v>94.8</v>
      </c>
    </row>
    <row r="1649" spans="1:5">
      <c r="A1649" s="247">
        <v>41656.501400462963</v>
      </c>
      <c r="B1649" s="221">
        <v>11.5</v>
      </c>
      <c r="E1649" s="221">
        <v>78</v>
      </c>
    </row>
    <row r="1650" spans="1:5">
      <c r="A1650" s="247">
        <v>41656.543067129627</v>
      </c>
      <c r="B1650" s="221">
        <v>12.5</v>
      </c>
      <c r="E1650" s="221">
        <v>72.599999999999994</v>
      </c>
    </row>
    <row r="1651" spans="1:5">
      <c r="A1651" s="247">
        <v>41656.584733796299</v>
      </c>
      <c r="B1651" s="221">
        <v>13</v>
      </c>
      <c r="E1651" s="221">
        <v>67.8</v>
      </c>
    </row>
    <row r="1652" spans="1:5">
      <c r="A1652" s="247">
        <v>41656.626400462963</v>
      </c>
      <c r="B1652" s="221">
        <v>14.5</v>
      </c>
      <c r="E1652" s="221">
        <v>64.2</v>
      </c>
    </row>
    <row r="1653" spans="1:5">
      <c r="A1653" s="247">
        <v>41656.668067129627</v>
      </c>
      <c r="B1653" s="221">
        <v>14</v>
      </c>
      <c r="E1653" s="221">
        <v>59.4</v>
      </c>
    </row>
    <row r="1654" spans="1:5">
      <c r="A1654" s="247">
        <v>41656.709733796299</v>
      </c>
      <c r="B1654" s="221">
        <v>13</v>
      </c>
      <c r="E1654" s="221">
        <v>62.4</v>
      </c>
    </row>
    <row r="1655" spans="1:5">
      <c r="A1655" s="247">
        <v>41656.751400462963</v>
      </c>
      <c r="B1655" s="221">
        <v>9.5</v>
      </c>
      <c r="E1655" s="221">
        <v>78</v>
      </c>
    </row>
    <row r="1656" spans="1:5">
      <c r="A1656" s="247">
        <v>41656.793067129627</v>
      </c>
      <c r="B1656" s="221">
        <v>5</v>
      </c>
      <c r="E1656" s="221">
        <v>89.4</v>
      </c>
    </row>
    <row r="1657" spans="1:5">
      <c r="A1657" s="247">
        <v>41656.834733796299</v>
      </c>
      <c r="B1657" s="221">
        <v>5.5</v>
      </c>
      <c r="E1657" s="221">
        <v>87</v>
      </c>
    </row>
    <row r="1658" spans="1:5">
      <c r="A1658" s="247">
        <v>41656.876400462963</v>
      </c>
      <c r="B1658" s="221">
        <v>4.5</v>
      </c>
      <c r="E1658" s="221">
        <v>93.6</v>
      </c>
    </row>
    <row r="1659" spans="1:5">
      <c r="A1659" s="247">
        <v>41656.918067129627</v>
      </c>
      <c r="B1659" s="221">
        <v>4</v>
      </c>
      <c r="E1659" s="221">
        <v>94.8</v>
      </c>
    </row>
    <row r="1660" spans="1:5">
      <c r="A1660" s="247">
        <v>41656.959733796299</v>
      </c>
      <c r="B1660" s="221">
        <v>2.5</v>
      </c>
      <c r="E1660" s="221">
        <v>98.4</v>
      </c>
    </row>
    <row r="1661" spans="1:5">
      <c r="A1661" s="247">
        <v>41657.001400462963</v>
      </c>
      <c r="B1661" s="221">
        <v>2.5</v>
      </c>
      <c r="E1661" s="221">
        <v>100.2</v>
      </c>
    </row>
    <row r="1662" spans="1:5">
      <c r="A1662" s="247">
        <v>41657.043067129627</v>
      </c>
      <c r="B1662" s="221">
        <v>2.5</v>
      </c>
      <c r="E1662" s="221">
        <v>100.2</v>
      </c>
    </row>
    <row r="1663" spans="1:5">
      <c r="A1663" s="247">
        <v>41657.084733796299</v>
      </c>
      <c r="B1663" s="221">
        <v>2</v>
      </c>
      <c r="E1663" s="221">
        <v>100.2</v>
      </c>
    </row>
    <row r="1664" spans="1:5">
      <c r="A1664" s="247">
        <v>41657.126400462963</v>
      </c>
      <c r="B1664" s="221">
        <v>1</v>
      </c>
      <c r="E1664" s="221">
        <v>102</v>
      </c>
    </row>
    <row r="1665" spans="1:5">
      <c r="A1665" s="247">
        <v>41657.168067129627</v>
      </c>
      <c r="B1665" s="221">
        <v>0.5</v>
      </c>
      <c r="E1665" s="221">
        <v>103.8</v>
      </c>
    </row>
    <row r="1666" spans="1:5">
      <c r="A1666" s="247">
        <v>41657.209733796299</v>
      </c>
      <c r="B1666" s="221">
        <v>1.5</v>
      </c>
      <c r="E1666" s="221">
        <v>104.4</v>
      </c>
    </row>
    <row r="1667" spans="1:5">
      <c r="A1667" s="247">
        <v>41657.251400462963</v>
      </c>
      <c r="B1667" s="221">
        <v>1.5</v>
      </c>
      <c r="E1667" s="221">
        <v>102</v>
      </c>
    </row>
    <row r="1668" spans="1:5">
      <c r="A1668" s="247">
        <v>41657.293067129627</v>
      </c>
      <c r="B1668" s="221">
        <v>2</v>
      </c>
      <c r="E1668" s="221">
        <v>98.4</v>
      </c>
    </row>
    <row r="1669" spans="1:5">
      <c r="A1669" s="247">
        <v>41657.334733796299</v>
      </c>
      <c r="B1669" s="221">
        <v>2</v>
      </c>
      <c r="E1669" s="221">
        <v>97.2</v>
      </c>
    </row>
    <row r="1670" spans="1:5">
      <c r="A1670" s="247">
        <v>41657.376400462963</v>
      </c>
      <c r="B1670" s="221">
        <v>2</v>
      </c>
      <c r="E1670" s="221">
        <v>98.4</v>
      </c>
    </row>
    <row r="1671" spans="1:5">
      <c r="A1671" s="247">
        <v>41657.418067129627</v>
      </c>
      <c r="B1671" s="221">
        <v>2</v>
      </c>
      <c r="E1671" s="221">
        <v>98.4</v>
      </c>
    </row>
    <row r="1672" spans="1:5">
      <c r="A1672" s="247">
        <v>41657.459733796299</v>
      </c>
      <c r="B1672" s="221">
        <v>3.5</v>
      </c>
      <c r="E1672" s="221">
        <v>96</v>
      </c>
    </row>
    <row r="1673" spans="1:5">
      <c r="A1673" s="247">
        <v>41657.501400462963</v>
      </c>
      <c r="B1673" s="221">
        <v>7</v>
      </c>
      <c r="E1673" s="221">
        <v>87</v>
      </c>
    </row>
    <row r="1674" spans="1:5">
      <c r="A1674" s="247">
        <v>41657.543067129627</v>
      </c>
      <c r="B1674" s="221">
        <v>12.5</v>
      </c>
      <c r="E1674" s="221">
        <v>69.599999999999994</v>
      </c>
    </row>
    <row r="1675" spans="1:5">
      <c r="A1675" s="247">
        <v>41657.584733796299</v>
      </c>
      <c r="B1675" s="221">
        <v>13.5</v>
      </c>
      <c r="E1675" s="221">
        <v>70.8</v>
      </c>
    </row>
    <row r="1676" spans="1:5">
      <c r="A1676" s="247">
        <v>41657.626400462963</v>
      </c>
      <c r="B1676" s="221">
        <v>17.5</v>
      </c>
      <c r="E1676" s="221">
        <v>49.2</v>
      </c>
    </row>
    <row r="1677" spans="1:5">
      <c r="A1677" s="247">
        <v>41657.668067129627</v>
      </c>
      <c r="B1677" s="221">
        <v>15</v>
      </c>
      <c r="E1677" s="221">
        <v>61.8</v>
      </c>
    </row>
    <row r="1678" spans="1:5">
      <c r="A1678" s="247">
        <v>41657.709733796299</v>
      </c>
      <c r="B1678" s="221">
        <v>13</v>
      </c>
      <c r="E1678" s="221">
        <v>73.8</v>
      </c>
    </row>
    <row r="1679" spans="1:5">
      <c r="A1679" s="247">
        <v>41657.751400462963</v>
      </c>
      <c r="B1679" s="221">
        <v>10</v>
      </c>
      <c r="E1679" s="221">
        <v>84.6</v>
      </c>
    </row>
    <row r="1680" spans="1:5">
      <c r="A1680" s="247">
        <v>41657.793067129627</v>
      </c>
      <c r="B1680" s="221">
        <v>9</v>
      </c>
      <c r="E1680" s="221">
        <v>88.2</v>
      </c>
    </row>
    <row r="1681" spans="1:5">
      <c r="A1681" s="247">
        <v>41657.834733796299</v>
      </c>
      <c r="B1681" s="221">
        <v>8.5</v>
      </c>
      <c r="E1681" s="221">
        <v>87.6</v>
      </c>
    </row>
    <row r="1682" spans="1:5">
      <c r="A1682" s="247">
        <v>41657.876400462963</v>
      </c>
      <c r="B1682" s="221">
        <v>8</v>
      </c>
      <c r="E1682" s="221">
        <v>91.2</v>
      </c>
    </row>
    <row r="1683" spans="1:5">
      <c r="A1683" s="247">
        <v>41657.918067129627</v>
      </c>
      <c r="B1683" s="221">
        <v>7.5</v>
      </c>
      <c r="E1683" s="221">
        <v>97.2</v>
      </c>
    </row>
    <row r="1684" spans="1:5">
      <c r="A1684" s="247">
        <v>41657.959733796299</v>
      </c>
      <c r="B1684" s="221">
        <v>7</v>
      </c>
      <c r="E1684" s="221">
        <v>102</v>
      </c>
    </row>
    <row r="1685" spans="1:5">
      <c r="A1685" s="247">
        <v>41658.001400462963</v>
      </c>
      <c r="B1685" s="221">
        <v>7</v>
      </c>
      <c r="E1685" s="221">
        <v>103.2</v>
      </c>
    </row>
    <row r="1686" spans="1:5">
      <c r="A1686" s="247">
        <v>41658.043067129627</v>
      </c>
      <c r="B1686" s="221">
        <v>6.5</v>
      </c>
      <c r="E1686" s="221">
        <v>103.8</v>
      </c>
    </row>
    <row r="1687" spans="1:5">
      <c r="A1687" s="247">
        <v>41658.084733796299</v>
      </c>
      <c r="B1687" s="221">
        <v>6.5</v>
      </c>
      <c r="E1687" s="221">
        <v>104.4</v>
      </c>
    </row>
    <row r="1688" spans="1:5">
      <c r="A1688" s="247">
        <v>41658.126400462963</v>
      </c>
      <c r="B1688" s="221">
        <v>5.5</v>
      </c>
      <c r="E1688" s="221">
        <v>104.4</v>
      </c>
    </row>
    <row r="1689" spans="1:5">
      <c r="A1689" s="247">
        <v>41658.168067129627</v>
      </c>
      <c r="B1689" s="221">
        <v>6</v>
      </c>
      <c r="E1689" s="221">
        <v>104.4</v>
      </c>
    </row>
    <row r="1690" spans="1:5">
      <c r="A1690" s="247">
        <v>41658.209733796299</v>
      </c>
      <c r="B1690" s="221">
        <v>6</v>
      </c>
      <c r="E1690" s="221">
        <v>105</v>
      </c>
    </row>
    <row r="1691" spans="1:5">
      <c r="A1691" s="247">
        <v>41658.251400462963</v>
      </c>
      <c r="B1691" s="221">
        <v>6</v>
      </c>
      <c r="E1691" s="221">
        <v>105</v>
      </c>
    </row>
    <row r="1692" spans="1:5">
      <c r="A1692" s="247">
        <v>41658.293067129627</v>
      </c>
      <c r="B1692" s="221">
        <v>5.5</v>
      </c>
      <c r="E1692" s="221">
        <v>105</v>
      </c>
    </row>
    <row r="1693" spans="1:5">
      <c r="A1693" s="247">
        <v>41658.334733796299</v>
      </c>
      <c r="B1693" s="221">
        <v>5.5</v>
      </c>
      <c r="E1693" s="221">
        <v>105.6</v>
      </c>
    </row>
    <row r="1694" spans="1:5">
      <c r="A1694" s="247">
        <v>41658.376400462963</v>
      </c>
      <c r="B1694" s="221">
        <v>6</v>
      </c>
      <c r="E1694" s="221">
        <v>105.6</v>
      </c>
    </row>
    <row r="1695" spans="1:5">
      <c r="A1695" s="247">
        <v>41658.418067129627</v>
      </c>
      <c r="B1695" s="221">
        <v>6</v>
      </c>
      <c r="E1695" s="221">
        <v>105.6</v>
      </c>
    </row>
    <row r="1696" spans="1:5">
      <c r="A1696" s="247">
        <v>41658.459733796299</v>
      </c>
      <c r="B1696" s="221">
        <v>6.5</v>
      </c>
      <c r="E1696" s="221">
        <v>104.4</v>
      </c>
    </row>
    <row r="1697" spans="1:5">
      <c r="A1697" s="247">
        <v>41658.501400462963</v>
      </c>
      <c r="B1697" s="221">
        <v>7</v>
      </c>
      <c r="E1697" s="221">
        <v>105</v>
      </c>
    </row>
    <row r="1698" spans="1:5">
      <c r="A1698" s="247">
        <v>41658.543067129627</v>
      </c>
      <c r="B1698" s="221">
        <v>8.5</v>
      </c>
      <c r="E1698" s="221">
        <v>104.4</v>
      </c>
    </row>
    <row r="1699" spans="1:5">
      <c r="A1699" s="247">
        <v>41658.584733796299</v>
      </c>
      <c r="B1699" s="221">
        <v>9.5</v>
      </c>
      <c r="E1699" s="221">
        <v>98.4</v>
      </c>
    </row>
    <row r="1700" spans="1:5">
      <c r="A1700" s="247">
        <v>41658.626400462963</v>
      </c>
      <c r="B1700" s="221">
        <v>9</v>
      </c>
      <c r="E1700" s="221">
        <v>92.4</v>
      </c>
    </row>
    <row r="1701" spans="1:5">
      <c r="A1701" s="247">
        <v>41658.668067129627</v>
      </c>
      <c r="B1701" s="221">
        <v>8.5</v>
      </c>
      <c r="E1701" s="221">
        <v>96.6</v>
      </c>
    </row>
    <row r="1702" spans="1:5">
      <c r="A1702" s="247">
        <v>41658.709733796299</v>
      </c>
      <c r="B1702" s="221">
        <v>8</v>
      </c>
      <c r="E1702" s="221">
        <v>96</v>
      </c>
    </row>
    <row r="1703" spans="1:5">
      <c r="A1703" s="247">
        <v>41658.751400462963</v>
      </c>
      <c r="B1703" s="221">
        <v>8</v>
      </c>
      <c r="E1703" s="221">
        <v>95.4</v>
      </c>
    </row>
    <row r="1704" spans="1:5">
      <c r="A1704" s="247">
        <v>41658.793067129627</v>
      </c>
      <c r="B1704" s="221">
        <v>6.5</v>
      </c>
      <c r="E1704" s="221">
        <v>99.6</v>
      </c>
    </row>
    <row r="1705" spans="1:5">
      <c r="A1705" s="247">
        <v>41658.834733796299</v>
      </c>
      <c r="B1705" s="221">
        <v>6</v>
      </c>
      <c r="E1705" s="221">
        <v>100.8</v>
      </c>
    </row>
    <row r="1706" spans="1:5">
      <c r="A1706" s="247">
        <v>41658.876400462963</v>
      </c>
      <c r="B1706" s="221">
        <v>5.5</v>
      </c>
      <c r="E1706" s="221">
        <v>102.6</v>
      </c>
    </row>
    <row r="1707" spans="1:5">
      <c r="A1707" s="247">
        <v>41658.918067129627</v>
      </c>
      <c r="B1707" s="221">
        <v>6</v>
      </c>
      <c r="E1707" s="221">
        <v>103.2</v>
      </c>
    </row>
    <row r="1708" spans="1:5">
      <c r="A1708" s="247">
        <v>41658.959733796299</v>
      </c>
      <c r="B1708" s="221">
        <v>5.5</v>
      </c>
      <c r="E1708" s="221">
        <v>103.8</v>
      </c>
    </row>
    <row r="1709" spans="1:5">
      <c r="A1709" s="247">
        <v>41659.001400462963</v>
      </c>
      <c r="B1709" s="221">
        <v>5</v>
      </c>
      <c r="E1709" s="221">
        <v>104.4</v>
      </c>
    </row>
    <row r="1710" spans="1:5">
      <c r="A1710" s="247">
        <v>41659.043067129627</v>
      </c>
      <c r="B1710" s="221">
        <v>4.5</v>
      </c>
      <c r="E1710" s="221">
        <v>104.4</v>
      </c>
    </row>
    <row r="1711" spans="1:5">
      <c r="A1711" s="247">
        <v>41659.084733796299</v>
      </c>
      <c r="B1711" s="221">
        <v>4.5</v>
      </c>
      <c r="E1711" s="221">
        <v>104.4</v>
      </c>
    </row>
    <row r="1712" spans="1:5">
      <c r="A1712" s="247">
        <v>41659.126400462963</v>
      </c>
      <c r="B1712" s="221">
        <v>4.5</v>
      </c>
      <c r="E1712" s="221">
        <v>104.4</v>
      </c>
    </row>
    <row r="1713" spans="1:5">
      <c r="A1713" s="247">
        <v>41659.168067129627</v>
      </c>
      <c r="B1713" s="221">
        <v>4</v>
      </c>
      <c r="E1713" s="221">
        <v>105</v>
      </c>
    </row>
    <row r="1714" spans="1:5">
      <c r="A1714" s="247">
        <v>41659.209733796299</v>
      </c>
      <c r="B1714" s="221">
        <v>4</v>
      </c>
      <c r="E1714" s="221">
        <v>105.6</v>
      </c>
    </row>
    <row r="1715" spans="1:5">
      <c r="A1715" s="247">
        <v>41659.251400462963</v>
      </c>
      <c r="B1715" s="221">
        <v>4</v>
      </c>
      <c r="E1715" s="221">
        <v>105.6</v>
      </c>
    </row>
    <row r="1716" spans="1:5">
      <c r="A1716" s="247">
        <v>41659.293067129627</v>
      </c>
      <c r="B1716" s="221">
        <v>3.5</v>
      </c>
      <c r="E1716" s="221">
        <v>106.2</v>
      </c>
    </row>
    <row r="1717" spans="1:5">
      <c r="A1717" s="247">
        <v>41659.334733796299</v>
      </c>
      <c r="B1717" s="221">
        <v>3.5</v>
      </c>
      <c r="E1717" s="221">
        <v>106.2</v>
      </c>
    </row>
    <row r="1718" spans="1:5">
      <c r="A1718" s="247">
        <v>41659.376400462963</v>
      </c>
      <c r="B1718" s="221">
        <v>3.5</v>
      </c>
      <c r="E1718" s="221">
        <v>106.2</v>
      </c>
    </row>
    <row r="1719" spans="1:5">
      <c r="A1719" s="247">
        <v>41659.418067129627</v>
      </c>
      <c r="B1719" s="221">
        <v>3</v>
      </c>
      <c r="E1719" s="221">
        <v>106.2</v>
      </c>
    </row>
    <row r="1720" spans="1:5">
      <c r="A1720" s="247">
        <v>41659.459733796299</v>
      </c>
      <c r="B1720" s="221">
        <v>3</v>
      </c>
      <c r="E1720" s="221">
        <v>106.2</v>
      </c>
    </row>
    <row r="1721" spans="1:5">
      <c r="A1721" s="247">
        <v>41659.501400462963</v>
      </c>
      <c r="B1721" s="221">
        <v>3.5</v>
      </c>
      <c r="E1721" s="221">
        <v>105.6</v>
      </c>
    </row>
    <row r="1722" spans="1:5">
      <c r="A1722" s="247">
        <v>41659.543067129627</v>
      </c>
      <c r="B1722" s="221">
        <v>3.5</v>
      </c>
      <c r="E1722" s="221">
        <v>105.6</v>
      </c>
    </row>
    <row r="1723" spans="1:5">
      <c r="A1723" s="247">
        <v>41659.584733796299</v>
      </c>
      <c r="B1723" s="221">
        <v>4.5</v>
      </c>
      <c r="E1723" s="221">
        <v>104.4</v>
      </c>
    </row>
    <row r="1724" spans="1:5">
      <c r="A1724" s="247">
        <v>41659.626400462963</v>
      </c>
      <c r="B1724" s="221">
        <v>4.5</v>
      </c>
      <c r="E1724" s="221">
        <v>104.4</v>
      </c>
    </row>
    <row r="1725" spans="1:5">
      <c r="A1725" s="247">
        <v>41659.668067129627</v>
      </c>
      <c r="B1725" s="221">
        <v>4</v>
      </c>
      <c r="E1725" s="221">
        <v>105</v>
      </c>
    </row>
    <row r="1726" spans="1:5">
      <c r="A1726" s="247">
        <v>41659.709733796299</v>
      </c>
      <c r="B1726" s="221">
        <v>4</v>
      </c>
      <c r="E1726" s="221">
        <v>104.4</v>
      </c>
    </row>
    <row r="1727" spans="1:5">
      <c r="A1727" s="247">
        <v>41659.751400462963</v>
      </c>
      <c r="B1727" s="221">
        <v>3.5</v>
      </c>
      <c r="E1727" s="221">
        <v>103.8</v>
      </c>
    </row>
    <row r="1728" spans="1:5">
      <c r="A1728" s="247">
        <v>41659.793067129627</v>
      </c>
      <c r="B1728" s="221">
        <v>3.5</v>
      </c>
      <c r="E1728" s="221">
        <v>105.6</v>
      </c>
    </row>
    <row r="1729" spans="1:5">
      <c r="A1729" s="247">
        <v>41659.834733796299</v>
      </c>
      <c r="B1729" s="221">
        <v>3.5</v>
      </c>
      <c r="E1729" s="221">
        <v>106.2</v>
      </c>
    </row>
    <row r="1730" spans="1:5">
      <c r="A1730" s="247">
        <v>41659.876400462963</v>
      </c>
      <c r="B1730" s="221">
        <v>3.5</v>
      </c>
      <c r="E1730" s="221">
        <v>105.6</v>
      </c>
    </row>
    <row r="1731" spans="1:5">
      <c r="A1731" s="247">
        <v>41659.918067129627</v>
      </c>
      <c r="B1731" s="221">
        <v>3.5</v>
      </c>
      <c r="E1731" s="221">
        <v>104.4</v>
      </c>
    </row>
    <row r="1732" spans="1:5">
      <c r="A1732" s="247">
        <v>41659.959733796299</v>
      </c>
      <c r="B1732" s="221">
        <v>3.5</v>
      </c>
      <c r="E1732" s="221">
        <v>104.4</v>
      </c>
    </row>
    <row r="1733" spans="1:5">
      <c r="A1733" s="247">
        <v>41660.001400462963</v>
      </c>
      <c r="B1733" s="221">
        <v>3.5</v>
      </c>
      <c r="E1733" s="221">
        <v>103.8</v>
      </c>
    </row>
    <row r="1734" spans="1:5">
      <c r="A1734" s="247">
        <v>41660.043067129627</v>
      </c>
      <c r="B1734" s="221">
        <v>3</v>
      </c>
      <c r="E1734" s="221">
        <v>103.8</v>
      </c>
    </row>
    <row r="1735" spans="1:5">
      <c r="A1735" s="247">
        <v>41660.084733796299</v>
      </c>
      <c r="B1735" s="221">
        <v>3</v>
      </c>
      <c r="E1735" s="221">
        <v>103.2</v>
      </c>
    </row>
    <row r="1736" spans="1:5">
      <c r="A1736" s="247">
        <v>41660.126400462963</v>
      </c>
      <c r="B1736" s="221">
        <v>3</v>
      </c>
      <c r="E1736" s="221">
        <v>103.8</v>
      </c>
    </row>
    <row r="1737" spans="1:5">
      <c r="A1737" s="247">
        <v>41660.168067129627</v>
      </c>
      <c r="B1737" s="221">
        <v>2.5</v>
      </c>
      <c r="E1737" s="221">
        <v>105</v>
      </c>
    </row>
    <row r="1738" spans="1:5">
      <c r="A1738" s="247">
        <v>41660.209733796299</v>
      </c>
      <c r="B1738" s="221">
        <v>2.5</v>
      </c>
      <c r="E1738" s="221">
        <v>103.8</v>
      </c>
    </row>
    <row r="1739" spans="1:5">
      <c r="A1739" s="247">
        <v>41660.251400462963</v>
      </c>
      <c r="B1739" s="221">
        <v>2.5</v>
      </c>
      <c r="E1739" s="221">
        <v>103.8</v>
      </c>
    </row>
    <row r="1740" spans="1:5">
      <c r="A1740" s="247">
        <v>41660.293067129627</v>
      </c>
      <c r="B1740" s="221">
        <v>2.5</v>
      </c>
      <c r="E1740" s="221">
        <v>104.4</v>
      </c>
    </row>
    <row r="1741" spans="1:5">
      <c r="A1741" s="247">
        <v>41660.334733796299</v>
      </c>
      <c r="B1741" s="221">
        <v>2.5</v>
      </c>
      <c r="E1741" s="221">
        <v>103.8</v>
      </c>
    </row>
    <row r="1742" spans="1:5">
      <c r="A1742" s="247">
        <v>41660.376400462963</v>
      </c>
      <c r="B1742" s="221">
        <v>2.5</v>
      </c>
      <c r="E1742" s="221">
        <v>103.8</v>
      </c>
    </row>
    <row r="1743" spans="1:5">
      <c r="A1743" s="247">
        <v>41660.418067129627</v>
      </c>
      <c r="B1743" s="221">
        <v>3</v>
      </c>
      <c r="E1743" s="221">
        <v>102.6</v>
      </c>
    </row>
    <row r="1744" spans="1:5">
      <c r="A1744" s="247">
        <v>41660.459733796299</v>
      </c>
      <c r="B1744" s="221">
        <v>3.5</v>
      </c>
      <c r="E1744" s="221">
        <v>100.8</v>
      </c>
    </row>
    <row r="1745" spans="1:5">
      <c r="A1745" s="247">
        <v>41660.501400462963</v>
      </c>
      <c r="B1745" s="221">
        <v>4.5</v>
      </c>
      <c r="E1745" s="221">
        <v>98.4</v>
      </c>
    </row>
    <row r="1746" spans="1:5">
      <c r="A1746" s="247">
        <v>41660.543067129627</v>
      </c>
      <c r="B1746" s="221">
        <v>5</v>
      </c>
      <c r="E1746" s="221">
        <v>96</v>
      </c>
    </row>
    <row r="1747" spans="1:5">
      <c r="A1747" s="247">
        <v>41660.584733796299</v>
      </c>
      <c r="B1747" s="221">
        <v>6</v>
      </c>
      <c r="E1747" s="221">
        <v>93</v>
      </c>
    </row>
    <row r="1748" spans="1:5">
      <c r="A1748" s="247">
        <v>41660.626400462963</v>
      </c>
      <c r="B1748" s="221">
        <v>7</v>
      </c>
      <c r="E1748" s="221">
        <v>89.4</v>
      </c>
    </row>
    <row r="1749" spans="1:5">
      <c r="A1749" s="247">
        <v>41660.668067129627</v>
      </c>
      <c r="B1749" s="221">
        <v>11.5</v>
      </c>
      <c r="E1749" s="221">
        <v>69</v>
      </c>
    </row>
    <row r="1750" spans="1:5">
      <c r="A1750" s="247">
        <v>41660.709733796299</v>
      </c>
      <c r="B1750" s="221">
        <v>7.5</v>
      </c>
      <c r="E1750" s="221">
        <v>82.8</v>
      </c>
    </row>
    <row r="1751" spans="1:5">
      <c r="A1751" s="247">
        <v>41660.751400462963</v>
      </c>
      <c r="B1751" s="221">
        <v>5.5</v>
      </c>
      <c r="E1751" s="221">
        <v>94.2</v>
      </c>
    </row>
    <row r="1752" spans="1:5">
      <c r="A1752" s="247">
        <v>41660.793067129627</v>
      </c>
      <c r="B1752" s="221">
        <v>3.5</v>
      </c>
      <c r="E1752" s="221">
        <v>100.8</v>
      </c>
    </row>
    <row r="1753" spans="1:5">
      <c r="A1753" s="247">
        <v>41660.834733796299</v>
      </c>
      <c r="B1753" s="221">
        <v>2.5</v>
      </c>
      <c r="E1753" s="221">
        <v>103.8</v>
      </c>
    </row>
    <row r="1754" spans="1:5">
      <c r="A1754" s="247">
        <v>41660.876400462963</v>
      </c>
      <c r="B1754" s="221">
        <v>2</v>
      </c>
      <c r="E1754" s="221">
        <v>103.2</v>
      </c>
    </row>
    <row r="1755" spans="1:5">
      <c r="A1755" s="247">
        <v>41660.918067129627</v>
      </c>
      <c r="B1755" s="221">
        <v>1.5</v>
      </c>
      <c r="E1755" s="221">
        <v>104.4</v>
      </c>
    </row>
    <row r="1756" spans="1:5">
      <c r="A1756" s="247">
        <v>41660.959733796299</v>
      </c>
      <c r="B1756" s="221">
        <v>0.5</v>
      </c>
      <c r="E1756" s="221">
        <v>105</v>
      </c>
    </row>
    <row r="1757" spans="1:5">
      <c r="A1757" s="247">
        <v>41661.001400462963</v>
      </c>
      <c r="B1757" s="221">
        <v>0</v>
      </c>
      <c r="E1757" s="221">
        <v>106.8</v>
      </c>
    </row>
    <row r="1758" spans="1:5">
      <c r="A1758" s="247">
        <v>41661.043067129627</v>
      </c>
      <c r="B1758" s="221">
        <v>-0.5</v>
      </c>
      <c r="E1758" s="221">
        <v>106.8</v>
      </c>
    </row>
    <row r="1759" spans="1:5">
      <c r="A1759" s="247">
        <v>41661.084733796299</v>
      </c>
      <c r="B1759" s="221">
        <v>0</v>
      </c>
      <c r="E1759" s="221">
        <v>106.8</v>
      </c>
    </row>
    <row r="1760" spans="1:5">
      <c r="A1760" s="247">
        <v>41661.126400462963</v>
      </c>
      <c r="B1760" s="221">
        <v>-0.5</v>
      </c>
      <c r="E1760" s="221">
        <v>106.8</v>
      </c>
    </row>
    <row r="1761" spans="1:5">
      <c r="A1761" s="247">
        <v>41661.168067129627</v>
      </c>
      <c r="B1761" s="221">
        <v>-1</v>
      </c>
      <c r="E1761" s="221">
        <v>106.8</v>
      </c>
    </row>
    <row r="1762" spans="1:5">
      <c r="A1762" s="247">
        <v>41661.209733796299</v>
      </c>
      <c r="B1762" s="221">
        <v>-1</v>
      </c>
      <c r="E1762" s="221">
        <v>106.2</v>
      </c>
    </row>
    <row r="1763" spans="1:5">
      <c r="A1763" s="247">
        <v>41661.251400462963</v>
      </c>
      <c r="B1763" s="221">
        <v>-0.5</v>
      </c>
      <c r="E1763" s="221">
        <v>106.8</v>
      </c>
    </row>
    <row r="1764" spans="1:5">
      <c r="A1764" s="247">
        <v>41661.293067129627</v>
      </c>
      <c r="B1764" s="221">
        <v>-0.5</v>
      </c>
      <c r="E1764" s="221">
        <v>106.8</v>
      </c>
    </row>
    <row r="1765" spans="1:5">
      <c r="A1765" s="247">
        <v>41661.334733796299</v>
      </c>
      <c r="B1765" s="221">
        <v>0</v>
      </c>
      <c r="E1765" s="221">
        <v>104.4</v>
      </c>
    </row>
    <row r="1766" spans="1:5">
      <c r="A1766" s="247">
        <v>41661.376400462963</v>
      </c>
      <c r="B1766" s="221">
        <v>0</v>
      </c>
      <c r="E1766" s="221">
        <v>103.8</v>
      </c>
    </row>
    <row r="1767" spans="1:5">
      <c r="A1767" s="247">
        <v>41661.418067129627</v>
      </c>
      <c r="B1767" s="221">
        <v>0.5</v>
      </c>
      <c r="E1767" s="221">
        <v>103.2</v>
      </c>
    </row>
    <row r="1768" spans="1:5">
      <c r="A1768" s="247">
        <v>41661.459733796299</v>
      </c>
      <c r="B1768" s="221">
        <v>0.5</v>
      </c>
      <c r="E1768" s="221">
        <v>102</v>
      </c>
    </row>
    <row r="1769" spans="1:5">
      <c r="A1769" s="247">
        <v>41661.501400462963</v>
      </c>
      <c r="B1769" s="221">
        <v>2</v>
      </c>
      <c r="E1769" s="221">
        <v>97.8</v>
      </c>
    </row>
    <row r="1770" spans="1:5">
      <c r="A1770" s="247">
        <v>41661.543067129627</v>
      </c>
      <c r="B1770" s="221">
        <v>3.5</v>
      </c>
      <c r="E1770" s="221">
        <v>93.6</v>
      </c>
    </row>
    <row r="1771" spans="1:5">
      <c r="A1771" s="247">
        <v>41661.584733796299</v>
      </c>
      <c r="B1771" s="221">
        <v>4</v>
      </c>
      <c r="E1771" s="221">
        <v>94.2</v>
      </c>
    </row>
    <row r="1772" spans="1:5">
      <c r="A1772" s="247">
        <v>41661.626400462963</v>
      </c>
      <c r="B1772" s="221">
        <v>4</v>
      </c>
      <c r="E1772" s="221">
        <v>97.2</v>
      </c>
    </row>
    <row r="1773" spans="1:5">
      <c r="A1773" s="247">
        <v>41661.668067129627</v>
      </c>
      <c r="B1773" s="221">
        <v>4</v>
      </c>
      <c r="E1773" s="221">
        <v>102</v>
      </c>
    </row>
    <row r="1774" spans="1:5">
      <c r="A1774" s="247">
        <v>41661.709733796299</v>
      </c>
      <c r="B1774" s="221">
        <v>4</v>
      </c>
      <c r="E1774" s="221">
        <v>102</v>
      </c>
    </row>
    <row r="1775" spans="1:5">
      <c r="A1775" s="247">
        <v>41661.751400462963</v>
      </c>
      <c r="B1775" s="221">
        <v>4</v>
      </c>
      <c r="E1775" s="221">
        <v>104.4</v>
      </c>
    </row>
    <row r="1776" spans="1:5">
      <c r="A1776" s="247">
        <v>41661.793067129627</v>
      </c>
      <c r="B1776" s="221">
        <v>3.5</v>
      </c>
      <c r="E1776" s="221">
        <v>105</v>
      </c>
    </row>
    <row r="1777" spans="1:5">
      <c r="A1777" s="247">
        <v>41661.834733796299</v>
      </c>
      <c r="B1777" s="221">
        <v>3.5</v>
      </c>
      <c r="E1777" s="221">
        <v>105</v>
      </c>
    </row>
    <row r="1778" spans="1:5">
      <c r="A1778" s="247">
        <v>41661.876400462963</v>
      </c>
      <c r="B1778" s="221">
        <v>3.5</v>
      </c>
      <c r="E1778" s="221">
        <v>105.6</v>
      </c>
    </row>
    <row r="1779" spans="1:5">
      <c r="A1779" s="247">
        <v>41661.918067129627</v>
      </c>
      <c r="B1779" s="221">
        <v>4</v>
      </c>
      <c r="E1779" s="221">
        <v>105.6</v>
      </c>
    </row>
    <row r="1780" spans="1:5">
      <c r="A1780" s="247">
        <v>41661.959733796299</v>
      </c>
      <c r="B1780" s="221">
        <v>4.5</v>
      </c>
      <c r="E1780" s="221">
        <v>105.6</v>
      </c>
    </row>
    <row r="1781" spans="1:5">
      <c r="A1781" s="247">
        <v>41662.001400462963</v>
      </c>
      <c r="B1781" s="221">
        <v>5</v>
      </c>
      <c r="E1781" s="221">
        <v>105</v>
      </c>
    </row>
    <row r="1782" spans="1:5">
      <c r="A1782" s="247">
        <v>41662.043067129627</v>
      </c>
      <c r="B1782" s="221">
        <v>5</v>
      </c>
      <c r="E1782" s="221">
        <v>105.6</v>
      </c>
    </row>
    <row r="1783" spans="1:5">
      <c r="A1783" s="247">
        <v>41662.084733796299</v>
      </c>
      <c r="B1783" s="221">
        <v>5</v>
      </c>
      <c r="E1783" s="221">
        <v>105.6</v>
      </c>
    </row>
    <row r="1784" spans="1:5">
      <c r="A1784" s="247">
        <v>41662.126400462963</v>
      </c>
      <c r="B1784" s="221">
        <v>5</v>
      </c>
      <c r="E1784" s="221">
        <v>105.6</v>
      </c>
    </row>
    <row r="1785" spans="1:5">
      <c r="A1785" s="247">
        <v>41662.168067129627</v>
      </c>
      <c r="B1785" s="221">
        <v>5.5</v>
      </c>
      <c r="E1785" s="221">
        <v>105.6</v>
      </c>
    </row>
    <row r="1786" spans="1:5">
      <c r="A1786" s="247">
        <v>41662.209733796299</v>
      </c>
      <c r="B1786" s="221">
        <v>5.5</v>
      </c>
      <c r="E1786" s="221">
        <v>105.6</v>
      </c>
    </row>
    <row r="1787" spans="1:5">
      <c r="A1787" s="247">
        <v>41662.251400462963</v>
      </c>
      <c r="B1787" s="221">
        <v>5.5</v>
      </c>
      <c r="E1787" s="221">
        <v>105.6</v>
      </c>
    </row>
    <row r="1788" spans="1:5">
      <c r="A1788" s="247">
        <v>41662.293067129627</v>
      </c>
      <c r="B1788" s="221">
        <v>5.5</v>
      </c>
      <c r="E1788" s="221">
        <v>105.6</v>
      </c>
    </row>
    <row r="1789" spans="1:5">
      <c r="A1789" s="247">
        <v>41662.334733796299</v>
      </c>
      <c r="B1789" s="221">
        <v>5</v>
      </c>
      <c r="E1789" s="221">
        <v>105.6</v>
      </c>
    </row>
    <row r="1790" spans="1:5">
      <c r="A1790" s="247">
        <v>41662.376400462963</v>
      </c>
      <c r="B1790" s="221">
        <v>5</v>
      </c>
      <c r="E1790" s="221">
        <v>106.2</v>
      </c>
    </row>
    <row r="1791" spans="1:5">
      <c r="A1791" s="247">
        <v>41662.418067129627</v>
      </c>
      <c r="B1791" s="221">
        <v>5</v>
      </c>
      <c r="E1791" s="221">
        <v>105.6</v>
      </c>
    </row>
    <row r="1792" spans="1:5">
      <c r="A1792" s="247">
        <v>41662.459733796299</v>
      </c>
      <c r="B1792" s="221">
        <v>4.5</v>
      </c>
      <c r="E1792" s="221">
        <v>105.6</v>
      </c>
    </row>
    <row r="1793" spans="1:5">
      <c r="A1793" s="247">
        <v>41662.501400462963</v>
      </c>
      <c r="B1793" s="221">
        <v>5</v>
      </c>
      <c r="E1793" s="221">
        <v>104.4</v>
      </c>
    </row>
    <row r="1794" spans="1:5">
      <c r="A1794" s="247">
        <v>41662.543067129627</v>
      </c>
      <c r="B1794" s="221">
        <v>5</v>
      </c>
      <c r="E1794" s="221">
        <v>104.4</v>
      </c>
    </row>
    <row r="1795" spans="1:5">
      <c r="A1795" s="247">
        <v>41662.584733796299</v>
      </c>
      <c r="B1795" s="221">
        <v>5.5</v>
      </c>
      <c r="E1795" s="221">
        <v>103.2</v>
      </c>
    </row>
    <row r="1796" spans="1:5">
      <c r="A1796" s="247">
        <v>41662.626400462963</v>
      </c>
      <c r="B1796" s="221">
        <v>6</v>
      </c>
      <c r="E1796" s="221">
        <v>102.6</v>
      </c>
    </row>
    <row r="1797" spans="1:5">
      <c r="A1797" s="247">
        <v>41662.668067129627</v>
      </c>
      <c r="B1797" s="221">
        <v>6.5</v>
      </c>
      <c r="E1797" s="221">
        <v>100.2</v>
      </c>
    </row>
    <row r="1798" spans="1:5">
      <c r="A1798" s="247">
        <v>41662.709733796299</v>
      </c>
      <c r="B1798" s="221">
        <v>7</v>
      </c>
      <c r="E1798" s="221">
        <v>99.6</v>
      </c>
    </row>
    <row r="1799" spans="1:5">
      <c r="A1799" s="247">
        <v>41662.751400462963</v>
      </c>
      <c r="B1799" s="221">
        <v>6.5</v>
      </c>
      <c r="E1799" s="221">
        <v>101.4</v>
      </c>
    </row>
    <row r="1800" spans="1:5">
      <c r="A1800" s="247">
        <v>41662.793067129627</v>
      </c>
      <c r="B1800" s="221">
        <v>6.5</v>
      </c>
      <c r="E1800" s="221">
        <v>103.8</v>
      </c>
    </row>
    <row r="1801" spans="1:5">
      <c r="A1801" s="247">
        <v>41662.834733796299</v>
      </c>
      <c r="B1801" s="221">
        <v>6.5</v>
      </c>
      <c r="E1801" s="221">
        <v>103.8</v>
      </c>
    </row>
    <row r="1802" spans="1:5">
      <c r="A1802" s="247">
        <v>41662.876400462963</v>
      </c>
      <c r="B1802" s="221">
        <v>6.5</v>
      </c>
      <c r="E1802" s="221">
        <v>103.8</v>
      </c>
    </row>
    <row r="1803" spans="1:5">
      <c r="A1803" s="247">
        <v>41662.918067129627</v>
      </c>
      <c r="B1803" s="221">
        <v>7</v>
      </c>
      <c r="E1803" s="221">
        <v>102.6</v>
      </c>
    </row>
    <row r="1804" spans="1:5">
      <c r="A1804" s="247">
        <v>41662.959733796299</v>
      </c>
      <c r="B1804" s="221">
        <v>7</v>
      </c>
      <c r="E1804" s="221">
        <v>100.2</v>
      </c>
    </row>
    <row r="1805" spans="1:5">
      <c r="A1805" s="247">
        <v>41663.001400462963</v>
      </c>
      <c r="B1805" s="221">
        <v>6.5</v>
      </c>
      <c r="E1805" s="221">
        <v>100.8</v>
      </c>
    </row>
    <row r="1806" spans="1:5">
      <c r="A1806" s="247">
        <v>41663.043067129627</v>
      </c>
      <c r="B1806" s="221">
        <v>6.5</v>
      </c>
      <c r="E1806" s="221">
        <v>101.4</v>
      </c>
    </row>
    <row r="1807" spans="1:5">
      <c r="A1807" s="247">
        <v>41663.084733796299</v>
      </c>
      <c r="B1807" s="221">
        <v>6.5</v>
      </c>
      <c r="E1807" s="221">
        <v>101.4</v>
      </c>
    </row>
    <row r="1808" spans="1:5">
      <c r="A1808" s="247">
        <v>41663.126400462963</v>
      </c>
      <c r="B1808" s="221">
        <v>6.5</v>
      </c>
      <c r="E1808" s="221">
        <v>100.8</v>
      </c>
    </row>
    <row r="1809" spans="1:5">
      <c r="A1809" s="247">
        <v>41663.168067129627</v>
      </c>
      <c r="B1809" s="221">
        <v>6</v>
      </c>
      <c r="E1809" s="221">
        <v>102</v>
      </c>
    </row>
    <row r="1810" spans="1:5">
      <c r="A1810" s="247">
        <v>41663.209733796299</v>
      </c>
      <c r="B1810" s="221">
        <v>6</v>
      </c>
      <c r="E1810" s="221">
        <v>102</v>
      </c>
    </row>
    <row r="1811" spans="1:5">
      <c r="A1811" s="247">
        <v>41663.251400462963</v>
      </c>
      <c r="B1811" s="221">
        <v>5.5</v>
      </c>
      <c r="E1811" s="221">
        <v>103.8</v>
      </c>
    </row>
    <row r="1812" spans="1:5">
      <c r="A1812" s="247">
        <v>41663.293067129627</v>
      </c>
      <c r="B1812" s="221">
        <v>5.5</v>
      </c>
      <c r="E1812" s="221">
        <v>103.8</v>
      </c>
    </row>
    <row r="1813" spans="1:5">
      <c r="A1813" s="247">
        <v>41663.334733796299</v>
      </c>
      <c r="B1813" s="221">
        <v>5</v>
      </c>
      <c r="E1813" s="221">
        <v>105</v>
      </c>
    </row>
    <row r="1814" spans="1:5">
      <c r="A1814" s="247">
        <v>41663.376400462963</v>
      </c>
      <c r="B1814" s="221">
        <v>5.5</v>
      </c>
      <c r="E1814" s="221">
        <v>105</v>
      </c>
    </row>
    <row r="1815" spans="1:5">
      <c r="A1815" s="247">
        <v>41663.418067129627</v>
      </c>
      <c r="B1815" s="221">
        <v>5</v>
      </c>
      <c r="E1815" s="221">
        <v>105.6</v>
      </c>
    </row>
    <row r="1816" spans="1:5">
      <c r="A1816" s="247">
        <v>41663.459733796299</v>
      </c>
      <c r="B1816" s="221">
        <v>5</v>
      </c>
      <c r="E1816" s="221">
        <v>105.6</v>
      </c>
    </row>
    <row r="1817" spans="1:5">
      <c r="A1817" s="247">
        <v>41663.501400462963</v>
      </c>
      <c r="B1817" s="221">
        <v>5.5</v>
      </c>
      <c r="E1817" s="221">
        <v>105.6</v>
      </c>
    </row>
    <row r="1818" spans="1:5">
      <c r="A1818" s="247">
        <v>41663.543067129627</v>
      </c>
      <c r="B1818" s="221">
        <v>5.5</v>
      </c>
      <c r="E1818" s="221">
        <v>104.4</v>
      </c>
    </row>
    <row r="1819" spans="1:5">
      <c r="A1819" s="247">
        <v>41663.584733796299</v>
      </c>
      <c r="B1819" s="221">
        <v>6</v>
      </c>
      <c r="E1819" s="221">
        <v>103.8</v>
      </c>
    </row>
    <row r="1820" spans="1:5">
      <c r="A1820" s="247">
        <v>41663.626400462963</v>
      </c>
      <c r="B1820" s="221">
        <v>6</v>
      </c>
      <c r="E1820" s="221">
        <v>103.8</v>
      </c>
    </row>
    <row r="1821" spans="1:5">
      <c r="A1821" s="247">
        <v>41663.668067129627</v>
      </c>
      <c r="B1821" s="221">
        <v>7</v>
      </c>
      <c r="E1821" s="221">
        <v>102.6</v>
      </c>
    </row>
    <row r="1822" spans="1:5">
      <c r="A1822" s="247">
        <v>41663.709733796299</v>
      </c>
      <c r="B1822" s="221">
        <v>5.5</v>
      </c>
      <c r="E1822" s="221">
        <v>103.8</v>
      </c>
    </row>
    <row r="1823" spans="1:5">
      <c r="A1823" s="247">
        <v>41663.751400462963</v>
      </c>
      <c r="B1823" s="221">
        <v>5</v>
      </c>
      <c r="E1823" s="221">
        <v>103.8</v>
      </c>
    </row>
    <row r="1824" spans="1:5">
      <c r="A1824" s="247">
        <v>41663.793067129627</v>
      </c>
      <c r="B1824" s="221">
        <v>4.5</v>
      </c>
      <c r="E1824" s="221">
        <v>103.8</v>
      </c>
    </row>
    <row r="1825" spans="1:5">
      <c r="A1825" s="247">
        <v>41663.834733796299</v>
      </c>
      <c r="B1825" s="221">
        <v>4</v>
      </c>
      <c r="E1825" s="221">
        <v>103.8</v>
      </c>
    </row>
    <row r="1826" spans="1:5">
      <c r="A1826" s="247">
        <v>41663.876400462963</v>
      </c>
      <c r="B1826" s="221">
        <v>3.5</v>
      </c>
      <c r="E1826" s="221">
        <v>105</v>
      </c>
    </row>
    <row r="1827" spans="1:5">
      <c r="A1827" s="247">
        <v>41663.918067129627</v>
      </c>
      <c r="B1827" s="221">
        <v>3</v>
      </c>
      <c r="E1827" s="221">
        <v>105.6</v>
      </c>
    </row>
    <row r="1828" spans="1:5">
      <c r="A1828" s="247">
        <v>41663.959733796299</v>
      </c>
      <c r="B1828" s="221">
        <v>3</v>
      </c>
      <c r="E1828" s="221">
        <v>105</v>
      </c>
    </row>
    <row r="1829" spans="1:5">
      <c r="A1829" s="247">
        <v>41664.001400462963</v>
      </c>
      <c r="B1829" s="221">
        <v>3</v>
      </c>
      <c r="E1829" s="221">
        <v>105.6</v>
      </c>
    </row>
    <row r="1830" spans="1:5">
      <c r="A1830" s="247">
        <v>41664.043067129627</v>
      </c>
      <c r="B1830" s="221">
        <v>3.5</v>
      </c>
      <c r="E1830" s="221">
        <v>105</v>
      </c>
    </row>
    <row r="1831" spans="1:5">
      <c r="A1831" s="247">
        <v>41664.084733796299</v>
      </c>
      <c r="B1831" s="221">
        <v>3.5</v>
      </c>
      <c r="E1831" s="221">
        <v>103.8</v>
      </c>
    </row>
    <row r="1832" spans="1:5">
      <c r="A1832" s="247">
        <v>41664.126400462963</v>
      </c>
      <c r="B1832" s="221">
        <v>3.5</v>
      </c>
      <c r="E1832" s="221">
        <v>105</v>
      </c>
    </row>
    <row r="1833" spans="1:5">
      <c r="A1833" s="247">
        <v>41664.168067129627</v>
      </c>
      <c r="B1833" s="221">
        <v>3.5</v>
      </c>
      <c r="E1833" s="221">
        <v>105.6</v>
      </c>
    </row>
    <row r="1834" spans="1:5">
      <c r="A1834" s="247">
        <v>41664.209733796299</v>
      </c>
      <c r="B1834" s="221">
        <v>3.5</v>
      </c>
      <c r="E1834" s="221">
        <v>105.6</v>
      </c>
    </row>
    <row r="1835" spans="1:5">
      <c r="A1835" s="247">
        <v>41664.251400462963</v>
      </c>
      <c r="B1835" s="221">
        <v>3.5</v>
      </c>
      <c r="E1835" s="221">
        <v>105.6</v>
      </c>
    </row>
    <row r="1836" spans="1:5">
      <c r="A1836" s="247">
        <v>41664.293067129627</v>
      </c>
      <c r="B1836" s="221">
        <v>3.5</v>
      </c>
      <c r="E1836" s="221">
        <v>105.6</v>
      </c>
    </row>
    <row r="1837" spans="1:5">
      <c r="A1837" s="247">
        <v>41664.334733796299</v>
      </c>
      <c r="B1837" s="221">
        <v>3.5</v>
      </c>
      <c r="E1837" s="221">
        <v>105.6</v>
      </c>
    </row>
    <row r="1838" spans="1:5">
      <c r="A1838" s="247">
        <v>41664.376400462963</v>
      </c>
      <c r="B1838" s="221">
        <v>3.5</v>
      </c>
      <c r="E1838" s="221">
        <v>105.6</v>
      </c>
    </row>
    <row r="1839" spans="1:5">
      <c r="A1839" s="247">
        <v>41664.418067129627</v>
      </c>
      <c r="B1839" s="221">
        <v>3.5</v>
      </c>
      <c r="E1839" s="221">
        <v>106.2</v>
      </c>
    </row>
    <row r="1840" spans="1:5">
      <c r="A1840" s="247">
        <v>41664.459733796299</v>
      </c>
      <c r="B1840" s="221">
        <v>3.5</v>
      </c>
      <c r="E1840" s="221">
        <v>106.2</v>
      </c>
    </row>
    <row r="1841" spans="1:5">
      <c r="A1841" s="247">
        <v>41664.501400462963</v>
      </c>
      <c r="B1841" s="221">
        <v>4</v>
      </c>
      <c r="E1841" s="221">
        <v>106.2</v>
      </c>
    </row>
    <row r="1842" spans="1:5">
      <c r="A1842" s="247">
        <v>41664.543067129627</v>
      </c>
      <c r="B1842" s="221">
        <v>4.5</v>
      </c>
      <c r="E1842" s="221">
        <v>105.6</v>
      </c>
    </row>
    <row r="1843" spans="1:5">
      <c r="A1843" s="247">
        <v>41664.584733796299</v>
      </c>
      <c r="B1843" s="221">
        <v>5.5</v>
      </c>
      <c r="E1843" s="221">
        <v>105</v>
      </c>
    </row>
    <row r="1844" spans="1:5">
      <c r="A1844" s="247">
        <v>41664.626400462963</v>
      </c>
      <c r="B1844" s="221">
        <v>6.5</v>
      </c>
      <c r="E1844" s="221">
        <v>103.8</v>
      </c>
    </row>
    <row r="1845" spans="1:5">
      <c r="A1845" s="247">
        <v>41664.668067129627</v>
      </c>
      <c r="B1845" s="221">
        <v>7</v>
      </c>
      <c r="E1845" s="221">
        <v>104.4</v>
      </c>
    </row>
    <row r="1846" spans="1:5">
      <c r="A1846" s="247">
        <v>41664.709733796299</v>
      </c>
      <c r="B1846" s="221">
        <v>7.5</v>
      </c>
      <c r="E1846" s="221">
        <v>103.8</v>
      </c>
    </row>
    <row r="1847" spans="1:5">
      <c r="A1847" s="247">
        <v>41664.751400462963</v>
      </c>
      <c r="B1847" s="221">
        <v>8</v>
      </c>
      <c r="E1847" s="221">
        <v>104.4</v>
      </c>
    </row>
    <row r="1848" spans="1:5">
      <c r="A1848" s="247">
        <v>41664.793067129627</v>
      </c>
      <c r="B1848" s="221">
        <v>7.5</v>
      </c>
      <c r="E1848" s="221">
        <v>103.8</v>
      </c>
    </row>
    <row r="1849" spans="1:5">
      <c r="A1849" s="247">
        <v>41664.834733796299</v>
      </c>
      <c r="B1849" s="221">
        <v>7.5</v>
      </c>
      <c r="E1849" s="221">
        <v>105</v>
      </c>
    </row>
    <row r="1850" spans="1:5">
      <c r="A1850" s="247">
        <v>41664.876400462963</v>
      </c>
      <c r="B1850" s="221">
        <v>7</v>
      </c>
      <c r="E1850" s="221">
        <v>105.6</v>
      </c>
    </row>
    <row r="1851" spans="1:5">
      <c r="A1851" s="247">
        <v>41664.918067129627</v>
      </c>
      <c r="B1851" s="221">
        <v>7.5</v>
      </c>
      <c r="E1851" s="221">
        <v>105.6</v>
      </c>
    </row>
    <row r="1852" spans="1:5">
      <c r="A1852" s="247">
        <v>41664.959733796299</v>
      </c>
      <c r="B1852" s="221">
        <v>7</v>
      </c>
      <c r="E1852" s="221">
        <v>105.6</v>
      </c>
    </row>
    <row r="1853" spans="1:5">
      <c r="A1853" s="247">
        <v>41665.001400462963</v>
      </c>
      <c r="B1853" s="221">
        <v>7.5</v>
      </c>
      <c r="E1853" s="221">
        <v>105.6</v>
      </c>
    </row>
    <row r="1854" spans="1:5">
      <c r="A1854" s="247">
        <v>41665.043067129627</v>
      </c>
      <c r="B1854" s="221">
        <v>8</v>
      </c>
      <c r="E1854" s="221">
        <v>103.8</v>
      </c>
    </row>
    <row r="1855" spans="1:5">
      <c r="A1855" s="247">
        <v>41665.084733796299</v>
      </c>
      <c r="B1855" s="221">
        <v>7.5</v>
      </c>
      <c r="E1855" s="221">
        <v>104.4</v>
      </c>
    </row>
    <row r="1856" spans="1:5">
      <c r="A1856" s="247">
        <v>41665.126400462963</v>
      </c>
      <c r="B1856" s="221">
        <v>7</v>
      </c>
      <c r="E1856" s="221">
        <v>105</v>
      </c>
    </row>
    <row r="1857" spans="1:5">
      <c r="A1857" s="247">
        <v>41665.168067129627</v>
      </c>
      <c r="B1857" s="221">
        <v>6.5</v>
      </c>
      <c r="E1857" s="221">
        <v>105</v>
      </c>
    </row>
    <row r="1858" spans="1:5">
      <c r="A1858" s="247">
        <v>41665.209733796299</v>
      </c>
      <c r="B1858" s="221">
        <v>7</v>
      </c>
      <c r="E1858" s="221">
        <v>105.6</v>
      </c>
    </row>
    <row r="1859" spans="1:5">
      <c r="A1859" s="247">
        <v>41665.251400462963</v>
      </c>
      <c r="B1859" s="221">
        <v>6</v>
      </c>
      <c r="E1859" s="221">
        <v>105</v>
      </c>
    </row>
    <row r="1860" spans="1:5">
      <c r="A1860" s="247">
        <v>41665.293067129627</v>
      </c>
      <c r="B1860" s="221">
        <v>6</v>
      </c>
      <c r="E1860" s="221">
        <v>105.6</v>
      </c>
    </row>
    <row r="1861" spans="1:5">
      <c r="A1861" s="247">
        <v>41665.334733796299</v>
      </c>
      <c r="B1861" s="221">
        <v>5</v>
      </c>
      <c r="E1861" s="221">
        <v>105.6</v>
      </c>
    </row>
    <row r="1862" spans="1:5">
      <c r="A1862" s="247">
        <v>41665.376400462963</v>
      </c>
      <c r="B1862" s="221">
        <v>5</v>
      </c>
      <c r="E1862" s="221">
        <v>106.8</v>
      </c>
    </row>
    <row r="1863" spans="1:5">
      <c r="A1863" s="247">
        <v>41665.418067129627</v>
      </c>
      <c r="B1863" s="221">
        <v>6</v>
      </c>
      <c r="E1863" s="221">
        <v>106.2</v>
      </c>
    </row>
    <row r="1864" spans="1:5">
      <c r="A1864" s="247">
        <v>41665.459733796299</v>
      </c>
      <c r="B1864" s="221">
        <v>6.5</v>
      </c>
      <c r="E1864" s="221">
        <v>105.6</v>
      </c>
    </row>
    <row r="1865" spans="1:5">
      <c r="A1865" s="247">
        <v>41665.501400462963</v>
      </c>
      <c r="B1865" s="221">
        <v>7.5</v>
      </c>
      <c r="E1865" s="221">
        <v>105.6</v>
      </c>
    </row>
    <row r="1866" spans="1:5">
      <c r="A1866" s="247">
        <v>41665.543067129627</v>
      </c>
      <c r="B1866" s="221">
        <v>8</v>
      </c>
      <c r="E1866" s="221">
        <v>103.8</v>
      </c>
    </row>
    <row r="1867" spans="1:5">
      <c r="A1867" s="247">
        <v>41665.584733796299</v>
      </c>
      <c r="B1867" s="221">
        <v>8.5</v>
      </c>
      <c r="E1867" s="221">
        <v>101.4</v>
      </c>
    </row>
    <row r="1868" spans="1:5">
      <c r="A1868" s="247">
        <v>41665.626400462963</v>
      </c>
      <c r="B1868" s="221">
        <v>9</v>
      </c>
      <c r="E1868" s="221">
        <v>103.8</v>
      </c>
    </row>
    <row r="1869" spans="1:5">
      <c r="A1869" s="247">
        <v>41665.668067129627</v>
      </c>
      <c r="B1869" s="221">
        <v>9</v>
      </c>
      <c r="E1869" s="221">
        <v>103.8</v>
      </c>
    </row>
    <row r="1870" spans="1:5">
      <c r="A1870" s="247">
        <v>41665.709733796299</v>
      </c>
      <c r="B1870" s="221">
        <v>9.5</v>
      </c>
      <c r="E1870" s="221">
        <v>103.8</v>
      </c>
    </row>
    <row r="1871" spans="1:5">
      <c r="A1871" s="247">
        <v>41665.751400462963</v>
      </c>
      <c r="B1871" s="221">
        <v>9.5</v>
      </c>
      <c r="E1871" s="221">
        <v>103.8</v>
      </c>
    </row>
    <row r="1872" spans="1:5">
      <c r="A1872" s="247">
        <v>41665.793067129627</v>
      </c>
      <c r="B1872" s="221">
        <v>9.5</v>
      </c>
      <c r="E1872" s="221">
        <v>103.8</v>
      </c>
    </row>
    <row r="1873" spans="1:5">
      <c r="A1873" s="247">
        <v>41665.834733796299</v>
      </c>
      <c r="B1873" s="221">
        <v>9.5</v>
      </c>
      <c r="E1873" s="221">
        <v>105</v>
      </c>
    </row>
    <row r="1874" spans="1:5">
      <c r="A1874" s="247">
        <v>41665.876400462963</v>
      </c>
      <c r="B1874" s="221">
        <v>10</v>
      </c>
      <c r="E1874" s="221">
        <v>104.4</v>
      </c>
    </row>
    <row r="1875" spans="1:5">
      <c r="A1875" s="247">
        <v>41665.918067129627</v>
      </c>
      <c r="B1875" s="221">
        <v>10</v>
      </c>
      <c r="E1875" s="221">
        <v>105</v>
      </c>
    </row>
    <row r="1876" spans="1:5">
      <c r="A1876" s="247">
        <v>41665.959733796299</v>
      </c>
      <c r="B1876" s="221">
        <v>9</v>
      </c>
      <c r="E1876" s="221">
        <v>103.8</v>
      </c>
    </row>
    <row r="1877" spans="1:5">
      <c r="A1877" s="247">
        <v>41666.001400462963</v>
      </c>
      <c r="B1877" s="221">
        <v>8</v>
      </c>
      <c r="E1877" s="221">
        <v>98.4</v>
      </c>
    </row>
    <row r="1878" spans="1:5">
      <c r="A1878" s="247">
        <v>41666.043067129627</v>
      </c>
      <c r="B1878" s="221">
        <v>6</v>
      </c>
      <c r="E1878" s="221">
        <v>96.6</v>
      </c>
    </row>
    <row r="1879" spans="1:5">
      <c r="A1879" s="247">
        <v>41666.084733796299</v>
      </c>
      <c r="B1879" s="221">
        <v>6</v>
      </c>
      <c r="E1879" s="221">
        <v>100.2</v>
      </c>
    </row>
    <row r="1880" spans="1:5">
      <c r="A1880" s="247">
        <v>41666.126400462963</v>
      </c>
      <c r="B1880" s="221">
        <v>4.5</v>
      </c>
      <c r="E1880" s="221">
        <v>97.8</v>
      </c>
    </row>
    <row r="1881" spans="1:5">
      <c r="A1881" s="247">
        <v>41666.168067129627</v>
      </c>
      <c r="B1881" s="221">
        <v>4.5</v>
      </c>
      <c r="E1881" s="221">
        <v>98.4</v>
      </c>
    </row>
    <row r="1882" spans="1:5">
      <c r="A1882" s="247">
        <v>41666.209733796299</v>
      </c>
      <c r="B1882" s="221">
        <v>4.5</v>
      </c>
      <c r="E1882" s="221">
        <v>98.4</v>
      </c>
    </row>
    <row r="1883" spans="1:5">
      <c r="A1883" s="247">
        <v>41666.251400462963</v>
      </c>
      <c r="B1883" s="221">
        <v>4.5</v>
      </c>
      <c r="E1883" s="221">
        <v>96.6</v>
      </c>
    </row>
    <row r="1884" spans="1:5">
      <c r="A1884" s="247">
        <v>41666.293067129627</v>
      </c>
      <c r="B1884" s="221">
        <v>4</v>
      </c>
      <c r="E1884" s="221">
        <v>99</v>
      </c>
    </row>
    <row r="1885" spans="1:5">
      <c r="A1885" s="247">
        <v>41666.334733796299</v>
      </c>
      <c r="B1885" s="221">
        <v>3.5</v>
      </c>
      <c r="E1885" s="221">
        <v>97.8</v>
      </c>
    </row>
    <row r="1886" spans="1:5">
      <c r="A1886" s="247">
        <v>41666.376400462963</v>
      </c>
      <c r="B1886" s="221">
        <v>3.5</v>
      </c>
      <c r="E1886" s="221">
        <v>97.8</v>
      </c>
    </row>
    <row r="1887" spans="1:5">
      <c r="A1887" s="247">
        <v>41666.418067129627</v>
      </c>
      <c r="B1887" s="221">
        <v>4</v>
      </c>
      <c r="E1887" s="221">
        <v>98.4</v>
      </c>
    </row>
    <row r="1888" spans="1:5">
      <c r="A1888" s="247">
        <v>41666.459733796299</v>
      </c>
      <c r="B1888" s="221">
        <v>4.5</v>
      </c>
      <c r="E1888" s="221">
        <v>95.4</v>
      </c>
    </row>
    <row r="1889" spans="1:5">
      <c r="A1889" s="247">
        <v>41666.501400462963</v>
      </c>
      <c r="B1889" s="221">
        <v>7</v>
      </c>
      <c r="E1889" s="221">
        <v>86.4</v>
      </c>
    </row>
    <row r="1890" spans="1:5">
      <c r="A1890" s="247">
        <v>41666.543067129627</v>
      </c>
      <c r="B1890" s="221">
        <v>9</v>
      </c>
      <c r="E1890" s="221">
        <v>81</v>
      </c>
    </row>
    <row r="1891" spans="1:5">
      <c r="A1891" s="247">
        <v>41666.584733796299</v>
      </c>
      <c r="B1891" s="221">
        <v>10</v>
      </c>
      <c r="E1891" s="221">
        <v>77.400000000000006</v>
      </c>
    </row>
    <row r="1892" spans="1:5">
      <c r="A1892" s="247">
        <v>41666.626400462963</v>
      </c>
      <c r="B1892" s="221">
        <v>10</v>
      </c>
      <c r="E1892" s="221">
        <v>74.400000000000006</v>
      </c>
    </row>
    <row r="1893" spans="1:5">
      <c r="A1893" s="247">
        <v>41666.668067129627</v>
      </c>
      <c r="B1893" s="221">
        <v>9</v>
      </c>
      <c r="E1893" s="221">
        <v>76.8</v>
      </c>
    </row>
    <row r="1894" spans="1:5">
      <c r="A1894" s="247">
        <v>41666.709733796299</v>
      </c>
      <c r="B1894" s="221">
        <v>7.5</v>
      </c>
      <c r="E1894" s="221">
        <v>80.400000000000006</v>
      </c>
    </row>
    <row r="1895" spans="1:5">
      <c r="A1895" s="247">
        <v>41666.751400462963</v>
      </c>
      <c r="B1895" s="221">
        <v>7</v>
      </c>
      <c r="E1895" s="221">
        <v>82.8</v>
      </c>
    </row>
    <row r="1896" spans="1:5">
      <c r="A1896" s="247">
        <v>41666.793067129627</v>
      </c>
      <c r="B1896" s="221">
        <v>5</v>
      </c>
      <c r="E1896" s="221">
        <v>91.8</v>
      </c>
    </row>
    <row r="1897" spans="1:5">
      <c r="A1897" s="247">
        <v>41666.834733796299</v>
      </c>
      <c r="B1897" s="221">
        <v>4</v>
      </c>
      <c r="E1897" s="221">
        <v>97.2</v>
      </c>
    </row>
    <row r="1898" spans="1:5">
      <c r="A1898" s="247">
        <v>41666.876400462963</v>
      </c>
      <c r="B1898" s="221">
        <v>3.5</v>
      </c>
      <c r="E1898" s="221">
        <v>99.6</v>
      </c>
    </row>
    <row r="1899" spans="1:5">
      <c r="A1899" s="247">
        <v>41666.918067129627</v>
      </c>
      <c r="B1899" s="221">
        <v>3.5</v>
      </c>
      <c r="E1899" s="221">
        <v>100.8</v>
      </c>
    </row>
    <row r="1900" spans="1:5">
      <c r="A1900" s="247">
        <v>41666.959733796299</v>
      </c>
      <c r="B1900" s="221">
        <v>2.5</v>
      </c>
      <c r="E1900" s="221">
        <v>103.8</v>
      </c>
    </row>
    <row r="1901" spans="1:5">
      <c r="A1901" s="247">
        <v>41667.001400462963</v>
      </c>
      <c r="B1901" s="221">
        <v>2.5</v>
      </c>
      <c r="E1901" s="221">
        <v>103.8</v>
      </c>
    </row>
    <row r="1902" spans="1:5">
      <c r="A1902" s="247">
        <v>41667.043067129627</v>
      </c>
      <c r="B1902" s="221">
        <v>2.5</v>
      </c>
      <c r="E1902" s="221">
        <v>103.8</v>
      </c>
    </row>
    <row r="1903" spans="1:5">
      <c r="A1903" s="247">
        <v>41667.084733796299</v>
      </c>
      <c r="B1903" s="221">
        <v>2.5</v>
      </c>
      <c r="E1903" s="221">
        <v>103.8</v>
      </c>
    </row>
    <row r="1904" spans="1:5">
      <c r="A1904" s="247">
        <v>41667.126400462963</v>
      </c>
      <c r="B1904" s="221">
        <v>2</v>
      </c>
      <c r="E1904" s="221">
        <v>104.4</v>
      </c>
    </row>
    <row r="1905" spans="1:5">
      <c r="A1905" s="247">
        <v>41667.168067129627</v>
      </c>
      <c r="B1905" s="221">
        <v>2</v>
      </c>
      <c r="E1905" s="221">
        <v>103.8</v>
      </c>
    </row>
    <row r="1906" spans="1:5">
      <c r="A1906" s="247">
        <v>41667.209733796299</v>
      </c>
      <c r="B1906" s="221">
        <v>2</v>
      </c>
      <c r="E1906" s="221">
        <v>103.8</v>
      </c>
    </row>
    <row r="1907" spans="1:5">
      <c r="A1907" s="247">
        <v>41667.251400462963</v>
      </c>
      <c r="B1907" s="221">
        <v>3</v>
      </c>
      <c r="E1907" s="221">
        <v>102</v>
      </c>
    </row>
    <row r="1908" spans="1:5">
      <c r="A1908" s="247">
        <v>41667.293067129627</v>
      </c>
      <c r="B1908" s="221">
        <v>3.5</v>
      </c>
      <c r="E1908" s="221">
        <v>100.8</v>
      </c>
    </row>
    <row r="1909" spans="1:5">
      <c r="A1909" s="247">
        <v>41667.334733796299</v>
      </c>
      <c r="B1909" s="221">
        <v>3.5</v>
      </c>
      <c r="E1909" s="221">
        <v>103.8</v>
      </c>
    </row>
    <row r="1910" spans="1:5">
      <c r="A1910" s="247">
        <v>41667.376400462963</v>
      </c>
      <c r="B1910" s="221">
        <v>3.5</v>
      </c>
      <c r="E1910" s="221">
        <v>102.6</v>
      </c>
    </row>
    <row r="1911" spans="1:5">
      <c r="A1911" s="247">
        <v>41667.418067129627</v>
      </c>
      <c r="B1911" s="221">
        <v>4</v>
      </c>
      <c r="E1911" s="221">
        <v>102.6</v>
      </c>
    </row>
    <row r="1912" spans="1:5">
      <c r="A1912" s="247">
        <v>41667.459733796299</v>
      </c>
      <c r="B1912" s="221">
        <v>4.5</v>
      </c>
      <c r="E1912" s="221">
        <v>102</v>
      </c>
    </row>
    <row r="1913" spans="1:5">
      <c r="A1913" s="247">
        <v>41667.501400462963</v>
      </c>
      <c r="B1913" s="221">
        <v>5</v>
      </c>
      <c r="E1913" s="221">
        <v>98.4</v>
      </c>
    </row>
    <row r="1914" spans="1:5">
      <c r="A1914" s="247">
        <v>41667.543067129627</v>
      </c>
      <c r="B1914" s="221">
        <v>6</v>
      </c>
      <c r="E1914" s="221">
        <v>95.4</v>
      </c>
    </row>
    <row r="1915" spans="1:5">
      <c r="A1915" s="247">
        <v>41667.584733796299</v>
      </c>
      <c r="B1915" s="221">
        <v>6</v>
      </c>
      <c r="E1915" s="221">
        <v>96.6</v>
      </c>
    </row>
    <row r="1916" spans="1:5">
      <c r="A1916" s="247">
        <v>41667.626400462963</v>
      </c>
      <c r="B1916" s="221">
        <v>7</v>
      </c>
      <c r="E1916" s="221">
        <v>93</v>
      </c>
    </row>
    <row r="1917" spans="1:5">
      <c r="A1917" s="247">
        <v>41667.668067129627</v>
      </c>
      <c r="B1917" s="221">
        <v>6.5</v>
      </c>
      <c r="E1917" s="221">
        <v>92.4</v>
      </c>
    </row>
    <row r="1918" spans="1:5">
      <c r="A1918" s="247">
        <v>41667.709733796299</v>
      </c>
      <c r="B1918" s="221">
        <v>6.5</v>
      </c>
      <c r="E1918" s="221">
        <v>91.8</v>
      </c>
    </row>
    <row r="1919" spans="1:5">
      <c r="A1919" s="247">
        <v>41667.751400462963</v>
      </c>
      <c r="B1919" s="221">
        <v>6</v>
      </c>
      <c r="E1919" s="221">
        <v>94.2</v>
      </c>
    </row>
    <row r="1920" spans="1:5">
      <c r="A1920" s="247">
        <v>41667.793067129627</v>
      </c>
      <c r="B1920" s="221">
        <v>5.5</v>
      </c>
      <c r="E1920" s="221">
        <v>95.4</v>
      </c>
    </row>
    <row r="1921" spans="1:5">
      <c r="A1921" s="247">
        <v>41667.834733796299</v>
      </c>
      <c r="B1921" s="221">
        <v>4.5</v>
      </c>
      <c r="E1921" s="221">
        <v>104.4</v>
      </c>
    </row>
    <row r="1922" spans="1:5">
      <c r="A1922" s="247">
        <v>41667.876400462963</v>
      </c>
      <c r="B1922" s="221">
        <v>4.5</v>
      </c>
      <c r="E1922" s="221">
        <v>105.6</v>
      </c>
    </row>
    <row r="1923" spans="1:5">
      <c r="A1923" s="247">
        <v>41667.918067129627</v>
      </c>
      <c r="B1923" s="221">
        <v>4</v>
      </c>
      <c r="E1923" s="221">
        <v>105.6</v>
      </c>
    </row>
    <row r="1924" spans="1:5">
      <c r="A1924" s="247">
        <v>41667.959733796299</v>
      </c>
      <c r="B1924" s="221">
        <v>4</v>
      </c>
      <c r="E1924" s="221">
        <v>105.6</v>
      </c>
    </row>
    <row r="1925" spans="1:5">
      <c r="A1925" s="247">
        <v>41668.001400462963</v>
      </c>
      <c r="B1925" s="221">
        <v>4</v>
      </c>
      <c r="E1925" s="221">
        <v>105.6</v>
      </c>
    </row>
    <row r="1926" spans="1:5">
      <c r="A1926" s="247">
        <v>41668.043067129627</v>
      </c>
      <c r="B1926" s="221">
        <v>4</v>
      </c>
      <c r="E1926" s="221">
        <v>106.2</v>
      </c>
    </row>
    <row r="1927" spans="1:5">
      <c r="A1927" s="247">
        <v>41668.084733796299</v>
      </c>
      <c r="B1927" s="221">
        <v>4</v>
      </c>
      <c r="E1927" s="221">
        <v>106.2</v>
      </c>
    </row>
    <row r="1928" spans="1:5">
      <c r="A1928" s="247">
        <v>41668.126400462963</v>
      </c>
      <c r="B1928" s="221">
        <v>4</v>
      </c>
      <c r="E1928" s="221">
        <v>105</v>
      </c>
    </row>
    <row r="1929" spans="1:5">
      <c r="A1929" s="247">
        <v>41668.168067129627</v>
      </c>
      <c r="B1929" s="221">
        <v>4</v>
      </c>
      <c r="E1929" s="221">
        <v>103.2</v>
      </c>
    </row>
    <row r="1930" spans="1:5">
      <c r="A1930" s="247">
        <v>41668.209733796299</v>
      </c>
      <c r="B1930" s="221">
        <v>4</v>
      </c>
      <c r="E1930" s="221">
        <v>102.6</v>
      </c>
    </row>
    <row r="1931" spans="1:5">
      <c r="A1931" s="247">
        <v>41668.251400462963</v>
      </c>
      <c r="B1931" s="221">
        <v>4</v>
      </c>
      <c r="E1931" s="221">
        <v>105</v>
      </c>
    </row>
    <row r="1932" spans="1:5">
      <c r="A1932" s="247">
        <v>41668.293067129627</v>
      </c>
      <c r="B1932" s="221">
        <v>4</v>
      </c>
      <c r="E1932" s="221">
        <v>105.6</v>
      </c>
    </row>
    <row r="1933" spans="1:5">
      <c r="A1933" s="247">
        <v>41668.334733796299</v>
      </c>
      <c r="B1933" s="221">
        <v>4.5</v>
      </c>
      <c r="E1933" s="221">
        <v>105.6</v>
      </c>
    </row>
    <row r="1934" spans="1:5">
      <c r="A1934" s="247">
        <v>41668.376400462963</v>
      </c>
      <c r="B1934" s="221">
        <v>4</v>
      </c>
      <c r="E1934" s="221">
        <v>105.6</v>
      </c>
    </row>
    <row r="1935" spans="1:5">
      <c r="A1935" s="247">
        <v>41668.418067129627</v>
      </c>
      <c r="B1935" s="221">
        <v>4</v>
      </c>
      <c r="E1935" s="221">
        <v>105</v>
      </c>
    </row>
    <row r="1936" spans="1:5">
      <c r="A1936" s="247">
        <v>41668.459733796299</v>
      </c>
      <c r="B1936" s="221">
        <v>4</v>
      </c>
      <c r="E1936" s="221">
        <v>105</v>
      </c>
    </row>
    <row r="1937" spans="1:5">
      <c r="A1937" s="247">
        <v>41668.501400462963</v>
      </c>
      <c r="B1937" s="221">
        <v>4.5</v>
      </c>
      <c r="E1937" s="221">
        <v>105</v>
      </c>
    </row>
    <row r="1938" spans="1:5">
      <c r="A1938" s="247">
        <v>41668.543067129627</v>
      </c>
      <c r="B1938" s="221">
        <v>5.5</v>
      </c>
      <c r="E1938" s="221">
        <v>100.8</v>
      </c>
    </row>
    <row r="1939" spans="1:5">
      <c r="A1939" s="247">
        <v>41668.584733796299</v>
      </c>
      <c r="B1939" s="221">
        <v>7</v>
      </c>
      <c r="E1939" s="221">
        <v>93</v>
      </c>
    </row>
    <row r="1940" spans="1:5">
      <c r="A1940" s="247">
        <v>41668.626400462963</v>
      </c>
      <c r="B1940" s="221">
        <v>8.5</v>
      </c>
      <c r="E1940" s="221">
        <v>93.6</v>
      </c>
    </row>
    <row r="1941" spans="1:5">
      <c r="A1941" s="247">
        <v>41668.668067129627</v>
      </c>
      <c r="B1941" s="221">
        <v>7.5</v>
      </c>
      <c r="E1941" s="221">
        <v>96.6</v>
      </c>
    </row>
    <row r="1942" spans="1:5">
      <c r="A1942" s="247">
        <v>41668.709733796299</v>
      </c>
      <c r="B1942" s="221">
        <v>6.5</v>
      </c>
      <c r="E1942" s="221">
        <v>99</v>
      </c>
    </row>
    <row r="1943" spans="1:5">
      <c r="A1943" s="247">
        <v>41668.751400462963</v>
      </c>
      <c r="B1943" s="221">
        <v>6</v>
      </c>
      <c r="E1943" s="221">
        <v>102</v>
      </c>
    </row>
    <row r="1944" spans="1:5">
      <c r="A1944" s="247">
        <v>41668.793067129627</v>
      </c>
      <c r="B1944" s="221">
        <v>5.5</v>
      </c>
      <c r="E1944" s="221">
        <v>103.8</v>
      </c>
    </row>
    <row r="1945" spans="1:5">
      <c r="A1945" s="247">
        <v>41668.834733796299</v>
      </c>
      <c r="B1945" s="221">
        <v>5</v>
      </c>
      <c r="E1945" s="221">
        <v>105</v>
      </c>
    </row>
    <row r="1946" spans="1:5">
      <c r="A1946" s="247">
        <v>41668.876400462963</v>
      </c>
      <c r="B1946" s="221">
        <v>5</v>
      </c>
      <c r="E1946" s="221">
        <v>105</v>
      </c>
    </row>
    <row r="1947" spans="1:5">
      <c r="A1947" s="247">
        <v>41668.918067129627</v>
      </c>
      <c r="B1947" s="221">
        <v>5</v>
      </c>
      <c r="E1947" s="221">
        <v>105</v>
      </c>
    </row>
    <row r="1948" spans="1:5">
      <c r="A1948" s="247">
        <v>41668.959733796299</v>
      </c>
      <c r="B1948" s="221">
        <v>5</v>
      </c>
      <c r="E1948" s="221">
        <v>104.4</v>
      </c>
    </row>
    <row r="1949" spans="1:5">
      <c r="A1949" s="247">
        <v>41669.001400462963</v>
      </c>
      <c r="B1949" s="221">
        <v>5</v>
      </c>
      <c r="E1949" s="221">
        <v>105.6</v>
      </c>
    </row>
    <row r="1950" spans="1:5">
      <c r="A1950" s="247">
        <v>41669.043067129627</v>
      </c>
      <c r="B1950" s="221">
        <v>4.5</v>
      </c>
      <c r="E1950" s="221">
        <v>105.6</v>
      </c>
    </row>
    <row r="1951" spans="1:5">
      <c r="A1951" s="247">
        <v>41669.084733796299</v>
      </c>
      <c r="B1951" s="221">
        <v>3.5</v>
      </c>
      <c r="E1951" s="221">
        <v>105.6</v>
      </c>
    </row>
    <row r="1952" spans="1:5">
      <c r="A1952" s="247">
        <v>41669.126400462963</v>
      </c>
      <c r="B1952" s="221">
        <v>4</v>
      </c>
      <c r="E1952" s="221">
        <v>106.2</v>
      </c>
    </row>
    <row r="1953" spans="1:5">
      <c r="A1953" s="247">
        <v>41669.168067129627</v>
      </c>
      <c r="B1953" s="221">
        <v>4</v>
      </c>
      <c r="E1953" s="221">
        <v>105</v>
      </c>
    </row>
    <row r="1954" spans="1:5">
      <c r="A1954" s="247">
        <v>41669.209733796299</v>
      </c>
      <c r="B1954" s="221">
        <v>4</v>
      </c>
      <c r="E1954" s="221">
        <v>105.6</v>
      </c>
    </row>
    <row r="1955" spans="1:5">
      <c r="A1955" s="247">
        <v>41669.251400462963</v>
      </c>
      <c r="B1955" s="221">
        <v>3.5</v>
      </c>
      <c r="E1955" s="221">
        <v>105.6</v>
      </c>
    </row>
    <row r="1956" spans="1:5">
      <c r="A1956" s="247">
        <v>41669.293067129627</v>
      </c>
      <c r="B1956" s="221">
        <v>4.5</v>
      </c>
      <c r="E1956" s="221">
        <v>106.2</v>
      </c>
    </row>
    <row r="1957" spans="1:5">
      <c r="A1957" s="247">
        <v>41669.334733796299</v>
      </c>
      <c r="B1957" s="221">
        <v>4</v>
      </c>
      <c r="E1957" s="221">
        <v>105</v>
      </c>
    </row>
    <row r="1958" spans="1:5">
      <c r="A1958" s="247">
        <v>41669.376400462963</v>
      </c>
      <c r="B1958" s="221">
        <v>3.5</v>
      </c>
      <c r="E1958" s="221">
        <v>105.6</v>
      </c>
    </row>
    <row r="1959" spans="1:5">
      <c r="A1959" s="247">
        <v>41669.418067129627</v>
      </c>
      <c r="B1959" s="221">
        <v>3.5</v>
      </c>
      <c r="E1959" s="221">
        <v>105.6</v>
      </c>
    </row>
    <row r="1960" spans="1:5">
      <c r="A1960" s="247">
        <v>41669.459733796299</v>
      </c>
      <c r="B1960" s="221">
        <v>6</v>
      </c>
      <c r="E1960" s="221">
        <v>100.2</v>
      </c>
    </row>
    <row r="1961" spans="1:5">
      <c r="A1961" s="247">
        <v>41669.501400462963</v>
      </c>
      <c r="B1961" s="221">
        <v>6.5</v>
      </c>
      <c r="E1961" s="221">
        <v>99.6</v>
      </c>
    </row>
    <row r="1962" spans="1:5">
      <c r="A1962" s="247">
        <v>41669.543067129627</v>
      </c>
      <c r="B1962" s="221">
        <v>7</v>
      </c>
      <c r="E1962" s="221">
        <v>96</v>
      </c>
    </row>
    <row r="1963" spans="1:5">
      <c r="A1963" s="247">
        <v>41669.584733796299</v>
      </c>
      <c r="B1963" s="221">
        <v>9</v>
      </c>
      <c r="E1963" s="221">
        <v>85.2</v>
      </c>
    </row>
    <row r="1964" spans="1:5">
      <c r="A1964" s="247">
        <v>41669.626400462963</v>
      </c>
      <c r="B1964" s="221">
        <v>15</v>
      </c>
      <c r="E1964" s="221">
        <v>63.6</v>
      </c>
    </row>
    <row r="1965" spans="1:5">
      <c r="A1965" s="247">
        <v>41669.668067129627</v>
      </c>
      <c r="B1965" s="221">
        <v>8</v>
      </c>
      <c r="E1965" s="221">
        <v>87</v>
      </c>
    </row>
    <row r="1966" spans="1:5">
      <c r="A1966" s="247">
        <v>41669.709733796299</v>
      </c>
      <c r="B1966" s="221">
        <v>7</v>
      </c>
      <c r="E1966" s="221">
        <v>91.8</v>
      </c>
    </row>
    <row r="1967" spans="1:5">
      <c r="A1967" s="247">
        <v>41669.751400462963</v>
      </c>
      <c r="B1967" s="221">
        <v>7</v>
      </c>
      <c r="E1967" s="221">
        <v>91.8</v>
      </c>
    </row>
    <row r="1968" spans="1:5">
      <c r="A1968" s="247">
        <v>41669.793067129627</v>
      </c>
      <c r="B1968" s="221">
        <v>5.5</v>
      </c>
      <c r="E1968" s="221">
        <v>99</v>
      </c>
    </row>
    <row r="1969" spans="1:5">
      <c r="A1969" s="247">
        <v>41669.834733796299</v>
      </c>
      <c r="B1969" s="221">
        <v>4</v>
      </c>
      <c r="E1969" s="221">
        <v>102</v>
      </c>
    </row>
    <row r="1970" spans="1:5">
      <c r="A1970" s="247">
        <v>41669.876400462963</v>
      </c>
      <c r="B1970" s="221">
        <v>4.5</v>
      </c>
      <c r="E1970" s="221">
        <v>102</v>
      </c>
    </row>
    <row r="1971" spans="1:5">
      <c r="A1971" s="247">
        <v>41669.918067129627</v>
      </c>
      <c r="B1971" s="221">
        <v>4</v>
      </c>
      <c r="E1971" s="221">
        <v>103.2</v>
      </c>
    </row>
    <row r="1972" spans="1:5">
      <c r="A1972" s="247">
        <v>41669.959733796299</v>
      </c>
      <c r="B1972" s="221">
        <v>3.5</v>
      </c>
      <c r="E1972" s="221">
        <v>103.2</v>
      </c>
    </row>
    <row r="1973" spans="1:5">
      <c r="A1973" s="247">
        <v>41670.001400462963</v>
      </c>
      <c r="B1973" s="221">
        <v>3</v>
      </c>
      <c r="E1973" s="221">
        <v>105.6</v>
      </c>
    </row>
    <row r="1974" spans="1:5">
      <c r="A1974" s="247">
        <v>41670.043067129627</v>
      </c>
      <c r="B1974" s="221">
        <v>1</v>
      </c>
      <c r="E1974" s="221">
        <v>105.6</v>
      </c>
    </row>
    <row r="1975" spans="1:5">
      <c r="A1975" s="247">
        <v>41670.084733796299</v>
      </c>
      <c r="B1975" s="221">
        <v>0.5</v>
      </c>
      <c r="E1975" s="221">
        <v>106.8</v>
      </c>
    </row>
    <row r="1976" spans="1:5">
      <c r="A1976" s="247">
        <v>41670.126400462963</v>
      </c>
      <c r="B1976" s="221">
        <v>0</v>
      </c>
      <c r="E1976" s="221">
        <v>106.8</v>
      </c>
    </row>
    <row r="1977" spans="1:5">
      <c r="A1977" s="247">
        <v>41670.168067129627</v>
      </c>
      <c r="B1977" s="221">
        <v>0</v>
      </c>
      <c r="E1977" s="221">
        <v>107.4</v>
      </c>
    </row>
    <row r="1978" spans="1:5">
      <c r="A1978" s="247">
        <v>41670.209733796299</v>
      </c>
      <c r="B1978" s="221">
        <v>-0.5</v>
      </c>
      <c r="E1978" s="221">
        <v>106.8</v>
      </c>
    </row>
    <row r="1979" spans="1:5">
      <c r="A1979" s="247">
        <v>41670.251400462963</v>
      </c>
      <c r="B1979" s="221">
        <v>-1</v>
      </c>
      <c r="E1979" s="221">
        <v>107.4</v>
      </c>
    </row>
    <row r="1980" spans="1:5">
      <c r="A1980" s="247">
        <v>41670.293067129627</v>
      </c>
      <c r="B1980" s="221">
        <v>-1</v>
      </c>
      <c r="E1980" s="221">
        <v>107.4</v>
      </c>
    </row>
    <row r="1981" spans="1:5">
      <c r="A1981" s="247">
        <v>41670.334733796299</v>
      </c>
      <c r="B1981" s="221">
        <v>-1</v>
      </c>
      <c r="E1981" s="221">
        <v>108</v>
      </c>
    </row>
    <row r="1982" spans="1:5">
      <c r="A1982" s="247">
        <v>41670.376400462963</v>
      </c>
      <c r="B1982" s="221">
        <v>-0.5</v>
      </c>
      <c r="E1982" s="221">
        <v>107.4</v>
      </c>
    </row>
    <row r="1983" spans="1:5">
      <c r="A1983" s="247">
        <v>41670.418067129627</v>
      </c>
      <c r="B1983" s="221">
        <v>0</v>
      </c>
      <c r="E1983" s="221">
        <v>107.4</v>
      </c>
    </row>
    <row r="1984" spans="1:5">
      <c r="A1984" s="247">
        <v>41670.459733796299</v>
      </c>
      <c r="B1984" s="221">
        <v>1.5</v>
      </c>
      <c r="E1984" s="221">
        <v>106.8</v>
      </c>
    </row>
    <row r="1985" spans="1:5">
      <c r="A1985" s="247">
        <v>41670.501400462963</v>
      </c>
      <c r="B1985" s="221">
        <v>7</v>
      </c>
      <c r="E1985" s="221">
        <v>106.2</v>
      </c>
    </row>
    <row r="1986" spans="1:5">
      <c r="A1986" s="247">
        <v>41670.543067129627</v>
      </c>
      <c r="B1986" s="221">
        <v>10.5</v>
      </c>
      <c r="E1986" s="221">
        <v>79.2</v>
      </c>
    </row>
    <row r="1987" spans="1:5">
      <c r="A1987" s="247">
        <v>41670.584733796299</v>
      </c>
      <c r="B1987" s="221">
        <v>12.5</v>
      </c>
      <c r="E1987" s="221">
        <v>66</v>
      </c>
    </row>
    <row r="1988" spans="1:5">
      <c r="A1988" s="247">
        <v>41670.626400462963</v>
      </c>
      <c r="B1988" s="221">
        <v>12</v>
      </c>
      <c r="E1988" s="221">
        <v>70.8</v>
      </c>
    </row>
    <row r="1989" spans="1:5">
      <c r="A1989" s="247">
        <v>41670.668067129627</v>
      </c>
      <c r="B1989" s="221">
        <v>11</v>
      </c>
      <c r="E1989" s="221">
        <v>74.400000000000006</v>
      </c>
    </row>
    <row r="1990" spans="1:5">
      <c r="A1990" s="247">
        <v>41670.709733796299</v>
      </c>
      <c r="B1990" s="221">
        <v>9</v>
      </c>
      <c r="E1990" s="221">
        <v>80.400000000000006</v>
      </c>
    </row>
    <row r="1991" spans="1:5">
      <c r="A1991" s="247">
        <v>41670.751400462963</v>
      </c>
      <c r="B1991" s="221">
        <v>7.5</v>
      </c>
      <c r="E1991" s="221">
        <v>87.6</v>
      </c>
    </row>
    <row r="1992" spans="1:5">
      <c r="A1992" s="247">
        <v>41670.793067129627</v>
      </c>
      <c r="B1992" s="221">
        <v>7</v>
      </c>
      <c r="E1992" s="221">
        <v>90.6</v>
      </c>
    </row>
    <row r="1993" spans="1:5">
      <c r="A1993" s="247">
        <v>41670.834733796299</v>
      </c>
      <c r="B1993" s="221">
        <v>6.5</v>
      </c>
      <c r="E1993" s="221">
        <v>89.4</v>
      </c>
    </row>
    <row r="1994" spans="1:5">
      <c r="A1994" s="247">
        <v>41670.876400462963</v>
      </c>
      <c r="B1994" s="221">
        <v>6</v>
      </c>
      <c r="E1994" s="221">
        <v>91.8</v>
      </c>
    </row>
    <row r="1995" spans="1:5">
      <c r="A1995" s="247">
        <v>41670.918067129627</v>
      </c>
      <c r="B1995" s="221">
        <v>6</v>
      </c>
      <c r="E1995" s="221">
        <v>91.2</v>
      </c>
    </row>
    <row r="1996" spans="1:5">
      <c r="A1996" s="247">
        <v>41670.959733796299</v>
      </c>
      <c r="B1996" s="221">
        <v>7</v>
      </c>
      <c r="E1996" s="221">
        <v>88.8</v>
      </c>
    </row>
    <row r="1997" spans="1:5">
      <c r="A1997" s="247">
        <v>41671.001400462963</v>
      </c>
      <c r="B1997" s="221">
        <v>7</v>
      </c>
      <c r="E1997" s="221">
        <v>90</v>
      </c>
    </row>
    <row r="1998" spans="1:5">
      <c r="A1998" s="247">
        <v>41671.043067129627</v>
      </c>
      <c r="B1998" s="221">
        <v>7</v>
      </c>
      <c r="E1998" s="221">
        <v>92.4</v>
      </c>
    </row>
    <row r="1999" spans="1:5">
      <c r="A1999" s="247">
        <v>41671.084733796299</v>
      </c>
      <c r="B1999" s="221">
        <v>6.5</v>
      </c>
      <c r="E1999" s="221">
        <v>93.6</v>
      </c>
    </row>
    <row r="2000" spans="1:5">
      <c r="A2000" s="247">
        <v>41671.126400462963</v>
      </c>
      <c r="B2000" s="221">
        <v>7.5</v>
      </c>
      <c r="E2000" s="221">
        <v>91.2</v>
      </c>
    </row>
    <row r="2001" spans="1:5">
      <c r="A2001" s="247">
        <v>41671.168067129627</v>
      </c>
      <c r="B2001" s="221">
        <v>8</v>
      </c>
      <c r="E2001" s="221">
        <v>89.4</v>
      </c>
    </row>
    <row r="2002" spans="1:5">
      <c r="A2002" s="247">
        <v>41671.209733796299</v>
      </c>
      <c r="B2002" s="221">
        <v>8</v>
      </c>
      <c r="E2002" s="221">
        <v>89.4</v>
      </c>
    </row>
    <row r="2003" spans="1:5">
      <c r="A2003" s="247">
        <v>41671.251400462963</v>
      </c>
      <c r="B2003" s="221">
        <v>7.5</v>
      </c>
      <c r="E2003" s="221">
        <v>93.6</v>
      </c>
    </row>
    <row r="2004" spans="1:5">
      <c r="A2004" s="247">
        <v>41671.293067129627</v>
      </c>
      <c r="B2004" s="221">
        <v>6.5</v>
      </c>
      <c r="E2004" s="221">
        <v>98.4</v>
      </c>
    </row>
    <row r="2005" spans="1:5">
      <c r="A2005" s="247">
        <v>41671.334733796299</v>
      </c>
      <c r="B2005" s="221">
        <v>6.5</v>
      </c>
      <c r="E2005" s="221">
        <v>101.4</v>
      </c>
    </row>
    <row r="2006" spans="1:5">
      <c r="A2006" s="247">
        <v>41671.376400462963</v>
      </c>
      <c r="B2006" s="221">
        <v>6.5</v>
      </c>
      <c r="E2006" s="221">
        <v>101.4</v>
      </c>
    </row>
    <row r="2007" spans="1:5">
      <c r="A2007" s="247">
        <v>41671.418067129627</v>
      </c>
      <c r="B2007" s="221">
        <v>6.5</v>
      </c>
      <c r="E2007" s="221">
        <v>102.6</v>
      </c>
    </row>
    <row r="2008" spans="1:5">
      <c r="A2008" s="247">
        <v>41671.459733796299</v>
      </c>
      <c r="B2008" s="221">
        <v>6.5</v>
      </c>
      <c r="E2008" s="221">
        <v>103.2</v>
      </c>
    </row>
    <row r="2009" spans="1:5">
      <c r="A2009" s="247">
        <v>41671.501400462963</v>
      </c>
      <c r="B2009" s="221">
        <v>7</v>
      </c>
      <c r="E2009" s="221">
        <v>103.2</v>
      </c>
    </row>
    <row r="2010" spans="1:5">
      <c r="A2010" s="247">
        <v>41671.543067129627</v>
      </c>
      <c r="B2010" s="221">
        <v>7.5</v>
      </c>
      <c r="E2010" s="221">
        <v>100.2</v>
      </c>
    </row>
    <row r="2011" spans="1:5">
      <c r="A2011" s="247">
        <v>41671.584733796299</v>
      </c>
      <c r="B2011" s="221">
        <v>8.5</v>
      </c>
      <c r="E2011" s="221">
        <v>96.6</v>
      </c>
    </row>
    <row r="2012" spans="1:5">
      <c r="A2012" s="247">
        <v>41671.626400462963</v>
      </c>
      <c r="B2012" s="221">
        <v>9.5</v>
      </c>
      <c r="E2012" s="221">
        <v>88.8</v>
      </c>
    </row>
    <row r="2013" spans="1:5">
      <c r="A2013" s="247">
        <v>41671.668067129627</v>
      </c>
      <c r="B2013" s="221">
        <v>9.5</v>
      </c>
      <c r="E2013" s="221">
        <v>85.8</v>
      </c>
    </row>
    <row r="2014" spans="1:5">
      <c r="A2014" s="247">
        <v>41671.709733796299</v>
      </c>
      <c r="B2014" s="221">
        <v>8.5</v>
      </c>
      <c r="E2014" s="221">
        <v>87</v>
      </c>
    </row>
    <row r="2015" spans="1:5">
      <c r="A2015" s="247">
        <v>41671.751400462963</v>
      </c>
      <c r="B2015" s="221">
        <v>7.5</v>
      </c>
      <c r="E2015" s="221">
        <v>85.8</v>
      </c>
    </row>
    <row r="2016" spans="1:5">
      <c r="A2016" s="247">
        <v>41671.793067129627</v>
      </c>
      <c r="B2016" s="221">
        <v>5.5</v>
      </c>
      <c r="E2016" s="221">
        <v>97.8</v>
      </c>
    </row>
    <row r="2017" spans="1:5">
      <c r="A2017" s="247">
        <v>41671.834733796299</v>
      </c>
      <c r="B2017" s="221">
        <v>5.5</v>
      </c>
      <c r="E2017" s="221">
        <v>97.8</v>
      </c>
    </row>
    <row r="2018" spans="1:5">
      <c r="A2018" s="247">
        <v>41671.876400462963</v>
      </c>
      <c r="B2018" s="221">
        <v>5</v>
      </c>
      <c r="E2018" s="221">
        <v>98.4</v>
      </c>
    </row>
    <row r="2019" spans="1:5">
      <c r="A2019" s="247">
        <v>41671.918067129627</v>
      </c>
      <c r="B2019" s="221">
        <v>4.5</v>
      </c>
      <c r="E2019" s="221">
        <v>100.2</v>
      </c>
    </row>
    <row r="2020" spans="1:5">
      <c r="A2020" s="247">
        <v>41671.959733796299</v>
      </c>
      <c r="B2020" s="221">
        <v>4</v>
      </c>
      <c r="E2020" s="221">
        <v>102</v>
      </c>
    </row>
    <row r="2021" spans="1:5">
      <c r="A2021" s="247">
        <v>41672.001400462963</v>
      </c>
      <c r="B2021" s="221">
        <v>3</v>
      </c>
      <c r="E2021" s="221">
        <v>102.6</v>
      </c>
    </row>
    <row r="2022" spans="1:5">
      <c r="A2022" s="247">
        <v>41672.043067129627</v>
      </c>
      <c r="B2022" s="221">
        <v>2.5</v>
      </c>
      <c r="E2022" s="221">
        <v>105</v>
      </c>
    </row>
    <row r="2023" spans="1:5">
      <c r="A2023" s="247">
        <v>41672.084733796299</v>
      </c>
      <c r="B2023" s="221">
        <v>1.5</v>
      </c>
      <c r="E2023" s="221">
        <v>105</v>
      </c>
    </row>
    <row r="2024" spans="1:5">
      <c r="A2024" s="247">
        <v>41672.126400462963</v>
      </c>
      <c r="B2024" s="221">
        <v>0.5</v>
      </c>
      <c r="E2024" s="221">
        <v>105.6</v>
      </c>
    </row>
    <row r="2025" spans="1:5">
      <c r="A2025" s="247">
        <v>41672.168067129627</v>
      </c>
      <c r="B2025" s="221">
        <v>0.5</v>
      </c>
      <c r="E2025" s="221">
        <v>106.2</v>
      </c>
    </row>
    <row r="2026" spans="1:5">
      <c r="A2026" s="247">
        <v>41672.209733796299</v>
      </c>
      <c r="B2026" s="221">
        <v>1</v>
      </c>
      <c r="E2026" s="221">
        <v>105.6</v>
      </c>
    </row>
    <row r="2027" spans="1:5">
      <c r="A2027" s="247">
        <v>41672.251400462963</v>
      </c>
      <c r="B2027" s="221">
        <v>0.5</v>
      </c>
      <c r="E2027" s="221">
        <v>106.8</v>
      </c>
    </row>
    <row r="2028" spans="1:5">
      <c r="A2028" s="247">
        <v>41672.293067129627</v>
      </c>
      <c r="B2028" s="221">
        <v>1</v>
      </c>
      <c r="E2028" s="221">
        <v>105.6</v>
      </c>
    </row>
    <row r="2029" spans="1:5">
      <c r="A2029" s="247">
        <v>41672.334733796299</v>
      </c>
      <c r="B2029" s="221">
        <v>1</v>
      </c>
      <c r="E2029" s="221">
        <v>106.2</v>
      </c>
    </row>
    <row r="2030" spans="1:5">
      <c r="A2030" s="247">
        <v>41672.376400462963</v>
      </c>
      <c r="B2030" s="221">
        <v>0</v>
      </c>
      <c r="E2030" s="221">
        <v>106.8</v>
      </c>
    </row>
    <row r="2031" spans="1:5">
      <c r="A2031" s="247">
        <v>41672.418067129627</v>
      </c>
      <c r="B2031" s="221">
        <v>1</v>
      </c>
      <c r="E2031" s="221">
        <v>105.6</v>
      </c>
    </row>
    <row r="2032" spans="1:5">
      <c r="A2032" s="247">
        <v>41672.459733796299</v>
      </c>
      <c r="B2032" s="221">
        <v>3.5</v>
      </c>
      <c r="E2032" s="221">
        <v>103.8</v>
      </c>
    </row>
    <row r="2033" spans="1:5">
      <c r="A2033" s="247">
        <v>41672.501400462963</v>
      </c>
      <c r="B2033" s="221">
        <v>7.5</v>
      </c>
      <c r="E2033" s="221">
        <v>91.2</v>
      </c>
    </row>
    <row r="2034" spans="1:5">
      <c r="A2034" s="247">
        <v>41672.543067129627</v>
      </c>
      <c r="B2034" s="221">
        <v>9.5</v>
      </c>
      <c r="E2034" s="221">
        <v>83.4</v>
      </c>
    </row>
    <row r="2035" spans="1:5">
      <c r="A2035" s="247">
        <v>41672.584733796299</v>
      </c>
      <c r="B2035" s="221">
        <v>11.5</v>
      </c>
      <c r="E2035" s="221">
        <v>76.8</v>
      </c>
    </row>
    <row r="2036" spans="1:5">
      <c r="A2036" s="247">
        <v>41672.626400462963</v>
      </c>
      <c r="B2036" s="221">
        <v>8</v>
      </c>
      <c r="E2036" s="221">
        <v>84.6</v>
      </c>
    </row>
    <row r="2037" spans="1:5">
      <c r="A2037" s="247">
        <v>41672.668067129627</v>
      </c>
      <c r="B2037" s="221">
        <v>10.5</v>
      </c>
      <c r="E2037" s="221">
        <v>76.8</v>
      </c>
    </row>
    <row r="2038" spans="1:5">
      <c r="A2038" s="247">
        <v>41672.709733796299</v>
      </c>
      <c r="B2038" s="221">
        <v>13</v>
      </c>
      <c r="E2038" s="221">
        <v>69.599999999999994</v>
      </c>
    </row>
    <row r="2039" spans="1:5">
      <c r="A2039" s="247">
        <v>41672.751400462963</v>
      </c>
      <c r="B2039" s="221">
        <v>7.5</v>
      </c>
      <c r="E2039" s="221">
        <v>88.2</v>
      </c>
    </row>
    <row r="2040" spans="1:5">
      <c r="A2040" s="247">
        <v>41672.793067129627</v>
      </c>
      <c r="B2040" s="221">
        <v>5.5</v>
      </c>
      <c r="E2040" s="221">
        <v>94.8</v>
      </c>
    </row>
    <row r="2041" spans="1:5">
      <c r="A2041" s="247">
        <v>41672.834733796299</v>
      </c>
      <c r="B2041" s="221">
        <v>5</v>
      </c>
      <c r="E2041" s="221">
        <v>98.4</v>
      </c>
    </row>
    <row r="2042" spans="1:5">
      <c r="A2042" s="247">
        <v>41672.876400462963</v>
      </c>
      <c r="B2042" s="221">
        <v>3</v>
      </c>
      <c r="E2042" s="221">
        <v>102</v>
      </c>
    </row>
    <row r="2043" spans="1:5">
      <c r="A2043" s="247">
        <v>41672.918067129627</v>
      </c>
      <c r="B2043" s="221">
        <v>3</v>
      </c>
      <c r="E2043" s="221">
        <v>100.2</v>
      </c>
    </row>
    <row r="2044" spans="1:5">
      <c r="A2044" s="247">
        <v>41672.959733796299</v>
      </c>
      <c r="B2044" s="221">
        <v>3.5</v>
      </c>
      <c r="E2044" s="221">
        <v>99.6</v>
      </c>
    </row>
    <row r="2045" spans="1:5">
      <c r="A2045" s="247">
        <v>41673.001400462963</v>
      </c>
      <c r="B2045" s="221">
        <v>3.5</v>
      </c>
      <c r="E2045" s="221">
        <v>102</v>
      </c>
    </row>
    <row r="2046" spans="1:5">
      <c r="A2046" s="247">
        <v>41673.043067129627</v>
      </c>
      <c r="B2046" s="221">
        <v>3</v>
      </c>
      <c r="E2046" s="221">
        <v>102</v>
      </c>
    </row>
    <row r="2047" spans="1:5">
      <c r="A2047" s="247">
        <v>41673.084733796299</v>
      </c>
      <c r="B2047" s="221">
        <v>1.5</v>
      </c>
      <c r="E2047" s="221">
        <v>103.8</v>
      </c>
    </row>
    <row r="2048" spans="1:5">
      <c r="A2048" s="247">
        <v>41673.126400462963</v>
      </c>
      <c r="B2048" s="221">
        <v>1</v>
      </c>
      <c r="E2048" s="221">
        <v>105</v>
      </c>
    </row>
    <row r="2049" spans="1:5">
      <c r="A2049" s="247">
        <v>41673.168067129627</v>
      </c>
      <c r="B2049" s="221">
        <v>-0.5</v>
      </c>
      <c r="E2049" s="221">
        <v>106.8</v>
      </c>
    </row>
    <row r="2050" spans="1:5">
      <c r="A2050" s="247">
        <v>41673.209733796299</v>
      </c>
      <c r="B2050" s="221">
        <v>-1</v>
      </c>
      <c r="E2050" s="221">
        <v>106.8</v>
      </c>
    </row>
    <row r="2051" spans="1:5">
      <c r="A2051" s="247">
        <v>41673.251400462963</v>
      </c>
      <c r="B2051" s="221">
        <v>-1</v>
      </c>
      <c r="E2051" s="221">
        <v>106.8</v>
      </c>
    </row>
    <row r="2052" spans="1:5">
      <c r="A2052" s="247">
        <v>41673.293067129627</v>
      </c>
      <c r="B2052" s="221">
        <v>-1.5</v>
      </c>
      <c r="E2052" s="221">
        <v>107.4</v>
      </c>
    </row>
    <row r="2053" spans="1:5">
      <c r="A2053" s="247">
        <v>41673.334733796299</v>
      </c>
      <c r="B2053" s="221">
        <v>-0.5</v>
      </c>
      <c r="E2053" s="221">
        <v>106.8</v>
      </c>
    </row>
    <row r="2054" spans="1:5">
      <c r="A2054" s="247">
        <v>41673.376400462963</v>
      </c>
      <c r="B2054" s="221">
        <v>-1</v>
      </c>
      <c r="E2054" s="221">
        <v>106.2</v>
      </c>
    </row>
    <row r="2055" spans="1:5">
      <c r="A2055" s="247">
        <v>41673.418067129627</v>
      </c>
      <c r="B2055" s="221">
        <v>-1</v>
      </c>
      <c r="E2055" s="221">
        <v>105.6</v>
      </c>
    </row>
    <row r="2056" spans="1:5">
      <c r="A2056" s="247">
        <v>41673.459733796299</v>
      </c>
      <c r="B2056" s="221">
        <v>2</v>
      </c>
      <c r="E2056" s="221">
        <v>96.6</v>
      </c>
    </row>
    <row r="2057" spans="1:5">
      <c r="A2057" s="247">
        <v>41673.501400462963</v>
      </c>
      <c r="B2057" s="221">
        <v>5</v>
      </c>
      <c r="E2057" s="221">
        <v>88.2</v>
      </c>
    </row>
    <row r="2058" spans="1:5">
      <c r="A2058" s="247">
        <v>41673.543067129627</v>
      </c>
      <c r="B2058" s="221">
        <v>13</v>
      </c>
      <c r="E2058" s="221">
        <v>63</v>
      </c>
    </row>
    <row r="2059" spans="1:5">
      <c r="A2059" s="247">
        <v>41673.584733796299</v>
      </c>
      <c r="B2059" s="221">
        <v>14.5</v>
      </c>
      <c r="E2059" s="221">
        <v>56.4</v>
      </c>
    </row>
    <row r="2060" spans="1:5">
      <c r="A2060" s="247">
        <v>41673.626400462963</v>
      </c>
      <c r="B2060" s="221">
        <v>17.5</v>
      </c>
      <c r="E2060" s="221">
        <v>49.8</v>
      </c>
    </row>
    <row r="2061" spans="1:5">
      <c r="A2061" s="247">
        <v>41673.668067129627</v>
      </c>
      <c r="B2061" s="221">
        <v>17.5</v>
      </c>
      <c r="E2061" s="221">
        <v>48</v>
      </c>
    </row>
    <row r="2062" spans="1:5">
      <c r="A2062" s="247">
        <v>41673.709733796299</v>
      </c>
      <c r="B2062" s="221">
        <v>15</v>
      </c>
      <c r="E2062" s="221">
        <v>56.4</v>
      </c>
    </row>
    <row r="2063" spans="1:5">
      <c r="A2063" s="247">
        <v>41673.751400462963</v>
      </c>
      <c r="B2063" s="221">
        <v>12.5</v>
      </c>
      <c r="E2063" s="221">
        <v>57.6</v>
      </c>
    </row>
    <row r="2064" spans="1:5">
      <c r="A2064" s="247">
        <v>41673.793067129627</v>
      </c>
      <c r="B2064" s="221">
        <v>7.5</v>
      </c>
      <c r="E2064" s="221">
        <v>70.2</v>
      </c>
    </row>
    <row r="2065" spans="1:5">
      <c r="A2065" s="247">
        <v>41673.834733796299</v>
      </c>
      <c r="B2065" s="221">
        <v>7.5</v>
      </c>
      <c r="E2065" s="221">
        <v>76.2</v>
      </c>
    </row>
    <row r="2066" spans="1:5">
      <c r="A2066" s="247">
        <v>41673.876400462963</v>
      </c>
      <c r="B2066" s="221">
        <v>6</v>
      </c>
      <c r="E2066" s="221">
        <v>91.8</v>
      </c>
    </row>
    <row r="2067" spans="1:5">
      <c r="A2067" s="247">
        <v>41673.918067129627</v>
      </c>
      <c r="B2067" s="221">
        <v>6.5</v>
      </c>
      <c r="E2067" s="221">
        <v>91.2</v>
      </c>
    </row>
    <row r="2068" spans="1:5">
      <c r="A2068" s="247">
        <v>41673.959733796299</v>
      </c>
      <c r="B2068" s="221">
        <v>5.5</v>
      </c>
      <c r="E2068" s="221">
        <v>96</v>
      </c>
    </row>
    <row r="2069" spans="1:5">
      <c r="A2069" s="247">
        <v>41674.001400462963</v>
      </c>
      <c r="B2069" s="221">
        <v>5.5</v>
      </c>
      <c r="E2069" s="221">
        <v>99.6</v>
      </c>
    </row>
    <row r="2070" spans="1:5">
      <c r="A2070" s="247">
        <v>41674.043067129627</v>
      </c>
      <c r="B2070" s="221">
        <v>5.5</v>
      </c>
      <c r="E2070" s="221">
        <v>100.2</v>
      </c>
    </row>
    <row r="2071" spans="1:5">
      <c r="A2071" s="247">
        <v>41674.084733796299</v>
      </c>
      <c r="B2071" s="221">
        <v>5.5</v>
      </c>
      <c r="E2071" s="221">
        <v>98.4</v>
      </c>
    </row>
    <row r="2072" spans="1:5">
      <c r="A2072" s="247">
        <v>41674.126400462963</v>
      </c>
      <c r="B2072" s="221">
        <v>5</v>
      </c>
      <c r="E2072" s="221">
        <v>100.2</v>
      </c>
    </row>
    <row r="2073" spans="1:5">
      <c r="A2073" s="247">
        <v>41674.168067129627</v>
      </c>
      <c r="B2073" s="221">
        <v>4</v>
      </c>
      <c r="E2073" s="221">
        <v>101.4</v>
      </c>
    </row>
    <row r="2074" spans="1:5">
      <c r="A2074" s="247">
        <v>41674.209733796299</v>
      </c>
      <c r="B2074" s="221">
        <v>3</v>
      </c>
      <c r="E2074" s="221">
        <v>103.8</v>
      </c>
    </row>
    <row r="2075" spans="1:5">
      <c r="A2075" s="247">
        <v>41674.251400462963</v>
      </c>
      <c r="B2075" s="221">
        <v>3.5</v>
      </c>
      <c r="E2075" s="221">
        <v>102</v>
      </c>
    </row>
    <row r="2076" spans="1:5">
      <c r="A2076" s="247">
        <v>41674.293067129627</v>
      </c>
      <c r="B2076" s="221">
        <v>3</v>
      </c>
      <c r="E2076" s="221">
        <v>102</v>
      </c>
    </row>
    <row r="2077" spans="1:5">
      <c r="A2077" s="247">
        <v>41674.334733796299</v>
      </c>
      <c r="B2077" s="221">
        <v>4</v>
      </c>
      <c r="E2077" s="221">
        <v>102</v>
      </c>
    </row>
    <row r="2078" spans="1:5">
      <c r="A2078" s="247">
        <v>41674.376400462963</v>
      </c>
      <c r="B2078" s="221">
        <v>3.5</v>
      </c>
      <c r="E2078" s="221">
        <v>101.4</v>
      </c>
    </row>
    <row r="2079" spans="1:5">
      <c r="A2079" s="247">
        <v>41674.418067129627</v>
      </c>
      <c r="B2079" s="221">
        <v>3.5</v>
      </c>
      <c r="E2079" s="221">
        <v>100.2</v>
      </c>
    </row>
    <row r="2080" spans="1:5">
      <c r="A2080" s="247">
        <v>41674.459733796299</v>
      </c>
      <c r="B2080" s="221">
        <v>6</v>
      </c>
      <c r="E2080" s="221">
        <v>94.2</v>
      </c>
    </row>
    <row r="2081" spans="1:5">
      <c r="A2081" s="247">
        <v>41674.501400462963</v>
      </c>
      <c r="B2081" s="221">
        <v>8</v>
      </c>
      <c r="E2081" s="221">
        <v>87</v>
      </c>
    </row>
    <row r="2082" spans="1:5">
      <c r="A2082" s="247">
        <v>41674.543067129627</v>
      </c>
      <c r="B2082" s="221">
        <v>11</v>
      </c>
      <c r="E2082" s="221">
        <v>78</v>
      </c>
    </row>
    <row r="2083" spans="1:5">
      <c r="A2083" s="247">
        <v>41674.584733796299</v>
      </c>
      <c r="B2083" s="221">
        <v>9.5</v>
      </c>
      <c r="E2083" s="221">
        <v>78.599999999999994</v>
      </c>
    </row>
    <row r="2084" spans="1:5">
      <c r="A2084" s="247">
        <v>41674.626400462963</v>
      </c>
      <c r="B2084" s="221">
        <v>9.5</v>
      </c>
      <c r="E2084" s="221">
        <v>77.400000000000006</v>
      </c>
    </row>
    <row r="2085" spans="1:5">
      <c r="A2085" s="247">
        <v>41674.668067129627</v>
      </c>
      <c r="B2085" s="221">
        <v>13</v>
      </c>
      <c r="E2085" s="221">
        <v>63.6</v>
      </c>
    </row>
    <row r="2086" spans="1:5">
      <c r="A2086" s="247">
        <v>41674.709733796299</v>
      </c>
      <c r="B2086" s="221">
        <v>10.5</v>
      </c>
      <c r="E2086" s="221">
        <v>72</v>
      </c>
    </row>
    <row r="2087" spans="1:5">
      <c r="A2087" s="247">
        <v>41674.751400462963</v>
      </c>
      <c r="B2087" s="221">
        <v>10</v>
      </c>
      <c r="E2087" s="221">
        <v>70.8</v>
      </c>
    </row>
    <row r="2088" spans="1:5">
      <c r="A2088" s="247">
        <v>41674.793067129627</v>
      </c>
      <c r="B2088" s="221">
        <v>6</v>
      </c>
      <c r="E2088" s="221">
        <v>85.2</v>
      </c>
    </row>
    <row r="2089" spans="1:5">
      <c r="A2089" s="247">
        <v>41674.834733796299</v>
      </c>
      <c r="B2089" s="221">
        <v>5.5</v>
      </c>
      <c r="E2089" s="221">
        <v>85.8</v>
      </c>
    </row>
    <row r="2090" spans="1:5">
      <c r="A2090" s="247">
        <v>41674.876400462963</v>
      </c>
      <c r="B2090" s="221">
        <v>5</v>
      </c>
      <c r="E2090" s="221">
        <v>87</v>
      </c>
    </row>
    <row r="2091" spans="1:5">
      <c r="A2091" s="247">
        <v>41674.918067129627</v>
      </c>
      <c r="B2091" s="221">
        <v>5</v>
      </c>
      <c r="E2091" s="221">
        <v>87</v>
      </c>
    </row>
    <row r="2092" spans="1:5">
      <c r="A2092" s="247">
        <v>41674.959733796299</v>
      </c>
      <c r="B2092" s="221">
        <v>6.5</v>
      </c>
      <c r="E2092" s="221">
        <v>79.2</v>
      </c>
    </row>
    <row r="2093" spans="1:5">
      <c r="A2093" s="247">
        <v>41675.001400462963</v>
      </c>
      <c r="B2093" s="221">
        <v>7</v>
      </c>
      <c r="E2093" s="221">
        <v>73.8</v>
      </c>
    </row>
    <row r="2094" spans="1:5">
      <c r="A2094" s="247">
        <v>41675.043067129627</v>
      </c>
      <c r="B2094" s="221">
        <v>7.5</v>
      </c>
      <c r="E2094" s="221">
        <v>70.8</v>
      </c>
    </row>
    <row r="2095" spans="1:5">
      <c r="A2095" s="247">
        <v>41675.084733796299</v>
      </c>
      <c r="B2095" s="221">
        <v>6</v>
      </c>
      <c r="E2095" s="221">
        <v>100.2</v>
      </c>
    </row>
    <row r="2096" spans="1:5">
      <c r="A2096" s="247">
        <v>41675.126400462963</v>
      </c>
      <c r="B2096" s="221">
        <v>7.5</v>
      </c>
      <c r="E2096" s="221">
        <v>92.4</v>
      </c>
    </row>
    <row r="2097" spans="1:5">
      <c r="A2097" s="247">
        <v>41675.168067129627</v>
      </c>
      <c r="B2097" s="221">
        <v>8</v>
      </c>
      <c r="E2097" s="221">
        <v>85.2</v>
      </c>
    </row>
    <row r="2098" spans="1:5">
      <c r="A2098" s="247">
        <v>41675.209733796299</v>
      </c>
      <c r="B2098" s="221">
        <v>6.5</v>
      </c>
      <c r="E2098" s="221">
        <v>96.6</v>
      </c>
    </row>
    <row r="2099" spans="1:5">
      <c r="A2099" s="247">
        <v>41675.251400462963</v>
      </c>
      <c r="B2099" s="221">
        <v>7.5</v>
      </c>
      <c r="E2099" s="221">
        <v>92.4</v>
      </c>
    </row>
    <row r="2100" spans="1:5">
      <c r="A2100" s="247">
        <v>41675.293067129627</v>
      </c>
      <c r="B2100" s="221">
        <v>5.5</v>
      </c>
      <c r="E2100" s="221">
        <v>98.4</v>
      </c>
    </row>
    <row r="2101" spans="1:5">
      <c r="A2101" s="247">
        <v>41675.334733796299</v>
      </c>
      <c r="B2101" s="221">
        <v>5.5</v>
      </c>
      <c r="E2101" s="221">
        <v>100.2</v>
      </c>
    </row>
    <row r="2102" spans="1:5">
      <c r="A2102" s="247">
        <v>41675.376400462963</v>
      </c>
      <c r="B2102" s="221">
        <v>5.5</v>
      </c>
      <c r="E2102" s="221">
        <v>100.8</v>
      </c>
    </row>
    <row r="2103" spans="1:5">
      <c r="A2103" s="247">
        <v>41675.418067129627</v>
      </c>
      <c r="B2103" s="221">
        <v>5.5</v>
      </c>
      <c r="E2103" s="221">
        <v>100.2</v>
      </c>
    </row>
    <row r="2104" spans="1:5">
      <c r="A2104" s="247">
        <v>41675.459733796299</v>
      </c>
      <c r="B2104" s="221">
        <v>6.5</v>
      </c>
      <c r="E2104" s="221">
        <v>94.8</v>
      </c>
    </row>
    <row r="2105" spans="1:5">
      <c r="A2105" s="247">
        <v>41675.501400462963</v>
      </c>
      <c r="B2105" s="221">
        <v>7.5</v>
      </c>
      <c r="E2105" s="221">
        <v>93</v>
      </c>
    </row>
    <row r="2106" spans="1:5">
      <c r="A2106" s="247">
        <v>41675.543067129627</v>
      </c>
      <c r="B2106" s="221">
        <v>7.5</v>
      </c>
      <c r="E2106" s="221">
        <v>93.6</v>
      </c>
    </row>
    <row r="2107" spans="1:5">
      <c r="A2107" s="247">
        <v>41675.584733796299</v>
      </c>
      <c r="B2107" s="221">
        <v>9</v>
      </c>
      <c r="E2107" s="221">
        <v>89.4</v>
      </c>
    </row>
    <row r="2108" spans="1:5">
      <c r="A2108" s="247">
        <v>41675.626400462963</v>
      </c>
      <c r="B2108" s="221">
        <v>11.5</v>
      </c>
      <c r="E2108" s="221">
        <v>80.400000000000006</v>
      </c>
    </row>
    <row r="2109" spans="1:5">
      <c r="A2109" s="247">
        <v>41675.668067129627</v>
      </c>
      <c r="B2109" s="221">
        <v>11.5</v>
      </c>
      <c r="E2109" s="221">
        <v>78</v>
      </c>
    </row>
    <row r="2110" spans="1:5">
      <c r="A2110" s="247">
        <v>41675.709733796299</v>
      </c>
      <c r="B2110" s="221">
        <v>10</v>
      </c>
      <c r="E2110" s="221">
        <v>80.400000000000006</v>
      </c>
    </row>
    <row r="2111" spans="1:5">
      <c r="A2111" s="247">
        <v>41675.751400462963</v>
      </c>
      <c r="B2111" s="221">
        <v>7.5</v>
      </c>
      <c r="E2111" s="221">
        <v>91.2</v>
      </c>
    </row>
    <row r="2112" spans="1:5">
      <c r="A2112" s="247">
        <v>41675.793067129627</v>
      </c>
      <c r="B2112" s="221">
        <v>6.5</v>
      </c>
      <c r="E2112" s="221">
        <v>93</v>
      </c>
    </row>
    <row r="2113" spans="1:5">
      <c r="A2113" s="247">
        <v>41675.834733796299</v>
      </c>
      <c r="B2113" s="221">
        <v>6.5</v>
      </c>
      <c r="E2113" s="221">
        <v>91.8</v>
      </c>
    </row>
    <row r="2114" spans="1:5">
      <c r="A2114" s="247">
        <v>41675.876400462963</v>
      </c>
      <c r="B2114" s="221">
        <v>6.5</v>
      </c>
      <c r="E2114" s="221">
        <v>91.8</v>
      </c>
    </row>
    <row r="2115" spans="1:5">
      <c r="A2115" s="247">
        <v>41675.918067129627</v>
      </c>
      <c r="B2115" s="221">
        <v>6.5</v>
      </c>
      <c r="E2115" s="221">
        <v>93.6</v>
      </c>
    </row>
    <row r="2116" spans="1:5">
      <c r="A2116" s="247">
        <v>41675.959733796299</v>
      </c>
      <c r="B2116" s="221">
        <v>6</v>
      </c>
      <c r="E2116" s="221">
        <v>94.8</v>
      </c>
    </row>
    <row r="2117" spans="1:5">
      <c r="A2117" s="247">
        <v>41676.001400462963</v>
      </c>
      <c r="B2117" s="221">
        <v>6.5</v>
      </c>
      <c r="E2117" s="221">
        <v>95.4</v>
      </c>
    </row>
    <row r="2118" spans="1:5">
      <c r="A2118" s="247">
        <v>41676.043067129627</v>
      </c>
      <c r="B2118" s="221">
        <v>5.5</v>
      </c>
      <c r="E2118" s="221">
        <v>99.6</v>
      </c>
    </row>
    <row r="2119" spans="1:5">
      <c r="A2119" s="247">
        <v>41676.084733796299</v>
      </c>
      <c r="B2119" s="221">
        <v>5</v>
      </c>
      <c r="E2119" s="221">
        <v>99</v>
      </c>
    </row>
    <row r="2120" spans="1:5">
      <c r="A2120" s="247">
        <v>41676.126400462963</v>
      </c>
      <c r="B2120" s="221">
        <v>5</v>
      </c>
      <c r="E2120" s="221">
        <v>100.2</v>
      </c>
    </row>
    <row r="2121" spans="1:5">
      <c r="A2121" s="247">
        <v>41676.168067129627</v>
      </c>
      <c r="B2121" s="221">
        <v>5.5</v>
      </c>
      <c r="E2121" s="221">
        <v>100.2</v>
      </c>
    </row>
    <row r="2122" spans="1:5">
      <c r="A2122" s="247">
        <v>41676.209733796299</v>
      </c>
      <c r="B2122" s="221">
        <v>4.5</v>
      </c>
      <c r="E2122" s="221">
        <v>100.2</v>
      </c>
    </row>
    <row r="2123" spans="1:5">
      <c r="A2123" s="247">
        <v>41676.251400462963</v>
      </c>
      <c r="B2123" s="221">
        <v>4</v>
      </c>
      <c r="E2123" s="221">
        <v>102</v>
      </c>
    </row>
    <row r="2124" spans="1:5">
      <c r="A2124" s="247">
        <v>41676.293067129627</v>
      </c>
      <c r="B2124" s="221">
        <v>5</v>
      </c>
      <c r="E2124" s="221">
        <v>99</v>
      </c>
    </row>
    <row r="2125" spans="1:5">
      <c r="A2125" s="247">
        <v>41676.334733796299</v>
      </c>
      <c r="B2125" s="221">
        <v>4</v>
      </c>
      <c r="E2125" s="221">
        <v>100.2</v>
      </c>
    </row>
    <row r="2126" spans="1:5">
      <c r="A2126" s="247">
        <v>41676.376400462963</v>
      </c>
      <c r="B2126" s="221">
        <v>5</v>
      </c>
      <c r="E2126" s="221">
        <v>100.2</v>
      </c>
    </row>
    <row r="2127" spans="1:5">
      <c r="A2127" s="247">
        <v>41676.418067129627</v>
      </c>
      <c r="B2127" s="221">
        <v>5.5</v>
      </c>
      <c r="E2127" s="221">
        <v>96.6</v>
      </c>
    </row>
    <row r="2128" spans="1:5">
      <c r="A2128" s="247">
        <v>41676.459733796299</v>
      </c>
      <c r="B2128" s="221">
        <v>7</v>
      </c>
      <c r="E2128" s="221">
        <v>90</v>
      </c>
    </row>
    <row r="2129" spans="1:5">
      <c r="A2129" s="247">
        <v>41676.501400462963</v>
      </c>
      <c r="B2129" s="221">
        <v>8</v>
      </c>
      <c r="E2129" s="221">
        <v>82.8</v>
      </c>
    </row>
    <row r="2130" spans="1:5">
      <c r="A2130" s="247">
        <v>41676.543067129627</v>
      </c>
      <c r="B2130" s="221">
        <v>10</v>
      </c>
      <c r="E2130" s="221">
        <v>78</v>
      </c>
    </row>
    <row r="2131" spans="1:5">
      <c r="A2131" s="247">
        <v>41676.584733796299</v>
      </c>
      <c r="B2131" s="221">
        <v>10.5</v>
      </c>
      <c r="E2131" s="221">
        <v>76.2</v>
      </c>
    </row>
    <row r="2132" spans="1:5">
      <c r="A2132" s="247">
        <v>41676.626400462963</v>
      </c>
      <c r="B2132" s="221">
        <v>12.5</v>
      </c>
      <c r="E2132" s="221">
        <v>72</v>
      </c>
    </row>
    <row r="2133" spans="1:5">
      <c r="A2133" s="247">
        <v>41676.668067129627</v>
      </c>
      <c r="B2133" s="221">
        <v>18</v>
      </c>
      <c r="E2133" s="221">
        <v>58.8</v>
      </c>
    </row>
    <row r="2134" spans="1:5">
      <c r="A2134" s="247">
        <v>41676.709733796299</v>
      </c>
      <c r="B2134" s="221">
        <v>18.5</v>
      </c>
      <c r="E2134" s="221">
        <v>56.4</v>
      </c>
    </row>
    <row r="2135" spans="1:5">
      <c r="A2135" s="247">
        <v>41676.751400462963</v>
      </c>
      <c r="B2135" s="221">
        <v>16</v>
      </c>
      <c r="E2135" s="221">
        <v>62.4</v>
      </c>
    </row>
    <row r="2136" spans="1:5">
      <c r="A2136" s="247">
        <v>41676.793067129627</v>
      </c>
      <c r="B2136" s="221">
        <v>13.5</v>
      </c>
      <c r="E2136" s="221">
        <v>69</v>
      </c>
    </row>
    <row r="2137" spans="1:5">
      <c r="A2137" s="247">
        <v>41676.834733796299</v>
      </c>
      <c r="B2137" s="221">
        <v>13.5</v>
      </c>
      <c r="E2137" s="221">
        <v>69</v>
      </c>
    </row>
    <row r="2138" spans="1:5">
      <c r="A2138" s="247">
        <v>41676.876400462963</v>
      </c>
      <c r="B2138" s="221">
        <v>12.5</v>
      </c>
      <c r="E2138" s="221">
        <v>72.599999999999994</v>
      </c>
    </row>
    <row r="2139" spans="1:5">
      <c r="A2139" s="247">
        <v>41676.918067129627</v>
      </c>
      <c r="B2139" s="221">
        <v>12</v>
      </c>
      <c r="E2139" s="221">
        <v>75</v>
      </c>
    </row>
    <row r="2140" spans="1:5">
      <c r="A2140" s="247">
        <v>41676.959733796299</v>
      </c>
      <c r="B2140" s="221">
        <v>12.5</v>
      </c>
      <c r="E2140" s="221">
        <v>69</v>
      </c>
    </row>
    <row r="2141" spans="1:5">
      <c r="A2141" s="247">
        <v>41677.001400462963</v>
      </c>
      <c r="B2141" s="221">
        <v>13.5</v>
      </c>
      <c r="E2141" s="221">
        <v>67.2</v>
      </c>
    </row>
    <row r="2142" spans="1:5">
      <c r="A2142" s="247">
        <v>41677.043067129627</v>
      </c>
      <c r="B2142" s="221">
        <v>11.5</v>
      </c>
      <c r="E2142" s="221">
        <v>78.599999999999994</v>
      </c>
    </row>
    <row r="2143" spans="1:5">
      <c r="A2143" s="247">
        <v>41677.084733796299</v>
      </c>
      <c r="B2143" s="221">
        <v>12.5</v>
      </c>
      <c r="E2143" s="221">
        <v>73.2</v>
      </c>
    </row>
    <row r="2144" spans="1:5">
      <c r="A2144" s="247">
        <v>41677.126400462963</v>
      </c>
      <c r="B2144" s="221">
        <v>11.5</v>
      </c>
      <c r="E2144" s="221">
        <v>79.8</v>
      </c>
    </row>
    <row r="2145" spans="1:5">
      <c r="A2145" s="247">
        <v>41677.168067129627</v>
      </c>
      <c r="B2145" s="221">
        <v>11.5</v>
      </c>
      <c r="E2145" s="221">
        <v>78.599999999999994</v>
      </c>
    </row>
    <row r="2146" spans="1:5">
      <c r="A2146" s="247">
        <v>41677.209733796299</v>
      </c>
      <c r="B2146" s="221">
        <v>11.5</v>
      </c>
      <c r="E2146" s="221">
        <v>79.2</v>
      </c>
    </row>
    <row r="2147" spans="1:5">
      <c r="A2147" s="247">
        <v>41677.251400462963</v>
      </c>
      <c r="B2147" s="221">
        <v>9.5</v>
      </c>
      <c r="E2147" s="221">
        <v>94.2</v>
      </c>
    </row>
    <row r="2148" spans="1:5">
      <c r="A2148" s="247">
        <v>41677.293067129627</v>
      </c>
      <c r="B2148" s="221">
        <v>9.5</v>
      </c>
      <c r="E2148" s="221">
        <v>86.4</v>
      </c>
    </row>
    <row r="2149" spans="1:5">
      <c r="A2149" s="247">
        <v>41677.334733796299</v>
      </c>
      <c r="B2149" s="221">
        <v>8.5</v>
      </c>
      <c r="E2149" s="221">
        <v>88.8</v>
      </c>
    </row>
    <row r="2150" spans="1:5">
      <c r="A2150" s="247">
        <v>41677.376400462963</v>
      </c>
      <c r="B2150" s="221">
        <v>7.5</v>
      </c>
      <c r="E2150" s="221">
        <v>90</v>
      </c>
    </row>
    <row r="2151" spans="1:5">
      <c r="A2151" s="247">
        <v>41677.418067129627</v>
      </c>
      <c r="B2151" s="221">
        <v>7.5</v>
      </c>
      <c r="E2151" s="221">
        <v>89.4</v>
      </c>
    </row>
    <row r="2152" spans="1:5">
      <c r="A2152" s="247">
        <v>41677.459733796299</v>
      </c>
      <c r="B2152" s="221">
        <v>8.5</v>
      </c>
      <c r="E2152" s="221">
        <v>84.6</v>
      </c>
    </row>
    <row r="2153" spans="1:5">
      <c r="A2153" s="247">
        <v>41677.501400462963</v>
      </c>
      <c r="B2153" s="221">
        <v>10.5</v>
      </c>
      <c r="E2153" s="221">
        <v>77.400000000000006</v>
      </c>
    </row>
    <row r="2154" spans="1:5">
      <c r="A2154" s="247">
        <v>41677.543067129627</v>
      </c>
      <c r="B2154" s="221">
        <v>11.5</v>
      </c>
      <c r="E2154" s="221">
        <v>73.2</v>
      </c>
    </row>
    <row r="2155" spans="1:5">
      <c r="A2155" s="247">
        <v>41677.584733796299</v>
      </c>
      <c r="B2155" s="221">
        <v>11</v>
      </c>
      <c r="E2155" s="221">
        <v>72.599999999999994</v>
      </c>
    </row>
    <row r="2156" spans="1:5">
      <c r="A2156" s="247">
        <v>41677.626400462963</v>
      </c>
      <c r="B2156" s="221">
        <v>14</v>
      </c>
      <c r="E2156" s="221">
        <v>62.4</v>
      </c>
    </row>
    <row r="2157" spans="1:5">
      <c r="A2157" s="247">
        <v>41677.668067129627</v>
      </c>
      <c r="B2157" s="221">
        <v>11</v>
      </c>
      <c r="E2157" s="221">
        <v>64.8</v>
      </c>
    </row>
    <row r="2158" spans="1:5">
      <c r="A2158" s="247">
        <v>41677.709733796299</v>
      </c>
      <c r="B2158" s="221">
        <v>11.5</v>
      </c>
      <c r="E2158" s="221">
        <v>64.8</v>
      </c>
    </row>
    <row r="2159" spans="1:5">
      <c r="A2159" s="247">
        <v>41677.751400462963</v>
      </c>
      <c r="B2159" s="221">
        <v>9.5</v>
      </c>
      <c r="E2159" s="221">
        <v>78.599999999999994</v>
      </c>
    </row>
    <row r="2160" spans="1:5">
      <c r="A2160" s="247">
        <v>41677.793067129627</v>
      </c>
      <c r="B2160" s="221">
        <v>8</v>
      </c>
      <c r="E2160" s="221">
        <v>85.8</v>
      </c>
    </row>
    <row r="2161" spans="1:5">
      <c r="A2161" s="247">
        <v>41677.834733796299</v>
      </c>
      <c r="B2161" s="221">
        <v>8</v>
      </c>
      <c r="E2161" s="221">
        <v>84</v>
      </c>
    </row>
    <row r="2162" spans="1:5">
      <c r="A2162" s="247">
        <v>41677.876400462963</v>
      </c>
      <c r="B2162" s="221">
        <v>8</v>
      </c>
      <c r="E2162" s="221">
        <v>86.4</v>
      </c>
    </row>
    <row r="2163" spans="1:5">
      <c r="A2163" s="247">
        <v>41677.918067129627</v>
      </c>
      <c r="B2163" s="221">
        <v>8</v>
      </c>
      <c r="E2163" s="221">
        <v>90</v>
      </c>
    </row>
    <row r="2164" spans="1:5">
      <c r="A2164" s="247">
        <v>41677.959733796299</v>
      </c>
      <c r="B2164" s="221">
        <v>7.5</v>
      </c>
      <c r="E2164" s="221">
        <v>91.8</v>
      </c>
    </row>
    <row r="2165" spans="1:5">
      <c r="A2165" s="247">
        <v>41678.001400462963</v>
      </c>
      <c r="B2165" s="221">
        <v>7.5</v>
      </c>
      <c r="E2165" s="221">
        <v>90</v>
      </c>
    </row>
    <row r="2166" spans="1:5">
      <c r="A2166" s="247">
        <v>41678.043067129627</v>
      </c>
      <c r="B2166" s="221">
        <v>7.5</v>
      </c>
      <c r="E2166" s="221">
        <v>90</v>
      </c>
    </row>
    <row r="2167" spans="1:5">
      <c r="A2167" s="247">
        <v>41678.084733796299</v>
      </c>
      <c r="B2167" s="221">
        <v>7.5</v>
      </c>
      <c r="E2167" s="221">
        <v>85.8</v>
      </c>
    </row>
    <row r="2168" spans="1:5">
      <c r="A2168" s="247">
        <v>41678.126400462963</v>
      </c>
      <c r="B2168" s="221">
        <v>8</v>
      </c>
      <c r="E2168" s="221">
        <v>80.400000000000006</v>
      </c>
    </row>
    <row r="2169" spans="1:5">
      <c r="A2169" s="247">
        <v>41678.168067129627</v>
      </c>
      <c r="B2169" s="221">
        <v>8.5</v>
      </c>
      <c r="E2169" s="221">
        <v>78</v>
      </c>
    </row>
    <row r="2170" spans="1:5">
      <c r="A2170" s="247">
        <v>41678.209733796299</v>
      </c>
      <c r="B2170" s="221">
        <v>8.5</v>
      </c>
      <c r="E2170" s="221">
        <v>77.400000000000006</v>
      </c>
    </row>
    <row r="2171" spans="1:5">
      <c r="A2171" s="247">
        <v>41678.251400462963</v>
      </c>
      <c r="B2171" s="221">
        <v>9</v>
      </c>
      <c r="E2171" s="221">
        <v>75.599999999999994</v>
      </c>
    </row>
    <row r="2172" spans="1:5">
      <c r="A2172" s="247">
        <v>41678.293067129627</v>
      </c>
      <c r="B2172" s="221">
        <v>7.5</v>
      </c>
      <c r="E2172" s="221">
        <v>82.2</v>
      </c>
    </row>
    <row r="2173" spans="1:5">
      <c r="A2173" s="247">
        <v>41678.334733796299</v>
      </c>
      <c r="B2173" s="221">
        <v>6</v>
      </c>
      <c r="E2173" s="221">
        <v>96.6</v>
      </c>
    </row>
    <row r="2174" spans="1:5">
      <c r="A2174" s="247">
        <v>41678.376400462963</v>
      </c>
      <c r="B2174" s="221">
        <v>6.5</v>
      </c>
      <c r="E2174" s="221">
        <v>96.6</v>
      </c>
    </row>
    <row r="2175" spans="1:5">
      <c r="A2175" s="247">
        <v>41678.418067129627</v>
      </c>
      <c r="B2175" s="221">
        <v>6.5</v>
      </c>
      <c r="E2175" s="221">
        <v>98.4</v>
      </c>
    </row>
    <row r="2176" spans="1:5">
      <c r="A2176" s="247">
        <v>41678.459733796299</v>
      </c>
      <c r="B2176" s="221">
        <v>7</v>
      </c>
      <c r="E2176" s="221">
        <v>100.2</v>
      </c>
    </row>
    <row r="2177" spans="1:5">
      <c r="A2177" s="247">
        <v>41678.501400462963</v>
      </c>
      <c r="B2177" s="221">
        <v>7</v>
      </c>
      <c r="E2177" s="221">
        <v>102.6</v>
      </c>
    </row>
    <row r="2178" spans="1:5">
      <c r="A2178" s="247">
        <v>41678.543067129627</v>
      </c>
      <c r="B2178" s="221">
        <v>7.5</v>
      </c>
      <c r="E2178" s="221">
        <v>102</v>
      </c>
    </row>
    <row r="2179" spans="1:5">
      <c r="A2179" s="247">
        <v>41678.584733796299</v>
      </c>
      <c r="B2179" s="221">
        <v>8</v>
      </c>
      <c r="E2179" s="221">
        <v>95.4</v>
      </c>
    </row>
    <row r="2180" spans="1:5">
      <c r="A2180" s="247">
        <v>41678.626400462963</v>
      </c>
      <c r="B2180" s="221">
        <v>8.5</v>
      </c>
      <c r="E2180" s="221">
        <v>94.2</v>
      </c>
    </row>
    <row r="2181" spans="1:5">
      <c r="A2181" s="247">
        <v>41678.668067129627</v>
      </c>
      <c r="B2181" s="221">
        <v>5.5</v>
      </c>
      <c r="E2181" s="221">
        <v>100.2</v>
      </c>
    </row>
    <row r="2182" spans="1:5">
      <c r="A2182" s="247">
        <v>41678.709733796299</v>
      </c>
      <c r="B2182" s="221">
        <v>8</v>
      </c>
      <c r="E2182" s="221">
        <v>93</v>
      </c>
    </row>
    <row r="2183" spans="1:5">
      <c r="A2183" s="247">
        <v>41678.751400462963</v>
      </c>
      <c r="B2183" s="221">
        <v>7.5</v>
      </c>
      <c r="E2183" s="221">
        <v>87.6</v>
      </c>
    </row>
    <row r="2184" spans="1:5">
      <c r="A2184" s="247">
        <v>41678.793067129627</v>
      </c>
      <c r="B2184" s="221">
        <v>5</v>
      </c>
      <c r="E2184" s="221">
        <v>98.4</v>
      </c>
    </row>
    <row r="2185" spans="1:5">
      <c r="A2185" s="247">
        <v>41678.834733796299</v>
      </c>
      <c r="B2185" s="221">
        <v>5</v>
      </c>
      <c r="E2185" s="221">
        <v>97.8</v>
      </c>
    </row>
    <row r="2186" spans="1:5">
      <c r="A2186" s="247">
        <v>41678.876400462963</v>
      </c>
      <c r="B2186" s="221">
        <v>5</v>
      </c>
      <c r="E2186" s="221">
        <v>94.2</v>
      </c>
    </row>
    <row r="2187" spans="1:5">
      <c r="A2187" s="247">
        <v>41678.918067129627</v>
      </c>
      <c r="B2187" s="221">
        <v>4</v>
      </c>
      <c r="E2187" s="221">
        <v>98.4</v>
      </c>
    </row>
    <row r="2188" spans="1:5">
      <c r="A2188" s="247">
        <v>41678.959733796299</v>
      </c>
      <c r="B2188" s="221">
        <v>5.5</v>
      </c>
      <c r="E2188" s="221">
        <v>91.8</v>
      </c>
    </row>
    <row r="2189" spans="1:5">
      <c r="A2189" s="247">
        <v>41679.001400462963</v>
      </c>
      <c r="B2189" s="221">
        <v>4</v>
      </c>
      <c r="E2189" s="221">
        <v>99</v>
      </c>
    </row>
    <row r="2190" spans="1:5">
      <c r="A2190" s="247">
        <v>41679.043067129627</v>
      </c>
      <c r="B2190" s="221">
        <v>3.5</v>
      </c>
      <c r="E2190" s="221">
        <v>101.4</v>
      </c>
    </row>
    <row r="2191" spans="1:5">
      <c r="A2191" s="247">
        <v>41679.084733796299</v>
      </c>
      <c r="B2191" s="221">
        <v>3.5</v>
      </c>
      <c r="E2191" s="221">
        <v>102</v>
      </c>
    </row>
    <row r="2192" spans="1:5">
      <c r="A2192" s="247">
        <v>41679.126400462963</v>
      </c>
      <c r="B2192" s="221">
        <v>3.5</v>
      </c>
      <c r="E2192" s="221">
        <v>103.2</v>
      </c>
    </row>
    <row r="2193" spans="1:5">
      <c r="A2193" s="247">
        <v>41679.168067129627</v>
      </c>
      <c r="B2193" s="221">
        <v>3.5</v>
      </c>
      <c r="E2193" s="221">
        <v>102</v>
      </c>
    </row>
    <row r="2194" spans="1:5">
      <c r="A2194" s="247">
        <v>41679.209733796299</v>
      </c>
      <c r="B2194" s="221">
        <v>3</v>
      </c>
      <c r="E2194" s="221">
        <v>102</v>
      </c>
    </row>
    <row r="2195" spans="1:5">
      <c r="A2195" s="247">
        <v>41679.251400462963</v>
      </c>
      <c r="B2195" s="221">
        <v>3</v>
      </c>
      <c r="E2195" s="221">
        <v>103.2</v>
      </c>
    </row>
    <row r="2196" spans="1:5">
      <c r="A2196" s="247">
        <v>41679.293067129627</v>
      </c>
      <c r="B2196" s="221">
        <v>3</v>
      </c>
      <c r="E2196" s="221">
        <v>103.2</v>
      </c>
    </row>
    <row r="2197" spans="1:5">
      <c r="A2197" s="247">
        <v>41679.334733796299</v>
      </c>
      <c r="B2197" s="221">
        <v>2.5</v>
      </c>
      <c r="E2197" s="221">
        <v>103.2</v>
      </c>
    </row>
    <row r="2198" spans="1:5">
      <c r="A2198" s="247">
        <v>41679.376400462963</v>
      </c>
      <c r="B2198" s="221">
        <v>3.5</v>
      </c>
      <c r="E2198" s="221">
        <v>101.4</v>
      </c>
    </row>
    <row r="2199" spans="1:5">
      <c r="A2199" s="247">
        <v>41679.418067129627</v>
      </c>
      <c r="B2199" s="221">
        <v>3</v>
      </c>
      <c r="E2199" s="221">
        <v>102</v>
      </c>
    </row>
    <row r="2200" spans="1:5">
      <c r="A2200" s="247">
        <v>41679.459733796299</v>
      </c>
      <c r="B2200" s="221">
        <v>5.5</v>
      </c>
      <c r="E2200" s="221">
        <v>92.4</v>
      </c>
    </row>
    <row r="2201" spans="1:5">
      <c r="A2201" s="247">
        <v>41679.501400462963</v>
      </c>
      <c r="B2201" s="221">
        <v>8</v>
      </c>
      <c r="E2201" s="221">
        <v>85.2</v>
      </c>
    </row>
    <row r="2202" spans="1:5">
      <c r="A2202" s="247">
        <v>41679.543067129627</v>
      </c>
      <c r="B2202" s="221">
        <v>7.5</v>
      </c>
      <c r="E2202" s="221">
        <v>85.2</v>
      </c>
    </row>
    <row r="2203" spans="1:5">
      <c r="A2203" s="247">
        <v>41679.584733796299</v>
      </c>
      <c r="B2203" s="221">
        <v>6.5</v>
      </c>
      <c r="E2203" s="221">
        <v>96.6</v>
      </c>
    </row>
    <row r="2204" spans="1:5">
      <c r="A2204" s="247">
        <v>41679.626400462963</v>
      </c>
      <c r="B2204" s="221">
        <v>7.5</v>
      </c>
      <c r="E2204" s="221">
        <v>96</v>
      </c>
    </row>
    <row r="2205" spans="1:5">
      <c r="A2205" s="247">
        <v>41679.668067129627</v>
      </c>
      <c r="B2205" s="221">
        <v>8.5</v>
      </c>
      <c r="E2205" s="221">
        <v>91.2</v>
      </c>
    </row>
    <row r="2206" spans="1:5">
      <c r="A2206" s="247">
        <v>41679.709733796299</v>
      </c>
      <c r="B2206" s="221">
        <v>7.5</v>
      </c>
      <c r="E2206" s="221">
        <v>91.2</v>
      </c>
    </row>
    <row r="2207" spans="1:5">
      <c r="A2207" s="247">
        <v>41679.751400462963</v>
      </c>
      <c r="B2207" s="221">
        <v>6.5</v>
      </c>
      <c r="E2207" s="221">
        <v>94.8</v>
      </c>
    </row>
    <row r="2208" spans="1:5">
      <c r="A2208" s="247">
        <v>41679.793067129627</v>
      </c>
      <c r="B2208" s="221">
        <v>7</v>
      </c>
      <c r="E2208" s="221">
        <v>90.6</v>
      </c>
    </row>
    <row r="2209" spans="1:5">
      <c r="A2209" s="247">
        <v>41679.834733796299</v>
      </c>
      <c r="B2209" s="221">
        <v>5</v>
      </c>
      <c r="E2209" s="221">
        <v>95.4</v>
      </c>
    </row>
    <row r="2210" spans="1:5">
      <c r="A2210" s="247">
        <v>41679.876400462963</v>
      </c>
      <c r="B2210" s="221">
        <v>4.5</v>
      </c>
      <c r="E2210" s="221">
        <v>98.4</v>
      </c>
    </row>
    <row r="2211" spans="1:5">
      <c r="A2211" s="247">
        <v>41679.918067129627</v>
      </c>
      <c r="B2211" s="221">
        <v>4.5</v>
      </c>
      <c r="E2211" s="221">
        <v>97.2</v>
      </c>
    </row>
    <row r="2212" spans="1:5">
      <c r="A2212" s="247">
        <v>41679.959733796299</v>
      </c>
      <c r="B2212" s="221">
        <v>4.5</v>
      </c>
      <c r="E2212" s="221">
        <v>96</v>
      </c>
    </row>
    <row r="2213" spans="1:5">
      <c r="A2213" s="247">
        <v>41680.001400462963</v>
      </c>
      <c r="B2213" s="221">
        <v>5</v>
      </c>
      <c r="E2213" s="221">
        <v>91.8</v>
      </c>
    </row>
    <row r="2214" spans="1:5">
      <c r="A2214" s="247">
        <v>41680.043067129627</v>
      </c>
      <c r="B2214" s="221">
        <v>4</v>
      </c>
      <c r="E2214" s="221">
        <v>94.8</v>
      </c>
    </row>
    <row r="2215" spans="1:5">
      <c r="A2215" s="247">
        <v>41680.084733796299</v>
      </c>
      <c r="B2215" s="221">
        <v>4</v>
      </c>
      <c r="E2215" s="221">
        <v>93.6</v>
      </c>
    </row>
    <row r="2216" spans="1:5">
      <c r="A2216" s="247">
        <v>41680.126400462963</v>
      </c>
      <c r="B2216" s="221">
        <v>4</v>
      </c>
      <c r="E2216" s="221">
        <v>94.2</v>
      </c>
    </row>
    <row r="2217" spans="1:5">
      <c r="A2217" s="247">
        <v>41680.168067129627</v>
      </c>
      <c r="B2217" s="221">
        <v>4</v>
      </c>
      <c r="E2217" s="221">
        <v>94.2</v>
      </c>
    </row>
    <row r="2218" spans="1:5">
      <c r="A2218" s="247">
        <v>41680.209733796299</v>
      </c>
      <c r="B2218" s="221">
        <v>4</v>
      </c>
      <c r="E2218" s="221">
        <v>95.4</v>
      </c>
    </row>
    <row r="2219" spans="1:5">
      <c r="A2219" s="247">
        <v>41680.251400462963</v>
      </c>
      <c r="B2219" s="221">
        <v>4</v>
      </c>
      <c r="E2219" s="221">
        <v>96.6</v>
      </c>
    </row>
    <row r="2220" spans="1:5">
      <c r="A2220" s="247">
        <v>41680.293067129627</v>
      </c>
      <c r="B2220" s="221">
        <v>4</v>
      </c>
      <c r="E2220" s="221">
        <v>102.6</v>
      </c>
    </row>
    <row r="2221" spans="1:5">
      <c r="A2221" s="247">
        <v>41680.334733796299</v>
      </c>
      <c r="B2221" s="221">
        <v>4</v>
      </c>
      <c r="E2221" s="221">
        <v>103.8</v>
      </c>
    </row>
    <row r="2222" spans="1:5">
      <c r="A2222" s="247">
        <v>41680.376400462963</v>
      </c>
      <c r="B2222" s="221">
        <v>4.5</v>
      </c>
      <c r="E2222" s="221">
        <v>104.4</v>
      </c>
    </row>
    <row r="2223" spans="1:5">
      <c r="A2223" s="247">
        <v>41680.418067129627</v>
      </c>
      <c r="B2223" s="221">
        <v>5</v>
      </c>
      <c r="E2223" s="221">
        <v>105.6</v>
      </c>
    </row>
    <row r="2224" spans="1:5">
      <c r="A2224" s="247">
        <v>41680.459733796299</v>
      </c>
      <c r="B2224" s="221">
        <v>5</v>
      </c>
      <c r="E2224" s="221">
        <v>105.6</v>
      </c>
    </row>
    <row r="2225" spans="1:5">
      <c r="A2225" s="247">
        <v>41680.501400462963</v>
      </c>
      <c r="B2225" s="221">
        <v>5.5</v>
      </c>
      <c r="E2225" s="221">
        <v>105.6</v>
      </c>
    </row>
    <row r="2226" spans="1:5">
      <c r="A2226" s="247">
        <v>41680.543067129627</v>
      </c>
      <c r="B2226" s="221">
        <v>6.5</v>
      </c>
      <c r="E2226" s="221">
        <v>104.4</v>
      </c>
    </row>
    <row r="2227" spans="1:5">
      <c r="A2227" s="247">
        <v>41680.584733796299</v>
      </c>
      <c r="B2227" s="221">
        <v>6.5</v>
      </c>
      <c r="E2227" s="221">
        <v>103.8</v>
      </c>
    </row>
    <row r="2228" spans="1:5">
      <c r="A2228" s="247">
        <v>41680.626400462963</v>
      </c>
      <c r="B2228" s="221">
        <v>5.5</v>
      </c>
      <c r="E2228" s="221">
        <v>103.8</v>
      </c>
    </row>
    <row r="2229" spans="1:5">
      <c r="A2229" s="247">
        <v>41680.668067129627</v>
      </c>
      <c r="B2229" s="221">
        <v>5</v>
      </c>
      <c r="E2229" s="221">
        <v>105</v>
      </c>
    </row>
    <row r="2230" spans="1:5">
      <c r="A2230" s="247">
        <v>41680.709733796299</v>
      </c>
      <c r="B2230" s="221">
        <v>6</v>
      </c>
      <c r="E2230" s="221">
        <v>103.2</v>
      </c>
    </row>
    <row r="2231" spans="1:5">
      <c r="A2231" s="247">
        <v>41680.751400462963</v>
      </c>
      <c r="B2231" s="221">
        <v>6</v>
      </c>
      <c r="E2231" s="221">
        <v>102</v>
      </c>
    </row>
    <row r="2232" spans="1:5">
      <c r="A2232" s="247">
        <v>41680.793067129627</v>
      </c>
      <c r="B2232" s="221">
        <v>6</v>
      </c>
      <c r="E2232" s="221">
        <v>102</v>
      </c>
    </row>
    <row r="2233" spans="1:5">
      <c r="A2233" s="247">
        <v>41680.834733796299</v>
      </c>
      <c r="B2233" s="221">
        <v>5</v>
      </c>
      <c r="E2233" s="221">
        <v>102.6</v>
      </c>
    </row>
    <row r="2234" spans="1:5">
      <c r="A2234" s="247">
        <v>41680.876400462963</v>
      </c>
      <c r="B2234" s="221">
        <v>4.5</v>
      </c>
      <c r="E2234" s="221">
        <v>103.2</v>
      </c>
    </row>
    <row r="2235" spans="1:5">
      <c r="A2235" s="247">
        <v>41680.918067129627</v>
      </c>
      <c r="B2235" s="221">
        <v>5.5</v>
      </c>
      <c r="E2235" s="221">
        <v>101.4</v>
      </c>
    </row>
    <row r="2236" spans="1:5">
      <c r="A2236" s="247">
        <v>41680.959733796299</v>
      </c>
      <c r="B2236" s="221">
        <v>4</v>
      </c>
      <c r="E2236" s="221">
        <v>102.6</v>
      </c>
    </row>
    <row r="2237" spans="1:5">
      <c r="A2237" s="247">
        <v>41681.001400462963</v>
      </c>
      <c r="B2237" s="221">
        <v>3.5</v>
      </c>
      <c r="E2237" s="221">
        <v>103.8</v>
      </c>
    </row>
    <row r="2238" spans="1:5">
      <c r="A2238" s="247">
        <v>41681.043067129627</v>
      </c>
      <c r="B2238" s="221">
        <v>4</v>
      </c>
      <c r="E2238" s="221">
        <v>103.8</v>
      </c>
    </row>
    <row r="2239" spans="1:5">
      <c r="A2239" s="247">
        <v>41681.084733796299</v>
      </c>
      <c r="B2239" s="221">
        <v>3</v>
      </c>
      <c r="E2239" s="221">
        <v>103.8</v>
      </c>
    </row>
    <row r="2240" spans="1:5">
      <c r="A2240" s="247">
        <v>41681.126400462963</v>
      </c>
      <c r="B2240" s="221">
        <v>3.5</v>
      </c>
      <c r="E2240" s="221">
        <v>103.8</v>
      </c>
    </row>
    <row r="2241" spans="1:5">
      <c r="A2241" s="247">
        <v>41681.168067129627</v>
      </c>
      <c r="B2241" s="221">
        <v>3</v>
      </c>
      <c r="E2241" s="221">
        <v>105</v>
      </c>
    </row>
    <row r="2242" spans="1:5">
      <c r="A2242" s="247">
        <v>41681.209733796299</v>
      </c>
      <c r="B2242" s="221">
        <v>2.5</v>
      </c>
      <c r="E2242" s="221">
        <v>105.6</v>
      </c>
    </row>
    <row r="2243" spans="1:5">
      <c r="A2243" s="247">
        <v>41681.251400462963</v>
      </c>
      <c r="B2243" s="221">
        <v>1.5</v>
      </c>
      <c r="E2243" s="221">
        <v>106.8</v>
      </c>
    </row>
    <row r="2244" spans="1:5">
      <c r="A2244" s="247">
        <v>41681.293067129627</v>
      </c>
      <c r="B2244" s="221">
        <v>0.5</v>
      </c>
      <c r="E2244" s="221">
        <v>106.2</v>
      </c>
    </row>
    <row r="2245" spans="1:5">
      <c r="A2245" s="247">
        <v>41681.334733796299</v>
      </c>
      <c r="B2245" s="221">
        <v>0.5</v>
      </c>
      <c r="E2245" s="221">
        <v>106.8</v>
      </c>
    </row>
    <row r="2246" spans="1:5">
      <c r="A2246" s="247">
        <v>41681.376400462963</v>
      </c>
      <c r="B2246" s="221">
        <v>0.5</v>
      </c>
      <c r="E2246" s="221">
        <v>106.8</v>
      </c>
    </row>
    <row r="2247" spans="1:5">
      <c r="A2247" s="247">
        <v>41681.418067129627</v>
      </c>
      <c r="B2247" s="221">
        <v>2.5</v>
      </c>
      <c r="E2247" s="221">
        <v>104.4</v>
      </c>
    </row>
    <row r="2248" spans="1:5">
      <c r="A2248" s="247">
        <v>41681.459733796299</v>
      </c>
      <c r="B2248" s="221">
        <v>6</v>
      </c>
      <c r="E2248" s="221">
        <v>90.6</v>
      </c>
    </row>
    <row r="2249" spans="1:5">
      <c r="A2249" s="247">
        <v>41681.501400462963</v>
      </c>
      <c r="B2249" s="221">
        <v>7</v>
      </c>
      <c r="E2249" s="221">
        <v>90</v>
      </c>
    </row>
    <row r="2250" spans="1:5">
      <c r="A2250" s="247">
        <v>41681.543067129627</v>
      </c>
      <c r="B2250" s="221">
        <v>7</v>
      </c>
      <c r="E2250" s="221">
        <v>88.8</v>
      </c>
    </row>
    <row r="2251" spans="1:5">
      <c r="A2251" s="247">
        <v>41681.584733796299</v>
      </c>
      <c r="B2251" s="221">
        <v>8</v>
      </c>
      <c r="E2251" s="221">
        <v>85.8</v>
      </c>
    </row>
    <row r="2252" spans="1:5">
      <c r="A2252" s="247">
        <v>41681.626400462963</v>
      </c>
      <c r="B2252" s="221">
        <v>7.5</v>
      </c>
      <c r="E2252" s="221">
        <v>85.8</v>
      </c>
    </row>
    <row r="2253" spans="1:5">
      <c r="A2253" s="247">
        <v>41681.668067129627</v>
      </c>
      <c r="B2253" s="221">
        <v>7</v>
      </c>
      <c r="E2253" s="221">
        <v>84.6</v>
      </c>
    </row>
    <row r="2254" spans="1:5">
      <c r="A2254" s="247">
        <v>41681.709733796299</v>
      </c>
      <c r="B2254" s="221">
        <v>6</v>
      </c>
      <c r="E2254" s="221">
        <v>86.4</v>
      </c>
    </row>
    <row r="2255" spans="1:5">
      <c r="A2255" s="247">
        <v>41681.751400462963</v>
      </c>
      <c r="B2255" s="221">
        <v>5</v>
      </c>
      <c r="E2255" s="221">
        <v>98.4</v>
      </c>
    </row>
    <row r="2256" spans="1:5">
      <c r="A2256" s="247">
        <v>41681.793067129627</v>
      </c>
      <c r="B2256" s="221">
        <v>4.5</v>
      </c>
      <c r="E2256" s="221">
        <v>102</v>
      </c>
    </row>
    <row r="2257" spans="1:5">
      <c r="A2257" s="247">
        <v>41681.834733796299</v>
      </c>
      <c r="B2257" s="221">
        <v>4.5</v>
      </c>
      <c r="E2257" s="221">
        <v>103.2</v>
      </c>
    </row>
    <row r="2258" spans="1:5">
      <c r="A2258" s="247">
        <v>41681.876400462963</v>
      </c>
      <c r="B2258" s="221">
        <v>4.5</v>
      </c>
      <c r="E2258" s="221">
        <v>104.4</v>
      </c>
    </row>
    <row r="2259" spans="1:5">
      <c r="A2259" s="247">
        <v>41681.918067129627</v>
      </c>
      <c r="B2259" s="221">
        <v>4.5</v>
      </c>
      <c r="E2259" s="221">
        <v>105</v>
      </c>
    </row>
    <row r="2260" spans="1:5">
      <c r="A2260" s="247">
        <v>41681.959733796299</v>
      </c>
      <c r="B2260" s="221">
        <v>4.5</v>
      </c>
      <c r="E2260" s="221">
        <v>105</v>
      </c>
    </row>
    <row r="2261" spans="1:5">
      <c r="A2261" s="247">
        <v>41682.001400462963</v>
      </c>
      <c r="B2261" s="221">
        <v>5</v>
      </c>
      <c r="E2261" s="221">
        <v>105.6</v>
      </c>
    </row>
    <row r="2262" spans="1:5">
      <c r="A2262" s="247">
        <v>41682.043067129627</v>
      </c>
      <c r="B2262" s="221">
        <v>4.5</v>
      </c>
      <c r="E2262" s="221">
        <v>105.6</v>
      </c>
    </row>
    <row r="2263" spans="1:5">
      <c r="A2263" s="247">
        <v>41682.084733796299</v>
      </c>
      <c r="B2263" s="221">
        <v>3.5</v>
      </c>
      <c r="E2263" s="221">
        <v>105.6</v>
      </c>
    </row>
    <row r="2264" spans="1:5">
      <c r="A2264" s="247">
        <v>41682.126400462963</v>
      </c>
      <c r="B2264" s="221">
        <v>2.5</v>
      </c>
      <c r="E2264" s="221">
        <v>105.6</v>
      </c>
    </row>
    <row r="2265" spans="1:5">
      <c r="A2265" s="247">
        <v>41682.168067129627</v>
      </c>
      <c r="B2265" s="221">
        <v>3</v>
      </c>
      <c r="E2265" s="221">
        <v>106.2</v>
      </c>
    </row>
    <row r="2266" spans="1:5">
      <c r="A2266" s="247">
        <v>41682.209733796299</v>
      </c>
      <c r="B2266" s="221">
        <v>3</v>
      </c>
      <c r="E2266" s="221">
        <v>106.2</v>
      </c>
    </row>
    <row r="2267" spans="1:5">
      <c r="A2267" s="247">
        <v>41682.251400462963</v>
      </c>
      <c r="B2267" s="221">
        <v>2</v>
      </c>
      <c r="E2267" s="221">
        <v>106.2</v>
      </c>
    </row>
    <row r="2268" spans="1:5">
      <c r="A2268" s="247">
        <v>41682.293067129627</v>
      </c>
      <c r="B2268" s="221">
        <v>0.5</v>
      </c>
      <c r="E2268" s="221">
        <v>106.8</v>
      </c>
    </row>
    <row r="2269" spans="1:5">
      <c r="A2269" s="247">
        <v>41682.334733796299</v>
      </c>
      <c r="B2269" s="221">
        <v>0</v>
      </c>
      <c r="E2269" s="221">
        <v>106.8</v>
      </c>
    </row>
    <row r="2270" spans="1:5">
      <c r="A2270" s="247">
        <v>41682.376400462963</v>
      </c>
      <c r="B2270" s="221">
        <v>0.5</v>
      </c>
      <c r="E2270" s="221">
        <v>106.8</v>
      </c>
    </row>
    <row r="2271" spans="1:5">
      <c r="A2271" s="247">
        <v>41682.418067129627</v>
      </c>
      <c r="B2271" s="221">
        <v>1.5</v>
      </c>
      <c r="E2271" s="221">
        <v>106.8</v>
      </c>
    </row>
    <row r="2272" spans="1:5">
      <c r="A2272" s="247">
        <v>41682.459733796299</v>
      </c>
      <c r="B2272" s="221">
        <v>4</v>
      </c>
      <c r="E2272" s="221">
        <v>104.4</v>
      </c>
    </row>
    <row r="2273" spans="1:5">
      <c r="A2273" s="247">
        <v>41682.501400462963</v>
      </c>
      <c r="B2273" s="221">
        <v>9</v>
      </c>
      <c r="E2273" s="221">
        <v>84</v>
      </c>
    </row>
    <row r="2274" spans="1:5">
      <c r="A2274" s="247">
        <v>41682.543067129627</v>
      </c>
      <c r="B2274" s="221">
        <v>11</v>
      </c>
      <c r="E2274" s="221">
        <v>70.2</v>
      </c>
    </row>
    <row r="2275" spans="1:5">
      <c r="A2275" s="247">
        <v>41682.584733796299</v>
      </c>
      <c r="B2275" s="221">
        <v>11</v>
      </c>
      <c r="E2275" s="221">
        <v>73.2</v>
      </c>
    </row>
    <row r="2276" spans="1:5">
      <c r="A2276" s="247">
        <v>41682.626400462963</v>
      </c>
      <c r="B2276" s="221">
        <v>9.5</v>
      </c>
      <c r="E2276" s="221">
        <v>77.400000000000006</v>
      </c>
    </row>
    <row r="2277" spans="1:5">
      <c r="A2277" s="247">
        <v>41682.668067129627</v>
      </c>
      <c r="B2277" s="221">
        <v>9</v>
      </c>
      <c r="E2277" s="221">
        <v>79.8</v>
      </c>
    </row>
    <row r="2278" spans="1:5">
      <c r="A2278" s="247">
        <v>41682.709733796299</v>
      </c>
      <c r="B2278" s="221">
        <v>9</v>
      </c>
      <c r="E2278" s="221">
        <v>75</v>
      </c>
    </row>
    <row r="2279" spans="1:5">
      <c r="A2279" s="247">
        <v>41682.751400462963</v>
      </c>
      <c r="B2279" s="221">
        <v>8</v>
      </c>
      <c r="E2279" s="221">
        <v>80.400000000000006</v>
      </c>
    </row>
    <row r="2280" spans="1:5">
      <c r="A2280" s="247">
        <v>41682.793067129627</v>
      </c>
      <c r="B2280" s="221">
        <v>7.5</v>
      </c>
      <c r="E2280" s="221">
        <v>82.8</v>
      </c>
    </row>
    <row r="2281" spans="1:5">
      <c r="A2281" s="247">
        <v>41682.834733796299</v>
      </c>
      <c r="B2281" s="221">
        <v>7</v>
      </c>
      <c r="E2281" s="221">
        <v>91.2</v>
      </c>
    </row>
    <row r="2282" spans="1:5">
      <c r="A2282" s="247">
        <v>41682.876400462963</v>
      </c>
      <c r="B2282" s="221">
        <v>8</v>
      </c>
      <c r="E2282" s="221">
        <v>85.8</v>
      </c>
    </row>
    <row r="2283" spans="1:5">
      <c r="A2283" s="247">
        <v>41682.918067129627</v>
      </c>
      <c r="B2283" s="221">
        <v>7.5</v>
      </c>
      <c r="E2283" s="221">
        <v>93.6</v>
      </c>
    </row>
    <row r="2284" spans="1:5">
      <c r="A2284" s="247">
        <v>41682.959733796299</v>
      </c>
      <c r="B2284" s="221">
        <v>7.5</v>
      </c>
      <c r="E2284" s="221">
        <v>97.2</v>
      </c>
    </row>
    <row r="2285" spans="1:5">
      <c r="A2285" s="247">
        <v>41683.001400462963</v>
      </c>
      <c r="B2285" s="221">
        <v>7.5</v>
      </c>
      <c r="E2285" s="221">
        <v>100.2</v>
      </c>
    </row>
    <row r="2286" spans="1:5">
      <c r="A2286" s="247">
        <v>41683.043067129627</v>
      </c>
      <c r="B2286" s="221">
        <v>7.5</v>
      </c>
      <c r="E2286" s="221">
        <v>97.8</v>
      </c>
    </row>
    <row r="2287" spans="1:5">
      <c r="A2287" s="247">
        <v>41683.084733796299</v>
      </c>
      <c r="B2287" s="221">
        <v>7</v>
      </c>
      <c r="E2287" s="221">
        <v>99.6</v>
      </c>
    </row>
    <row r="2288" spans="1:5">
      <c r="A2288" s="247">
        <v>41683.126400462963</v>
      </c>
      <c r="B2288" s="221">
        <v>7</v>
      </c>
      <c r="E2288" s="221">
        <v>101.4</v>
      </c>
    </row>
    <row r="2289" spans="1:5">
      <c r="A2289" s="247">
        <v>41683.168067129627</v>
      </c>
      <c r="B2289" s="221">
        <v>7</v>
      </c>
      <c r="E2289" s="221">
        <v>101.4</v>
      </c>
    </row>
    <row r="2290" spans="1:5">
      <c r="A2290" s="247">
        <v>41683.209733796299</v>
      </c>
      <c r="B2290" s="221">
        <v>7</v>
      </c>
      <c r="E2290" s="221">
        <v>100.8</v>
      </c>
    </row>
    <row r="2291" spans="1:5">
      <c r="A2291" s="247">
        <v>41683.251400462963</v>
      </c>
      <c r="B2291" s="221">
        <v>7.5</v>
      </c>
      <c r="E2291" s="221">
        <v>98.4</v>
      </c>
    </row>
    <row r="2292" spans="1:5">
      <c r="A2292" s="247">
        <v>41683.293067129627</v>
      </c>
      <c r="B2292" s="221">
        <v>7</v>
      </c>
      <c r="E2292" s="221">
        <v>103.2</v>
      </c>
    </row>
    <row r="2293" spans="1:5">
      <c r="A2293" s="247">
        <v>41683.334733796299</v>
      </c>
      <c r="B2293" s="221">
        <v>7.5</v>
      </c>
      <c r="E2293" s="221">
        <v>103.2</v>
      </c>
    </row>
    <row r="2294" spans="1:5">
      <c r="A2294" s="247">
        <v>41683.376400462963</v>
      </c>
      <c r="B2294" s="221">
        <v>7.5</v>
      </c>
      <c r="E2294" s="221">
        <v>104.4</v>
      </c>
    </row>
    <row r="2295" spans="1:5">
      <c r="A2295" s="247">
        <v>41683.418067129627</v>
      </c>
      <c r="B2295" s="221">
        <v>8.5</v>
      </c>
      <c r="E2295" s="221">
        <v>105</v>
      </c>
    </row>
    <row r="2296" spans="1:5">
      <c r="A2296" s="247">
        <v>41683.459733796299</v>
      </c>
      <c r="B2296" s="221">
        <v>8.5</v>
      </c>
      <c r="E2296" s="221">
        <v>104.4</v>
      </c>
    </row>
    <row r="2297" spans="1:5">
      <c r="A2297" s="247">
        <v>41683.501400462963</v>
      </c>
      <c r="B2297" s="221">
        <v>8.5</v>
      </c>
      <c r="E2297" s="221">
        <v>97.2</v>
      </c>
    </row>
    <row r="2298" spans="1:5">
      <c r="A2298" s="247">
        <v>41683.543067129627</v>
      </c>
      <c r="B2298" s="221">
        <v>11.5</v>
      </c>
      <c r="E2298" s="221">
        <v>87</v>
      </c>
    </row>
    <row r="2299" spans="1:5">
      <c r="A2299" s="247">
        <v>41683.584733796299</v>
      </c>
      <c r="B2299" s="221">
        <v>11.5</v>
      </c>
      <c r="E2299" s="221">
        <v>82.8</v>
      </c>
    </row>
    <row r="2300" spans="1:5">
      <c r="A2300" s="247">
        <v>41683.626400462963</v>
      </c>
      <c r="B2300" s="221">
        <v>10</v>
      </c>
      <c r="E2300" s="221">
        <v>85.2</v>
      </c>
    </row>
    <row r="2301" spans="1:5">
      <c r="A2301" s="247">
        <v>41683.668067129627</v>
      </c>
      <c r="B2301" s="221">
        <v>6</v>
      </c>
      <c r="E2301" s="221">
        <v>97.2</v>
      </c>
    </row>
    <row r="2302" spans="1:5">
      <c r="A2302" s="247">
        <v>41683.709733796299</v>
      </c>
      <c r="B2302" s="221">
        <v>9</v>
      </c>
      <c r="E2302" s="221">
        <v>88.8</v>
      </c>
    </row>
    <row r="2303" spans="1:5">
      <c r="A2303" s="247">
        <v>41683.751400462963</v>
      </c>
      <c r="B2303" s="221">
        <v>8.5</v>
      </c>
      <c r="E2303" s="221">
        <v>88.2</v>
      </c>
    </row>
    <row r="2304" spans="1:5">
      <c r="A2304" s="247">
        <v>41683.793067129627</v>
      </c>
      <c r="B2304" s="221">
        <v>7</v>
      </c>
      <c r="E2304" s="221">
        <v>88.8</v>
      </c>
    </row>
    <row r="2305" spans="1:5">
      <c r="A2305" s="247">
        <v>41683.834733796299</v>
      </c>
      <c r="B2305" s="221">
        <v>6</v>
      </c>
      <c r="E2305" s="221">
        <v>85.2</v>
      </c>
    </row>
    <row r="2306" spans="1:5">
      <c r="A2306" s="247">
        <v>41683.876400462963</v>
      </c>
      <c r="B2306" s="221">
        <v>4</v>
      </c>
      <c r="E2306" s="221">
        <v>96.6</v>
      </c>
    </row>
    <row r="2307" spans="1:5">
      <c r="A2307" s="247">
        <v>41683.918067129627</v>
      </c>
      <c r="B2307" s="221">
        <v>4.5</v>
      </c>
      <c r="E2307" s="221">
        <v>98.4</v>
      </c>
    </row>
    <row r="2308" spans="1:5">
      <c r="A2308" s="247">
        <v>41683.959733796299</v>
      </c>
      <c r="B2308" s="221">
        <v>4</v>
      </c>
      <c r="E2308" s="221">
        <v>98.4</v>
      </c>
    </row>
    <row r="2309" spans="1:5">
      <c r="A2309" s="247">
        <v>41684.001400462963</v>
      </c>
      <c r="B2309" s="221">
        <v>4</v>
      </c>
      <c r="E2309" s="221">
        <v>99</v>
      </c>
    </row>
    <row r="2310" spans="1:5">
      <c r="A2310" s="247">
        <v>41684.043067129627</v>
      </c>
      <c r="B2310" s="221">
        <v>4.5</v>
      </c>
      <c r="E2310" s="221">
        <v>100.2</v>
      </c>
    </row>
    <row r="2311" spans="1:5">
      <c r="A2311" s="247">
        <v>41684.084733796299</v>
      </c>
      <c r="B2311" s="221">
        <v>4.5</v>
      </c>
      <c r="E2311" s="221">
        <v>100.8</v>
      </c>
    </row>
    <row r="2312" spans="1:5">
      <c r="A2312" s="247">
        <v>41684.126400462963</v>
      </c>
      <c r="B2312" s="221">
        <v>5</v>
      </c>
      <c r="E2312" s="221">
        <v>99</v>
      </c>
    </row>
    <row r="2313" spans="1:5">
      <c r="A2313" s="247">
        <v>41684.168067129627</v>
      </c>
      <c r="B2313" s="221">
        <v>5</v>
      </c>
      <c r="E2313" s="221">
        <v>100.2</v>
      </c>
    </row>
    <row r="2314" spans="1:5">
      <c r="A2314" s="247">
        <v>41684.209733796299</v>
      </c>
      <c r="B2314" s="221">
        <v>5</v>
      </c>
      <c r="E2314" s="221">
        <v>102</v>
      </c>
    </row>
    <row r="2315" spans="1:5">
      <c r="A2315" s="247">
        <v>41684.251400462963</v>
      </c>
      <c r="B2315" s="221">
        <v>5</v>
      </c>
      <c r="E2315" s="221">
        <v>102</v>
      </c>
    </row>
    <row r="2316" spans="1:5">
      <c r="A2316" s="247">
        <v>41684.293067129627</v>
      </c>
      <c r="B2316" s="221">
        <v>5</v>
      </c>
      <c r="E2316" s="221">
        <v>102</v>
      </c>
    </row>
    <row r="2317" spans="1:5">
      <c r="A2317" s="247">
        <v>41684.334733796299</v>
      </c>
      <c r="B2317" s="221">
        <v>5</v>
      </c>
      <c r="E2317" s="221">
        <v>102</v>
      </c>
    </row>
    <row r="2318" spans="1:5">
      <c r="A2318" s="247">
        <v>41684.376400462963</v>
      </c>
      <c r="B2318" s="221">
        <v>5</v>
      </c>
      <c r="E2318" s="221">
        <v>103.8</v>
      </c>
    </row>
    <row r="2319" spans="1:5">
      <c r="A2319" s="247">
        <v>41684.418067129627</v>
      </c>
      <c r="B2319" s="221">
        <v>5.5</v>
      </c>
      <c r="E2319" s="221">
        <v>104.4</v>
      </c>
    </row>
    <row r="2320" spans="1:5">
      <c r="A2320" s="247">
        <v>41684.459733796299</v>
      </c>
      <c r="B2320" s="221">
        <v>6</v>
      </c>
      <c r="E2320" s="221">
        <v>104.4</v>
      </c>
    </row>
    <row r="2321" spans="1:5">
      <c r="A2321" s="247">
        <v>41684.501400462963</v>
      </c>
      <c r="B2321" s="221">
        <v>7.5</v>
      </c>
      <c r="E2321" s="221">
        <v>102</v>
      </c>
    </row>
    <row r="2322" spans="1:5">
      <c r="A2322" s="247">
        <v>41684.543067129627</v>
      </c>
      <c r="B2322" s="221">
        <v>11.5</v>
      </c>
      <c r="E2322" s="221">
        <v>91.2</v>
      </c>
    </row>
    <row r="2323" spans="1:5">
      <c r="A2323" s="247">
        <v>41684.584733796299</v>
      </c>
      <c r="B2323" s="221">
        <v>14</v>
      </c>
      <c r="E2323" s="221">
        <v>81.599999999999994</v>
      </c>
    </row>
    <row r="2324" spans="1:5">
      <c r="A2324" s="247">
        <v>41684.626400462963</v>
      </c>
      <c r="B2324" s="221">
        <v>15</v>
      </c>
      <c r="E2324" s="221">
        <v>78.599999999999994</v>
      </c>
    </row>
    <row r="2325" spans="1:5">
      <c r="A2325" s="247">
        <v>41684.668067129627</v>
      </c>
      <c r="B2325" s="221">
        <v>16</v>
      </c>
      <c r="E2325" s="221">
        <v>72.599999999999994</v>
      </c>
    </row>
    <row r="2326" spans="1:5">
      <c r="A2326" s="247">
        <v>41684.709733796299</v>
      </c>
      <c r="B2326" s="221">
        <v>16</v>
      </c>
      <c r="E2326" s="221">
        <v>76.2</v>
      </c>
    </row>
    <row r="2327" spans="1:5">
      <c r="A2327" s="247">
        <v>41684.751400462963</v>
      </c>
      <c r="B2327" s="221">
        <v>15</v>
      </c>
      <c r="E2327" s="221">
        <v>78</v>
      </c>
    </row>
    <row r="2328" spans="1:5">
      <c r="A2328" s="247">
        <v>41684.793067129627</v>
      </c>
      <c r="B2328" s="221">
        <v>15</v>
      </c>
      <c r="E2328" s="221">
        <v>73.8</v>
      </c>
    </row>
    <row r="2329" spans="1:5">
      <c r="A2329" s="247">
        <v>41684.834733796299</v>
      </c>
      <c r="B2329" s="221">
        <v>15</v>
      </c>
      <c r="E2329" s="221">
        <v>72</v>
      </c>
    </row>
    <row r="2330" spans="1:5">
      <c r="A2330" s="247">
        <v>41684.876400462963</v>
      </c>
      <c r="B2330" s="221">
        <v>14.5</v>
      </c>
      <c r="E2330" s="221">
        <v>73.2</v>
      </c>
    </row>
    <row r="2331" spans="1:5">
      <c r="A2331" s="247">
        <v>41684.918067129627</v>
      </c>
      <c r="B2331" s="221">
        <v>13.5</v>
      </c>
      <c r="E2331" s="221">
        <v>80.400000000000006</v>
      </c>
    </row>
    <row r="2332" spans="1:5">
      <c r="A2332" s="247">
        <v>41684.959733796299</v>
      </c>
      <c r="B2332" s="221">
        <v>11</v>
      </c>
      <c r="E2332" s="221">
        <v>94.2</v>
      </c>
    </row>
    <row r="2333" spans="1:5">
      <c r="A2333" s="247">
        <v>41685.001400462963</v>
      </c>
      <c r="B2333" s="221">
        <v>10.5</v>
      </c>
      <c r="E2333" s="221">
        <v>91.8</v>
      </c>
    </row>
    <row r="2334" spans="1:5">
      <c r="A2334" s="247">
        <v>41685.043067129627</v>
      </c>
      <c r="B2334" s="221">
        <v>10.5</v>
      </c>
      <c r="E2334" s="221">
        <v>88.8</v>
      </c>
    </row>
    <row r="2335" spans="1:5">
      <c r="A2335" s="247">
        <v>41685.084733796299</v>
      </c>
      <c r="B2335" s="221">
        <v>9.5</v>
      </c>
      <c r="E2335" s="221">
        <v>89.4</v>
      </c>
    </row>
    <row r="2336" spans="1:5">
      <c r="A2336" s="247">
        <v>41685.126400462963</v>
      </c>
      <c r="B2336" s="221">
        <v>9.5</v>
      </c>
      <c r="E2336" s="221">
        <v>86.4</v>
      </c>
    </row>
    <row r="2337" spans="1:5">
      <c r="A2337" s="247">
        <v>41685.168067129627</v>
      </c>
      <c r="B2337" s="221">
        <v>9.5</v>
      </c>
      <c r="E2337" s="221">
        <v>86.4</v>
      </c>
    </row>
    <row r="2338" spans="1:5">
      <c r="A2338" s="247">
        <v>41685.209733796299</v>
      </c>
      <c r="B2338" s="221">
        <v>9</v>
      </c>
      <c r="E2338" s="221">
        <v>88.2</v>
      </c>
    </row>
    <row r="2339" spans="1:5">
      <c r="A2339" s="247">
        <v>41685.251400462963</v>
      </c>
      <c r="B2339" s="221">
        <v>9</v>
      </c>
      <c r="E2339" s="221">
        <v>89.4</v>
      </c>
    </row>
    <row r="2340" spans="1:5">
      <c r="A2340" s="247">
        <v>41685.293067129627</v>
      </c>
      <c r="B2340" s="221">
        <v>9</v>
      </c>
      <c r="E2340" s="221">
        <v>91.8</v>
      </c>
    </row>
    <row r="2341" spans="1:5">
      <c r="A2341" s="247">
        <v>41685.334733796299</v>
      </c>
      <c r="B2341" s="221">
        <v>9</v>
      </c>
      <c r="E2341" s="221">
        <v>92.4</v>
      </c>
    </row>
    <row r="2342" spans="1:5">
      <c r="A2342" s="247">
        <v>41685.376400462963</v>
      </c>
      <c r="B2342" s="221">
        <v>8.5</v>
      </c>
      <c r="E2342" s="221">
        <v>93</v>
      </c>
    </row>
    <row r="2343" spans="1:5">
      <c r="A2343" s="247">
        <v>41685.418067129627</v>
      </c>
      <c r="B2343" s="221">
        <v>7.5</v>
      </c>
      <c r="E2343" s="221">
        <v>97.8</v>
      </c>
    </row>
    <row r="2344" spans="1:5">
      <c r="A2344" s="247">
        <v>41685.459733796299</v>
      </c>
      <c r="B2344" s="221">
        <v>8</v>
      </c>
      <c r="E2344" s="221">
        <v>98.4</v>
      </c>
    </row>
    <row r="2345" spans="1:5">
      <c r="A2345" s="247">
        <v>41685.501400462963</v>
      </c>
      <c r="B2345" s="221">
        <v>8.5</v>
      </c>
      <c r="E2345" s="221">
        <v>97.2</v>
      </c>
    </row>
    <row r="2346" spans="1:5">
      <c r="A2346" s="247">
        <v>41685.543067129627</v>
      </c>
      <c r="B2346" s="221">
        <v>9.5</v>
      </c>
      <c r="E2346" s="221">
        <v>93.6</v>
      </c>
    </row>
    <row r="2347" spans="1:5">
      <c r="A2347" s="247">
        <v>41685.584733796299</v>
      </c>
      <c r="B2347" s="221">
        <v>8</v>
      </c>
      <c r="E2347" s="221">
        <v>99</v>
      </c>
    </row>
    <row r="2348" spans="1:5">
      <c r="A2348" s="247">
        <v>41685.626400462963</v>
      </c>
      <c r="B2348" s="221">
        <v>7</v>
      </c>
      <c r="E2348" s="221">
        <v>100.2</v>
      </c>
    </row>
    <row r="2349" spans="1:5">
      <c r="A2349" s="247">
        <v>41685.668067129627</v>
      </c>
      <c r="B2349" s="221">
        <v>8.5</v>
      </c>
      <c r="E2349" s="221">
        <v>96</v>
      </c>
    </row>
    <row r="2350" spans="1:5">
      <c r="A2350" s="247">
        <v>41685.709733796299</v>
      </c>
      <c r="B2350" s="221">
        <v>8.5</v>
      </c>
      <c r="E2350" s="221">
        <v>91.2</v>
      </c>
    </row>
    <row r="2351" spans="1:5">
      <c r="A2351" s="247">
        <v>41685.751400462963</v>
      </c>
      <c r="B2351" s="221">
        <v>8.5</v>
      </c>
      <c r="E2351" s="221">
        <v>94.2</v>
      </c>
    </row>
    <row r="2352" spans="1:5">
      <c r="A2352" s="247">
        <v>41685.793067129627</v>
      </c>
      <c r="B2352" s="221">
        <v>8</v>
      </c>
      <c r="E2352" s="221">
        <v>94.8</v>
      </c>
    </row>
    <row r="2353" spans="1:5">
      <c r="A2353" s="247">
        <v>41685.834733796299</v>
      </c>
      <c r="B2353" s="221">
        <v>7.5</v>
      </c>
      <c r="E2353" s="221">
        <v>95.4</v>
      </c>
    </row>
    <row r="2354" spans="1:5">
      <c r="A2354" s="247">
        <v>41685.876400462963</v>
      </c>
      <c r="B2354" s="221">
        <v>7.5</v>
      </c>
      <c r="E2354" s="221">
        <v>93.6</v>
      </c>
    </row>
    <row r="2355" spans="1:5">
      <c r="A2355" s="247">
        <v>41685.918067129627</v>
      </c>
      <c r="B2355" s="221">
        <v>7</v>
      </c>
      <c r="E2355" s="221">
        <v>94.2</v>
      </c>
    </row>
    <row r="2356" spans="1:5">
      <c r="A2356" s="247">
        <v>41685.959733796299</v>
      </c>
      <c r="B2356" s="221">
        <v>6.5</v>
      </c>
      <c r="E2356" s="221">
        <v>95.4</v>
      </c>
    </row>
    <row r="2357" spans="1:5">
      <c r="A2357" s="247">
        <v>41686.001400462963</v>
      </c>
      <c r="B2357" s="221">
        <v>6.5</v>
      </c>
      <c r="E2357" s="221">
        <v>96.6</v>
      </c>
    </row>
    <row r="2358" spans="1:5">
      <c r="A2358" s="247">
        <v>41686.043067129627</v>
      </c>
      <c r="B2358" s="221">
        <v>6.5</v>
      </c>
      <c r="E2358" s="221">
        <v>97.2</v>
      </c>
    </row>
    <row r="2359" spans="1:5">
      <c r="A2359" s="247">
        <v>41686.084733796299</v>
      </c>
      <c r="B2359" s="221">
        <v>6</v>
      </c>
      <c r="E2359" s="221">
        <v>98.4</v>
      </c>
    </row>
    <row r="2360" spans="1:5">
      <c r="A2360" s="247">
        <v>41686.126400462963</v>
      </c>
      <c r="B2360" s="221">
        <v>6</v>
      </c>
      <c r="E2360" s="221">
        <v>97.8</v>
      </c>
    </row>
    <row r="2361" spans="1:5">
      <c r="A2361" s="247">
        <v>41686.168067129627</v>
      </c>
      <c r="B2361" s="221">
        <v>5.5</v>
      </c>
      <c r="E2361" s="221">
        <v>99</v>
      </c>
    </row>
    <row r="2362" spans="1:5">
      <c r="A2362" s="247">
        <v>41686.209733796299</v>
      </c>
      <c r="B2362" s="221">
        <v>5.5</v>
      </c>
      <c r="E2362" s="221">
        <v>100.8</v>
      </c>
    </row>
    <row r="2363" spans="1:5">
      <c r="A2363" s="247">
        <v>41686.251400462963</v>
      </c>
      <c r="B2363" s="221">
        <v>6</v>
      </c>
      <c r="E2363" s="221">
        <v>100.8</v>
      </c>
    </row>
    <row r="2364" spans="1:5">
      <c r="A2364" s="247">
        <v>41686.293067129627</v>
      </c>
      <c r="B2364" s="221">
        <v>6</v>
      </c>
      <c r="E2364" s="221">
        <v>99.6</v>
      </c>
    </row>
    <row r="2365" spans="1:5">
      <c r="A2365" s="247">
        <v>41686.334733796299</v>
      </c>
      <c r="B2365" s="221">
        <v>5.5</v>
      </c>
      <c r="E2365" s="221">
        <v>99</v>
      </c>
    </row>
    <row r="2366" spans="1:5">
      <c r="A2366" s="247">
        <v>41686.376400462963</v>
      </c>
      <c r="B2366" s="221">
        <v>6</v>
      </c>
      <c r="E2366" s="221">
        <v>99.6</v>
      </c>
    </row>
    <row r="2367" spans="1:5">
      <c r="A2367" s="247">
        <v>41686.418067129627</v>
      </c>
      <c r="B2367" s="221">
        <v>5.5</v>
      </c>
      <c r="E2367" s="221">
        <v>99.6</v>
      </c>
    </row>
    <row r="2368" spans="1:5">
      <c r="A2368" s="247">
        <v>41686.459733796299</v>
      </c>
      <c r="B2368" s="221">
        <v>7.5</v>
      </c>
      <c r="E2368" s="221">
        <v>93</v>
      </c>
    </row>
    <row r="2369" spans="1:5">
      <c r="A2369" s="247">
        <v>41686.501400462963</v>
      </c>
      <c r="B2369" s="221">
        <v>10.5</v>
      </c>
      <c r="E2369" s="221">
        <v>85.2</v>
      </c>
    </row>
    <row r="2370" spans="1:5">
      <c r="A2370" s="247">
        <v>41686.543067129627</v>
      </c>
      <c r="B2370" s="221">
        <v>11.5</v>
      </c>
      <c r="E2370" s="221">
        <v>80.400000000000006</v>
      </c>
    </row>
    <row r="2371" spans="1:5">
      <c r="A2371" s="247">
        <v>41686.584733796299</v>
      </c>
      <c r="B2371" s="221">
        <v>14.5</v>
      </c>
      <c r="E2371" s="221">
        <v>75.599999999999994</v>
      </c>
    </row>
    <row r="2372" spans="1:5">
      <c r="A2372" s="247">
        <v>41686.626400462963</v>
      </c>
      <c r="B2372" s="221">
        <v>11.5</v>
      </c>
      <c r="E2372" s="221">
        <v>82.2</v>
      </c>
    </row>
    <row r="2373" spans="1:5">
      <c r="A2373" s="247">
        <v>41686.668067129627</v>
      </c>
      <c r="B2373" s="221">
        <v>11</v>
      </c>
      <c r="E2373" s="221">
        <v>79.8</v>
      </c>
    </row>
    <row r="2374" spans="1:5">
      <c r="A2374" s="247">
        <v>41686.709733796299</v>
      </c>
      <c r="B2374" s="221">
        <v>13.5</v>
      </c>
      <c r="E2374" s="221">
        <v>70.2</v>
      </c>
    </row>
    <row r="2375" spans="1:5">
      <c r="A2375" s="247">
        <v>41686.751400462963</v>
      </c>
      <c r="B2375" s="221">
        <v>12</v>
      </c>
      <c r="E2375" s="221">
        <v>73.2</v>
      </c>
    </row>
    <row r="2376" spans="1:5">
      <c r="A2376" s="247">
        <v>41686.793067129627</v>
      </c>
      <c r="B2376" s="221">
        <v>8.5</v>
      </c>
      <c r="E2376" s="221">
        <v>88.2</v>
      </c>
    </row>
    <row r="2377" spans="1:5">
      <c r="A2377" s="247">
        <v>41686.834733796299</v>
      </c>
      <c r="B2377" s="221">
        <v>7</v>
      </c>
      <c r="E2377" s="221">
        <v>95.4</v>
      </c>
    </row>
    <row r="2378" spans="1:5">
      <c r="A2378" s="247">
        <v>41686.876400462963</v>
      </c>
      <c r="B2378" s="221">
        <v>6</v>
      </c>
      <c r="E2378" s="221">
        <v>99.6</v>
      </c>
    </row>
    <row r="2379" spans="1:5">
      <c r="A2379" s="247">
        <v>41686.918067129627</v>
      </c>
      <c r="B2379" s="221">
        <v>5.5</v>
      </c>
      <c r="E2379" s="221">
        <v>98.4</v>
      </c>
    </row>
    <row r="2380" spans="1:5">
      <c r="A2380" s="247">
        <v>41686.959733796299</v>
      </c>
      <c r="B2380" s="221">
        <v>5</v>
      </c>
      <c r="E2380" s="221">
        <v>98.4</v>
      </c>
    </row>
    <row r="2381" spans="1:5">
      <c r="A2381" s="247">
        <v>41687.001400462963</v>
      </c>
      <c r="B2381" s="221">
        <v>5.5</v>
      </c>
      <c r="E2381" s="221">
        <v>99.6</v>
      </c>
    </row>
    <row r="2382" spans="1:5">
      <c r="A2382" s="247">
        <v>41687.043067129627</v>
      </c>
      <c r="B2382" s="221">
        <v>3.5</v>
      </c>
      <c r="E2382" s="221">
        <v>103.2</v>
      </c>
    </row>
    <row r="2383" spans="1:5">
      <c r="A2383" s="247">
        <v>41687.084733796299</v>
      </c>
      <c r="B2383" s="221">
        <v>3</v>
      </c>
      <c r="E2383" s="221">
        <v>103.8</v>
      </c>
    </row>
    <row r="2384" spans="1:5">
      <c r="A2384" s="247">
        <v>41687.126400462963</v>
      </c>
      <c r="B2384" s="221">
        <v>2.5</v>
      </c>
      <c r="E2384" s="221">
        <v>105</v>
      </c>
    </row>
    <row r="2385" spans="1:5">
      <c r="A2385" s="247">
        <v>41687.168067129627</v>
      </c>
      <c r="B2385" s="221">
        <v>2</v>
      </c>
      <c r="E2385" s="221">
        <v>105.6</v>
      </c>
    </row>
    <row r="2386" spans="1:5">
      <c r="A2386" s="247">
        <v>41687.209733796299</v>
      </c>
      <c r="B2386" s="221">
        <v>1.5</v>
      </c>
      <c r="E2386" s="221">
        <v>105.6</v>
      </c>
    </row>
    <row r="2387" spans="1:5">
      <c r="A2387" s="247">
        <v>41687.251400462963</v>
      </c>
      <c r="B2387" s="221">
        <v>2.5</v>
      </c>
      <c r="E2387" s="221">
        <v>105.6</v>
      </c>
    </row>
    <row r="2388" spans="1:5">
      <c r="A2388" s="247">
        <v>41687.293067129627</v>
      </c>
      <c r="B2388" s="221">
        <v>1.5</v>
      </c>
      <c r="E2388" s="221">
        <v>106.2</v>
      </c>
    </row>
    <row r="2389" spans="1:5">
      <c r="A2389" s="247">
        <v>41687.334733796299</v>
      </c>
      <c r="B2389" s="221">
        <v>1</v>
      </c>
      <c r="E2389" s="221">
        <v>106.8</v>
      </c>
    </row>
    <row r="2390" spans="1:5">
      <c r="A2390" s="247">
        <v>41687.376400462963</v>
      </c>
      <c r="B2390" s="221">
        <v>0.5</v>
      </c>
      <c r="E2390" s="221">
        <v>106.8</v>
      </c>
    </row>
    <row r="2391" spans="1:5">
      <c r="A2391" s="247">
        <v>41687.418067129627</v>
      </c>
      <c r="B2391" s="221">
        <v>2</v>
      </c>
      <c r="E2391" s="221">
        <v>106.2</v>
      </c>
    </row>
    <row r="2392" spans="1:5">
      <c r="A2392" s="247">
        <v>41687.459733796299</v>
      </c>
      <c r="B2392" s="221">
        <v>8.5</v>
      </c>
      <c r="E2392" s="221">
        <v>90.6</v>
      </c>
    </row>
    <row r="2393" spans="1:5">
      <c r="A2393" s="247">
        <v>41687.501400462963</v>
      </c>
      <c r="B2393" s="221">
        <v>11.5</v>
      </c>
      <c r="E2393" s="221">
        <v>72</v>
      </c>
    </row>
    <row r="2394" spans="1:5">
      <c r="A2394" s="247">
        <v>41687.543067129627</v>
      </c>
      <c r="B2394" s="221">
        <v>16.5</v>
      </c>
      <c r="E2394" s="221">
        <v>57.6</v>
      </c>
    </row>
    <row r="2395" spans="1:5">
      <c r="A2395" s="247">
        <v>41687.584733796299</v>
      </c>
      <c r="B2395" s="221">
        <v>20</v>
      </c>
      <c r="E2395" s="221">
        <v>45</v>
      </c>
    </row>
    <row r="2396" spans="1:5">
      <c r="A2396" s="247">
        <v>41687.626400462963</v>
      </c>
      <c r="B2396" s="221">
        <v>19</v>
      </c>
      <c r="E2396" s="221">
        <v>45</v>
      </c>
    </row>
    <row r="2397" spans="1:5">
      <c r="A2397" s="247">
        <v>41687.668067129627</v>
      </c>
      <c r="B2397" s="221">
        <v>21.5</v>
      </c>
      <c r="E2397" s="221">
        <v>37.799999999999997</v>
      </c>
    </row>
    <row r="2398" spans="1:5">
      <c r="A2398" s="247">
        <v>41687.709733796299</v>
      </c>
      <c r="B2398" s="221">
        <v>21</v>
      </c>
      <c r="E2398" s="221">
        <v>39.6</v>
      </c>
    </row>
    <row r="2399" spans="1:5">
      <c r="A2399" s="247">
        <v>41687.751400462963</v>
      </c>
      <c r="B2399" s="221">
        <v>14.5</v>
      </c>
      <c r="E2399" s="221">
        <v>57</v>
      </c>
    </row>
    <row r="2400" spans="1:5">
      <c r="A2400" s="247">
        <v>41687.793067129627</v>
      </c>
      <c r="B2400" s="221">
        <v>10</v>
      </c>
      <c r="E2400" s="221">
        <v>68.400000000000006</v>
      </c>
    </row>
    <row r="2401" spans="1:5">
      <c r="A2401" s="247">
        <v>41687.834733796299</v>
      </c>
      <c r="B2401" s="221">
        <v>7.5</v>
      </c>
      <c r="E2401" s="221">
        <v>83.4</v>
      </c>
    </row>
    <row r="2402" spans="1:5">
      <c r="A2402" s="247">
        <v>41687.876400462963</v>
      </c>
      <c r="B2402" s="221">
        <v>5</v>
      </c>
      <c r="E2402" s="221">
        <v>95.4</v>
      </c>
    </row>
    <row r="2403" spans="1:5">
      <c r="A2403" s="247">
        <v>41687.918067129627</v>
      </c>
      <c r="B2403" s="221">
        <v>4.5</v>
      </c>
      <c r="E2403" s="221">
        <v>95.4</v>
      </c>
    </row>
    <row r="2404" spans="1:5">
      <c r="A2404" s="247">
        <v>41687.959733796299</v>
      </c>
      <c r="B2404" s="221">
        <v>4</v>
      </c>
      <c r="E2404" s="221">
        <v>98.4</v>
      </c>
    </row>
    <row r="2405" spans="1:5">
      <c r="A2405" s="247">
        <v>41688.001400462963</v>
      </c>
      <c r="B2405" s="221">
        <v>4</v>
      </c>
      <c r="E2405" s="221">
        <v>98.4</v>
      </c>
    </row>
    <row r="2406" spans="1:5">
      <c r="A2406" s="247">
        <v>41688.043067129627</v>
      </c>
      <c r="B2406" s="221">
        <v>3</v>
      </c>
      <c r="E2406" s="221">
        <v>102</v>
      </c>
    </row>
    <row r="2407" spans="1:5">
      <c r="A2407" s="247">
        <v>41688.084733796299</v>
      </c>
      <c r="B2407" s="221">
        <v>3</v>
      </c>
      <c r="E2407" s="221">
        <v>103.2</v>
      </c>
    </row>
    <row r="2408" spans="1:5">
      <c r="A2408" s="247">
        <v>41688.126400462963</v>
      </c>
      <c r="B2408" s="221">
        <v>3</v>
      </c>
      <c r="E2408" s="221">
        <v>102</v>
      </c>
    </row>
    <row r="2409" spans="1:5">
      <c r="A2409" s="247">
        <v>41688.168067129627</v>
      </c>
      <c r="B2409" s="221">
        <v>3</v>
      </c>
      <c r="E2409" s="221">
        <v>103.8</v>
      </c>
    </row>
    <row r="2410" spans="1:5">
      <c r="A2410" s="247">
        <v>41688.209733796299</v>
      </c>
      <c r="B2410" s="221">
        <v>3.5</v>
      </c>
      <c r="E2410" s="221">
        <v>100.2</v>
      </c>
    </row>
    <row r="2411" spans="1:5">
      <c r="A2411" s="247">
        <v>41688.251400462963</v>
      </c>
      <c r="B2411" s="221">
        <v>4.5</v>
      </c>
      <c r="E2411" s="221">
        <v>94.2</v>
      </c>
    </row>
    <row r="2412" spans="1:5">
      <c r="A2412" s="247">
        <v>41688.293067129627</v>
      </c>
      <c r="B2412" s="221">
        <v>4</v>
      </c>
      <c r="E2412" s="221">
        <v>91.8</v>
      </c>
    </row>
    <row r="2413" spans="1:5">
      <c r="A2413" s="247">
        <v>41688.334733796299</v>
      </c>
      <c r="B2413" s="221">
        <v>3.5</v>
      </c>
      <c r="E2413" s="221">
        <v>93.6</v>
      </c>
    </row>
    <row r="2414" spans="1:5">
      <c r="A2414" s="247">
        <v>41688.376400462963</v>
      </c>
      <c r="B2414" s="221">
        <v>2.5</v>
      </c>
      <c r="E2414" s="221">
        <v>98.4</v>
      </c>
    </row>
    <row r="2415" spans="1:5">
      <c r="A2415" s="247">
        <v>41688.418067129627</v>
      </c>
      <c r="B2415" s="221">
        <v>3</v>
      </c>
      <c r="E2415" s="221">
        <v>98.4</v>
      </c>
    </row>
    <row r="2416" spans="1:5">
      <c r="A2416" s="247">
        <v>41688.459733796299</v>
      </c>
      <c r="B2416" s="221">
        <v>6.5</v>
      </c>
      <c r="E2416" s="221">
        <v>88.8</v>
      </c>
    </row>
    <row r="2417" spans="1:5">
      <c r="A2417" s="247">
        <v>41688.501400462963</v>
      </c>
      <c r="B2417" s="221">
        <v>9.5</v>
      </c>
      <c r="E2417" s="221">
        <v>82.2</v>
      </c>
    </row>
    <row r="2418" spans="1:5">
      <c r="A2418" s="247">
        <v>41688.543067129627</v>
      </c>
      <c r="B2418" s="221">
        <v>10.5</v>
      </c>
      <c r="E2418" s="221">
        <v>81.599999999999994</v>
      </c>
    </row>
    <row r="2419" spans="1:5">
      <c r="A2419" s="247">
        <v>41688.584733796299</v>
      </c>
      <c r="B2419" s="221">
        <v>11</v>
      </c>
      <c r="E2419" s="221">
        <v>84</v>
      </c>
    </row>
    <row r="2420" spans="1:5">
      <c r="A2420" s="247">
        <v>41688.626400462963</v>
      </c>
      <c r="B2420" s="221">
        <v>10.5</v>
      </c>
      <c r="E2420" s="221">
        <v>82.8</v>
      </c>
    </row>
    <row r="2421" spans="1:5">
      <c r="A2421" s="247">
        <v>41688.668067129627</v>
      </c>
      <c r="B2421" s="221">
        <v>11</v>
      </c>
      <c r="E2421" s="221">
        <v>82.8</v>
      </c>
    </row>
    <row r="2422" spans="1:5">
      <c r="A2422" s="247">
        <v>41688.709733796299</v>
      </c>
      <c r="B2422" s="221">
        <v>10.5</v>
      </c>
      <c r="E2422" s="221">
        <v>85.8</v>
      </c>
    </row>
    <row r="2423" spans="1:5">
      <c r="A2423" s="247">
        <v>41688.751400462963</v>
      </c>
      <c r="B2423" s="221">
        <v>10</v>
      </c>
      <c r="E2423" s="221">
        <v>89.4</v>
      </c>
    </row>
    <row r="2424" spans="1:5">
      <c r="A2424" s="247">
        <v>41688.793067129627</v>
      </c>
      <c r="B2424" s="221">
        <v>9</v>
      </c>
      <c r="E2424" s="221">
        <v>93.6</v>
      </c>
    </row>
    <row r="2425" spans="1:5">
      <c r="A2425" s="247">
        <v>41688.834733796299</v>
      </c>
      <c r="B2425" s="221">
        <v>8.5</v>
      </c>
      <c r="E2425" s="221">
        <v>94.8</v>
      </c>
    </row>
    <row r="2426" spans="1:5">
      <c r="A2426" s="247">
        <v>41688.876400462963</v>
      </c>
      <c r="B2426" s="221">
        <v>8</v>
      </c>
      <c r="E2426" s="221">
        <v>97.2</v>
      </c>
    </row>
    <row r="2427" spans="1:5">
      <c r="A2427" s="247">
        <v>41688.918067129627</v>
      </c>
      <c r="B2427" s="221">
        <v>8</v>
      </c>
      <c r="E2427" s="221">
        <v>96.6</v>
      </c>
    </row>
    <row r="2428" spans="1:5">
      <c r="A2428" s="247">
        <v>41688.959733796299</v>
      </c>
      <c r="B2428" s="221">
        <v>7</v>
      </c>
      <c r="E2428" s="221">
        <v>98.4</v>
      </c>
    </row>
    <row r="2429" spans="1:5">
      <c r="A2429" s="247">
        <v>41689.001400462963</v>
      </c>
      <c r="B2429" s="221">
        <v>6</v>
      </c>
      <c r="E2429" s="221">
        <v>102</v>
      </c>
    </row>
    <row r="2430" spans="1:5">
      <c r="A2430" s="247">
        <v>41689.043067129627</v>
      </c>
      <c r="B2430" s="221">
        <v>4.5</v>
      </c>
      <c r="E2430" s="221">
        <v>103.8</v>
      </c>
    </row>
    <row r="2431" spans="1:5">
      <c r="A2431" s="247">
        <v>41689.084733796299</v>
      </c>
      <c r="B2431" s="221">
        <v>4</v>
      </c>
      <c r="E2431" s="221">
        <v>104.4</v>
      </c>
    </row>
    <row r="2432" spans="1:5">
      <c r="A2432" s="247">
        <v>41689.126400462963</v>
      </c>
      <c r="B2432" s="221">
        <v>3.5</v>
      </c>
      <c r="E2432" s="221">
        <v>105.6</v>
      </c>
    </row>
    <row r="2433" spans="1:5">
      <c r="A2433" s="247">
        <v>41689.168067129627</v>
      </c>
      <c r="B2433" s="221">
        <v>3</v>
      </c>
      <c r="E2433" s="221">
        <v>105.6</v>
      </c>
    </row>
    <row r="2434" spans="1:5">
      <c r="A2434" s="247">
        <v>41689.209733796299</v>
      </c>
      <c r="B2434" s="221">
        <v>3</v>
      </c>
      <c r="E2434" s="221">
        <v>105.6</v>
      </c>
    </row>
    <row r="2435" spans="1:5">
      <c r="A2435" s="247">
        <v>41689.251400462963</v>
      </c>
      <c r="B2435" s="221">
        <v>4</v>
      </c>
      <c r="E2435" s="221">
        <v>105.6</v>
      </c>
    </row>
    <row r="2436" spans="1:5">
      <c r="A2436" s="247">
        <v>41689.293067129627</v>
      </c>
      <c r="B2436" s="221">
        <v>5.5</v>
      </c>
      <c r="E2436" s="221">
        <v>105.6</v>
      </c>
    </row>
    <row r="2437" spans="1:5">
      <c r="A2437" s="247">
        <v>41689.334733796299</v>
      </c>
      <c r="B2437" s="221">
        <v>6</v>
      </c>
      <c r="E2437" s="221">
        <v>105.6</v>
      </c>
    </row>
    <row r="2438" spans="1:5">
      <c r="A2438" s="247">
        <v>41689.376400462963</v>
      </c>
      <c r="B2438" s="221">
        <v>6.5</v>
      </c>
      <c r="E2438" s="221">
        <v>105.6</v>
      </c>
    </row>
    <row r="2439" spans="1:5">
      <c r="A2439" s="247">
        <v>41689.418067129627</v>
      </c>
      <c r="B2439" s="221">
        <v>7</v>
      </c>
      <c r="E2439" s="221">
        <v>106.2</v>
      </c>
    </row>
    <row r="2440" spans="1:5">
      <c r="A2440" s="247">
        <v>41689.459733796299</v>
      </c>
      <c r="B2440" s="221">
        <v>7.5</v>
      </c>
      <c r="E2440" s="221">
        <v>103.8</v>
      </c>
    </row>
    <row r="2441" spans="1:5">
      <c r="A2441" s="247">
        <v>41689.501400462963</v>
      </c>
      <c r="B2441" s="221">
        <v>9</v>
      </c>
      <c r="E2441" s="221">
        <v>99.6</v>
      </c>
    </row>
    <row r="2442" spans="1:5">
      <c r="A2442" s="247">
        <v>41689.543067129627</v>
      </c>
      <c r="B2442" s="221">
        <v>9.5</v>
      </c>
      <c r="E2442" s="221">
        <v>98.4</v>
      </c>
    </row>
    <row r="2443" spans="1:5">
      <c r="A2443" s="247">
        <v>41689.584733796299</v>
      </c>
      <c r="B2443" s="221">
        <v>11.5</v>
      </c>
      <c r="E2443" s="221">
        <v>90</v>
      </c>
    </row>
    <row r="2444" spans="1:5">
      <c r="A2444" s="247">
        <v>41689.626400462963</v>
      </c>
      <c r="B2444" s="221">
        <v>15.5</v>
      </c>
      <c r="E2444" s="221">
        <v>78</v>
      </c>
    </row>
    <row r="2445" spans="1:5">
      <c r="A2445" s="247">
        <v>41689.668067129627</v>
      </c>
      <c r="B2445" s="221">
        <v>11.5</v>
      </c>
      <c r="E2445" s="221">
        <v>84.6</v>
      </c>
    </row>
    <row r="2446" spans="1:5">
      <c r="A2446" s="247">
        <v>41689.709733796299</v>
      </c>
      <c r="B2446" s="221">
        <v>10.5</v>
      </c>
      <c r="E2446" s="221">
        <v>84.6</v>
      </c>
    </row>
    <row r="2447" spans="1:5">
      <c r="A2447" s="247">
        <v>41689.751400462963</v>
      </c>
      <c r="B2447" s="221">
        <v>11</v>
      </c>
      <c r="E2447" s="221">
        <v>87</v>
      </c>
    </row>
    <row r="2448" spans="1:5">
      <c r="A2448" s="247">
        <v>41689.793067129627</v>
      </c>
      <c r="B2448" s="221">
        <v>9</v>
      </c>
      <c r="E2448" s="221">
        <v>89.4</v>
      </c>
    </row>
    <row r="2449" spans="1:5">
      <c r="A2449" s="247">
        <v>41689.834733796299</v>
      </c>
      <c r="B2449" s="221">
        <v>6.5</v>
      </c>
      <c r="E2449" s="221">
        <v>96.6</v>
      </c>
    </row>
    <row r="2450" spans="1:5">
      <c r="A2450" s="247">
        <v>41689.876400462963</v>
      </c>
      <c r="B2450" s="221">
        <v>6</v>
      </c>
      <c r="E2450" s="221">
        <v>99.6</v>
      </c>
    </row>
    <row r="2451" spans="1:5">
      <c r="A2451" s="247">
        <v>41689.918067129627</v>
      </c>
      <c r="B2451" s="221">
        <v>5.5</v>
      </c>
      <c r="E2451" s="221">
        <v>100.8</v>
      </c>
    </row>
    <row r="2452" spans="1:5">
      <c r="A2452" s="247">
        <v>41689.959733796299</v>
      </c>
      <c r="B2452" s="221">
        <v>7</v>
      </c>
      <c r="E2452" s="221">
        <v>97.8</v>
      </c>
    </row>
    <row r="2453" spans="1:5">
      <c r="A2453" s="247">
        <v>41690.001400462963</v>
      </c>
      <c r="B2453" s="221">
        <v>7</v>
      </c>
      <c r="E2453" s="221">
        <v>99</v>
      </c>
    </row>
    <row r="2454" spans="1:5">
      <c r="A2454" s="247">
        <v>41690.043067129627</v>
      </c>
      <c r="B2454" s="221">
        <v>7</v>
      </c>
      <c r="E2454" s="221">
        <v>99</v>
      </c>
    </row>
    <row r="2455" spans="1:5">
      <c r="A2455" s="247">
        <v>41690.084733796299</v>
      </c>
      <c r="B2455" s="221">
        <v>7.5</v>
      </c>
      <c r="E2455" s="221">
        <v>99.6</v>
      </c>
    </row>
    <row r="2456" spans="1:5">
      <c r="A2456" s="247">
        <v>41690.126400462963</v>
      </c>
      <c r="B2456" s="221">
        <v>7.5</v>
      </c>
      <c r="E2456" s="221">
        <v>100.2</v>
      </c>
    </row>
    <row r="2457" spans="1:5">
      <c r="A2457" s="247">
        <v>41690.168067129627</v>
      </c>
      <c r="B2457" s="221">
        <v>7</v>
      </c>
      <c r="E2457" s="221">
        <v>101.4</v>
      </c>
    </row>
    <row r="2458" spans="1:5">
      <c r="A2458" s="247">
        <v>41690.209733796299</v>
      </c>
      <c r="B2458" s="221">
        <v>7.5</v>
      </c>
      <c r="E2458" s="221">
        <v>100.2</v>
      </c>
    </row>
    <row r="2459" spans="1:5">
      <c r="A2459" s="247">
        <v>41690.251400462963</v>
      </c>
      <c r="B2459" s="221">
        <v>7.5</v>
      </c>
      <c r="E2459" s="221">
        <v>101.4</v>
      </c>
    </row>
    <row r="2460" spans="1:5">
      <c r="A2460" s="247">
        <v>41690.293067129627</v>
      </c>
      <c r="B2460" s="221">
        <v>7.5</v>
      </c>
      <c r="E2460" s="221">
        <v>100.8</v>
      </c>
    </row>
    <row r="2461" spans="1:5">
      <c r="A2461" s="247">
        <v>41690.334733796299</v>
      </c>
      <c r="B2461" s="221">
        <v>7.5</v>
      </c>
      <c r="E2461" s="221">
        <v>103.2</v>
      </c>
    </row>
    <row r="2462" spans="1:5">
      <c r="A2462" s="247">
        <v>41690.376400462963</v>
      </c>
      <c r="B2462" s="221">
        <v>7.5</v>
      </c>
      <c r="E2462" s="221">
        <v>103.8</v>
      </c>
    </row>
    <row r="2463" spans="1:5">
      <c r="A2463" s="247">
        <v>41690.418067129627</v>
      </c>
      <c r="B2463" s="221">
        <v>8</v>
      </c>
      <c r="E2463" s="221">
        <v>103.8</v>
      </c>
    </row>
    <row r="2464" spans="1:5">
      <c r="A2464" s="247">
        <v>41690.459733796299</v>
      </c>
      <c r="B2464" s="221">
        <v>8</v>
      </c>
      <c r="E2464" s="221">
        <v>103.8</v>
      </c>
    </row>
    <row r="2465" spans="1:5">
      <c r="A2465" s="247">
        <v>41690.501400462963</v>
      </c>
      <c r="B2465" s="221">
        <v>8.5</v>
      </c>
      <c r="E2465" s="221">
        <v>102.6</v>
      </c>
    </row>
    <row r="2466" spans="1:5">
      <c r="A2466" s="247">
        <v>41690.543067129627</v>
      </c>
      <c r="B2466" s="221">
        <v>9</v>
      </c>
      <c r="E2466" s="221">
        <v>102</v>
      </c>
    </row>
    <row r="2467" spans="1:5">
      <c r="A2467" s="247">
        <v>41690.584733796299</v>
      </c>
      <c r="B2467" s="221">
        <v>10.5</v>
      </c>
      <c r="E2467" s="221">
        <v>98.4</v>
      </c>
    </row>
    <row r="2468" spans="1:5">
      <c r="A2468" s="247">
        <v>41690.626400462963</v>
      </c>
      <c r="B2468" s="221">
        <v>10.5</v>
      </c>
      <c r="E2468" s="221">
        <v>97.2</v>
      </c>
    </row>
    <row r="2469" spans="1:5">
      <c r="A2469" s="247">
        <v>41690.668067129627</v>
      </c>
      <c r="B2469" s="221">
        <v>11</v>
      </c>
      <c r="E2469" s="221">
        <v>96.6</v>
      </c>
    </row>
    <row r="2470" spans="1:5">
      <c r="A2470" s="247">
        <v>41690.709733796299</v>
      </c>
      <c r="B2470" s="221">
        <v>10.5</v>
      </c>
      <c r="E2470" s="221">
        <v>99</v>
      </c>
    </row>
    <row r="2471" spans="1:5">
      <c r="A2471" s="247">
        <v>41690.751400462963</v>
      </c>
      <c r="B2471" s="221">
        <v>10.5</v>
      </c>
      <c r="E2471" s="221">
        <v>99.6</v>
      </c>
    </row>
    <row r="2472" spans="1:5">
      <c r="A2472" s="247">
        <v>41690.793067129627</v>
      </c>
      <c r="B2472" s="221">
        <v>10.5</v>
      </c>
      <c r="E2472" s="221">
        <v>98.4</v>
      </c>
    </row>
    <row r="2473" spans="1:5">
      <c r="A2473" s="247">
        <v>41690.834733796299</v>
      </c>
      <c r="B2473" s="221">
        <v>10</v>
      </c>
      <c r="E2473" s="221">
        <v>100.8</v>
      </c>
    </row>
    <row r="2474" spans="1:5">
      <c r="A2474" s="247">
        <v>41690.876400462963</v>
      </c>
      <c r="B2474" s="221">
        <v>10</v>
      </c>
      <c r="E2474" s="221">
        <v>102</v>
      </c>
    </row>
    <row r="2475" spans="1:5">
      <c r="A2475" s="247">
        <v>41690.918067129627</v>
      </c>
      <c r="B2475" s="221">
        <v>9.5</v>
      </c>
      <c r="E2475" s="221">
        <v>102.6</v>
      </c>
    </row>
    <row r="2476" spans="1:5">
      <c r="A2476" s="247">
        <v>41690.959733796299</v>
      </c>
      <c r="B2476" s="221">
        <v>9</v>
      </c>
      <c r="E2476" s="221">
        <v>102</v>
      </c>
    </row>
    <row r="2477" spans="1:5">
      <c r="A2477" s="247">
        <v>41691.001400462963</v>
      </c>
      <c r="B2477" s="221">
        <v>8</v>
      </c>
      <c r="E2477" s="221">
        <v>102</v>
      </c>
    </row>
    <row r="2478" spans="1:5">
      <c r="A2478" s="247">
        <v>41691.043067129627</v>
      </c>
      <c r="B2478" s="221">
        <v>8</v>
      </c>
      <c r="E2478" s="221">
        <v>101.4</v>
      </c>
    </row>
    <row r="2479" spans="1:5">
      <c r="A2479" s="247">
        <v>41691.084733796299</v>
      </c>
      <c r="B2479" s="221">
        <v>8</v>
      </c>
      <c r="E2479" s="221">
        <v>101.4</v>
      </c>
    </row>
    <row r="2480" spans="1:5">
      <c r="A2480" s="247">
        <v>41691.126400462963</v>
      </c>
      <c r="B2480" s="221">
        <v>7.5</v>
      </c>
      <c r="E2480" s="221">
        <v>100.2</v>
      </c>
    </row>
    <row r="2481" spans="1:5">
      <c r="A2481" s="247">
        <v>41691.168067129627</v>
      </c>
      <c r="B2481" s="221">
        <v>7</v>
      </c>
      <c r="E2481" s="221">
        <v>99.6</v>
      </c>
    </row>
    <row r="2482" spans="1:5">
      <c r="A2482" s="247">
        <v>41691.209733796299</v>
      </c>
      <c r="B2482" s="221">
        <v>7</v>
      </c>
      <c r="E2482" s="221">
        <v>98.4</v>
      </c>
    </row>
    <row r="2483" spans="1:5">
      <c r="A2483" s="247">
        <v>41691.251400462963</v>
      </c>
      <c r="B2483" s="221">
        <v>6.5</v>
      </c>
      <c r="E2483" s="221">
        <v>100.2</v>
      </c>
    </row>
    <row r="2484" spans="1:5">
      <c r="A2484" s="247">
        <v>41691.293067129627</v>
      </c>
      <c r="B2484" s="221">
        <v>6.5</v>
      </c>
      <c r="E2484" s="221">
        <v>98.4</v>
      </c>
    </row>
    <row r="2485" spans="1:5">
      <c r="A2485" s="247">
        <v>41691.334733796299</v>
      </c>
      <c r="B2485" s="221">
        <v>5</v>
      </c>
      <c r="E2485" s="221">
        <v>99.6</v>
      </c>
    </row>
    <row r="2486" spans="1:5">
      <c r="A2486" s="247">
        <v>41691.376400462963</v>
      </c>
      <c r="B2486" s="221">
        <v>4</v>
      </c>
      <c r="E2486" s="221">
        <v>100.8</v>
      </c>
    </row>
    <row r="2487" spans="1:5">
      <c r="A2487" s="247">
        <v>41691.418067129627</v>
      </c>
      <c r="B2487" s="221">
        <v>5.5</v>
      </c>
      <c r="E2487" s="221">
        <v>98.4</v>
      </c>
    </row>
    <row r="2488" spans="1:5">
      <c r="A2488" s="247">
        <v>41691.459733796299</v>
      </c>
      <c r="B2488" s="221">
        <v>8</v>
      </c>
      <c r="E2488" s="221">
        <v>88.2</v>
      </c>
    </row>
    <row r="2489" spans="1:5">
      <c r="A2489" s="247">
        <v>41691.501400462963</v>
      </c>
      <c r="B2489" s="221">
        <v>10</v>
      </c>
      <c r="E2489" s="221">
        <v>77.400000000000006</v>
      </c>
    </row>
    <row r="2490" spans="1:5">
      <c r="A2490" s="247">
        <v>41691.543067129627</v>
      </c>
      <c r="B2490" s="221">
        <v>8.5</v>
      </c>
      <c r="E2490" s="221">
        <v>78.599999999999994</v>
      </c>
    </row>
    <row r="2491" spans="1:5">
      <c r="A2491" s="247">
        <v>41691.584733796299</v>
      </c>
      <c r="B2491" s="221">
        <v>13</v>
      </c>
      <c r="E2491" s="221">
        <v>70.8</v>
      </c>
    </row>
    <row r="2492" spans="1:5">
      <c r="A2492" s="247">
        <v>41691.626400462963</v>
      </c>
      <c r="B2492" s="221">
        <v>13.5</v>
      </c>
      <c r="E2492" s="221">
        <v>63.6</v>
      </c>
    </row>
    <row r="2493" spans="1:5">
      <c r="A2493" s="247">
        <v>41691.668067129627</v>
      </c>
      <c r="B2493" s="221">
        <v>13</v>
      </c>
      <c r="E2493" s="221">
        <v>69.599999999999994</v>
      </c>
    </row>
    <row r="2494" spans="1:5">
      <c r="A2494" s="247">
        <v>41691.709733796299</v>
      </c>
      <c r="B2494" s="221">
        <v>9.5</v>
      </c>
      <c r="E2494" s="221">
        <v>73.8</v>
      </c>
    </row>
    <row r="2495" spans="1:5">
      <c r="A2495" s="247">
        <v>41691.751400462963</v>
      </c>
      <c r="B2495" s="221">
        <v>8</v>
      </c>
      <c r="E2495" s="221">
        <v>82.2</v>
      </c>
    </row>
    <row r="2496" spans="1:5">
      <c r="A2496" s="247">
        <v>41691.793067129627</v>
      </c>
      <c r="B2496" s="221">
        <v>7</v>
      </c>
      <c r="E2496" s="221">
        <v>91.2</v>
      </c>
    </row>
    <row r="2497" spans="1:5">
      <c r="A2497" s="247">
        <v>41691.834733796299</v>
      </c>
      <c r="B2497" s="221">
        <v>5.5</v>
      </c>
      <c r="E2497" s="221">
        <v>96.6</v>
      </c>
    </row>
    <row r="2498" spans="1:5">
      <c r="A2498" s="247">
        <v>41691.876400462963</v>
      </c>
      <c r="B2498" s="221">
        <v>4.5</v>
      </c>
      <c r="E2498" s="221">
        <v>101.4</v>
      </c>
    </row>
    <row r="2499" spans="1:5">
      <c r="A2499" s="247">
        <v>41691.918067129627</v>
      </c>
      <c r="B2499" s="221">
        <v>4</v>
      </c>
      <c r="E2499" s="221">
        <v>102</v>
      </c>
    </row>
    <row r="2500" spans="1:5">
      <c r="A2500" s="247">
        <v>41691.959733796299</v>
      </c>
      <c r="B2500" s="221">
        <v>3.5</v>
      </c>
      <c r="E2500" s="221">
        <v>102</v>
      </c>
    </row>
    <row r="2501" spans="1:5">
      <c r="A2501" s="247">
        <v>41692.001400462963</v>
      </c>
      <c r="B2501" s="221">
        <v>3.5</v>
      </c>
      <c r="E2501" s="221">
        <v>102</v>
      </c>
    </row>
    <row r="2502" spans="1:5">
      <c r="A2502" s="247">
        <v>41692.043067129627</v>
      </c>
      <c r="B2502" s="221">
        <v>3</v>
      </c>
      <c r="E2502" s="221">
        <v>103.2</v>
      </c>
    </row>
    <row r="2503" spans="1:5">
      <c r="A2503" s="247">
        <v>41692.084733796299</v>
      </c>
      <c r="B2503" s="221">
        <v>3.5</v>
      </c>
      <c r="E2503" s="221">
        <v>100.8</v>
      </c>
    </row>
    <row r="2504" spans="1:5">
      <c r="A2504" s="247">
        <v>41692.126400462963</v>
      </c>
      <c r="B2504" s="221">
        <v>4.5</v>
      </c>
      <c r="E2504" s="221">
        <v>100.2</v>
      </c>
    </row>
    <row r="2505" spans="1:5">
      <c r="A2505" s="247">
        <v>41692.168067129627</v>
      </c>
      <c r="B2505" s="221">
        <v>3.5</v>
      </c>
      <c r="E2505" s="221">
        <v>100.8</v>
      </c>
    </row>
    <row r="2506" spans="1:5">
      <c r="A2506" s="247">
        <v>41692.209733796299</v>
      </c>
      <c r="B2506" s="221">
        <v>4.5</v>
      </c>
      <c r="E2506" s="221">
        <v>100.2</v>
      </c>
    </row>
    <row r="2507" spans="1:5">
      <c r="A2507" s="247">
        <v>41692.251400462963</v>
      </c>
      <c r="B2507" s="221">
        <v>4.5</v>
      </c>
      <c r="E2507" s="221">
        <v>102</v>
      </c>
    </row>
    <row r="2508" spans="1:5">
      <c r="A2508" s="247">
        <v>41692.293067129627</v>
      </c>
      <c r="B2508" s="221">
        <v>4.5</v>
      </c>
      <c r="E2508" s="221">
        <v>100.8</v>
      </c>
    </row>
    <row r="2509" spans="1:5">
      <c r="A2509" s="247">
        <v>41692.334733796299</v>
      </c>
      <c r="B2509" s="221">
        <v>4.5</v>
      </c>
      <c r="E2509" s="221">
        <v>103.8</v>
      </c>
    </row>
    <row r="2510" spans="1:5">
      <c r="A2510" s="247">
        <v>41692.376400462963</v>
      </c>
      <c r="B2510" s="221">
        <v>5.5</v>
      </c>
      <c r="E2510" s="221">
        <v>103.2</v>
      </c>
    </row>
    <row r="2511" spans="1:5">
      <c r="A2511" s="247">
        <v>41692.418067129627</v>
      </c>
      <c r="B2511" s="221">
        <v>6</v>
      </c>
      <c r="E2511" s="221">
        <v>101.4</v>
      </c>
    </row>
    <row r="2512" spans="1:5">
      <c r="A2512" s="247">
        <v>41692.459733796299</v>
      </c>
      <c r="B2512" s="221">
        <v>7.5</v>
      </c>
      <c r="E2512" s="221">
        <v>100.2</v>
      </c>
    </row>
    <row r="2513" spans="1:5">
      <c r="A2513" s="247">
        <v>41692.501400462963</v>
      </c>
      <c r="B2513" s="221">
        <v>8</v>
      </c>
      <c r="E2513" s="221">
        <v>99.6</v>
      </c>
    </row>
    <row r="2514" spans="1:5">
      <c r="A2514" s="247">
        <v>41692.543067129627</v>
      </c>
      <c r="B2514" s="221">
        <v>9</v>
      </c>
      <c r="E2514" s="221">
        <v>97.8</v>
      </c>
    </row>
    <row r="2515" spans="1:5">
      <c r="A2515" s="247">
        <v>41692.584733796299</v>
      </c>
      <c r="B2515" s="221">
        <v>8.5</v>
      </c>
      <c r="E2515" s="221">
        <v>99.6</v>
      </c>
    </row>
    <row r="2516" spans="1:5">
      <c r="A2516" s="247">
        <v>41692.626400462963</v>
      </c>
      <c r="B2516" s="221">
        <v>8.5</v>
      </c>
      <c r="E2516" s="221">
        <v>100.8</v>
      </c>
    </row>
    <row r="2517" spans="1:5">
      <c r="A2517" s="247">
        <v>41692.668067129627</v>
      </c>
      <c r="B2517" s="221">
        <v>8.5</v>
      </c>
      <c r="E2517" s="221">
        <v>100.2</v>
      </c>
    </row>
    <row r="2518" spans="1:5">
      <c r="A2518" s="247">
        <v>41692.709733796299</v>
      </c>
      <c r="B2518" s="221">
        <v>10</v>
      </c>
      <c r="E2518" s="221">
        <v>96</v>
      </c>
    </row>
    <row r="2519" spans="1:5">
      <c r="A2519" s="247">
        <v>41692.751400462963</v>
      </c>
      <c r="B2519" s="221">
        <v>9.5</v>
      </c>
      <c r="E2519" s="221">
        <v>92.4</v>
      </c>
    </row>
    <row r="2520" spans="1:5">
      <c r="A2520" s="247">
        <v>41692.793067129627</v>
      </c>
      <c r="B2520" s="221">
        <v>9.5</v>
      </c>
      <c r="E2520" s="221">
        <v>95.4</v>
      </c>
    </row>
    <row r="2521" spans="1:5">
      <c r="A2521" s="247">
        <v>41692.834733796299</v>
      </c>
      <c r="B2521" s="221">
        <v>9</v>
      </c>
      <c r="E2521" s="221">
        <v>97.2</v>
      </c>
    </row>
    <row r="2522" spans="1:5">
      <c r="A2522" s="247">
        <v>41692.876400462963</v>
      </c>
      <c r="B2522" s="221">
        <v>8.5</v>
      </c>
      <c r="E2522" s="221">
        <v>100.2</v>
      </c>
    </row>
    <row r="2523" spans="1:5">
      <c r="A2523" s="247">
        <v>41692.918067129627</v>
      </c>
      <c r="B2523" s="221">
        <v>8.5</v>
      </c>
      <c r="E2523" s="221">
        <v>100.2</v>
      </c>
    </row>
    <row r="2524" spans="1:5">
      <c r="A2524" s="247">
        <v>41692.959733796299</v>
      </c>
      <c r="B2524" s="221">
        <v>9</v>
      </c>
      <c r="E2524" s="221">
        <v>100.2</v>
      </c>
    </row>
    <row r="2525" spans="1:5">
      <c r="A2525" s="247">
        <v>41693.001400462963</v>
      </c>
      <c r="B2525" s="221">
        <v>7.5</v>
      </c>
      <c r="E2525" s="221">
        <v>102</v>
      </c>
    </row>
    <row r="2526" spans="1:5">
      <c r="A2526" s="247">
        <v>41693.043067129627</v>
      </c>
      <c r="B2526" s="221">
        <v>6</v>
      </c>
      <c r="E2526" s="221">
        <v>100.8</v>
      </c>
    </row>
    <row r="2527" spans="1:5">
      <c r="A2527" s="247">
        <v>41693.084733796299</v>
      </c>
      <c r="B2527" s="221">
        <v>6</v>
      </c>
      <c r="E2527" s="221">
        <v>98.4</v>
      </c>
    </row>
    <row r="2528" spans="1:5">
      <c r="A2528" s="247">
        <v>41693.126400462963</v>
      </c>
      <c r="B2528" s="221">
        <v>5</v>
      </c>
      <c r="E2528" s="221">
        <v>102</v>
      </c>
    </row>
    <row r="2529" spans="1:5">
      <c r="A2529" s="247">
        <v>41693.168067129627</v>
      </c>
      <c r="B2529" s="221">
        <v>3.5</v>
      </c>
      <c r="E2529" s="221">
        <v>104.4</v>
      </c>
    </row>
    <row r="2530" spans="1:5">
      <c r="A2530" s="247">
        <v>41693.209733796299</v>
      </c>
      <c r="B2530" s="221">
        <v>3</v>
      </c>
      <c r="E2530" s="221">
        <v>105.6</v>
      </c>
    </row>
    <row r="2531" spans="1:5">
      <c r="A2531" s="247">
        <v>41693.251400462963</v>
      </c>
      <c r="B2531" s="221">
        <v>3</v>
      </c>
      <c r="E2531" s="221">
        <v>105.6</v>
      </c>
    </row>
    <row r="2532" spans="1:5">
      <c r="A2532" s="247">
        <v>41693.293067129627</v>
      </c>
      <c r="B2532" s="221">
        <v>3.5</v>
      </c>
      <c r="E2532" s="221">
        <v>106.2</v>
      </c>
    </row>
    <row r="2533" spans="1:5">
      <c r="A2533" s="247">
        <v>41693.334733796299</v>
      </c>
      <c r="B2533" s="221">
        <v>3.5</v>
      </c>
      <c r="E2533" s="221">
        <v>105.6</v>
      </c>
    </row>
    <row r="2534" spans="1:5">
      <c r="A2534" s="247">
        <v>41693.376400462963</v>
      </c>
      <c r="B2534" s="221">
        <v>3.5</v>
      </c>
      <c r="E2534" s="221">
        <v>105.6</v>
      </c>
    </row>
    <row r="2535" spans="1:5">
      <c r="A2535" s="247">
        <v>41693.418067129627</v>
      </c>
      <c r="B2535" s="221">
        <v>6.5</v>
      </c>
      <c r="E2535" s="221">
        <v>98.4</v>
      </c>
    </row>
    <row r="2536" spans="1:5">
      <c r="A2536" s="247">
        <v>41693.459733796299</v>
      </c>
      <c r="B2536" s="221">
        <v>9.5</v>
      </c>
      <c r="E2536" s="221">
        <v>83.4</v>
      </c>
    </row>
    <row r="2537" spans="1:5">
      <c r="A2537" s="247">
        <v>41693.501400462963</v>
      </c>
      <c r="B2537" s="221">
        <v>15</v>
      </c>
      <c r="E2537" s="221">
        <v>66</v>
      </c>
    </row>
    <row r="2538" spans="1:5">
      <c r="A2538" s="247">
        <v>41693.543067129627</v>
      </c>
      <c r="B2538" s="221">
        <v>19</v>
      </c>
      <c r="E2538" s="221">
        <v>51</v>
      </c>
    </row>
    <row r="2539" spans="1:5">
      <c r="A2539" s="247">
        <v>41693.584733796299</v>
      </c>
      <c r="B2539" s="221">
        <v>17</v>
      </c>
      <c r="E2539" s="221">
        <v>54.6</v>
      </c>
    </row>
    <row r="2540" spans="1:5">
      <c r="A2540" s="247">
        <v>41693.626400462963</v>
      </c>
      <c r="B2540" s="221">
        <v>22.5</v>
      </c>
      <c r="E2540" s="221">
        <v>43.8</v>
      </c>
    </row>
    <row r="2541" spans="1:5">
      <c r="A2541" s="247">
        <v>41693.668067129627</v>
      </c>
      <c r="B2541" s="221">
        <v>22.5</v>
      </c>
      <c r="E2541" s="221">
        <v>43.2</v>
      </c>
    </row>
    <row r="2542" spans="1:5">
      <c r="A2542" s="247">
        <v>41693.709733796299</v>
      </c>
      <c r="B2542" s="221">
        <v>22.5</v>
      </c>
      <c r="E2542" s="221">
        <v>40.799999999999997</v>
      </c>
    </row>
    <row r="2543" spans="1:5">
      <c r="A2543" s="247">
        <v>41693.751400462963</v>
      </c>
      <c r="B2543" s="221">
        <v>14</v>
      </c>
      <c r="E2543" s="221">
        <v>64.2</v>
      </c>
    </row>
    <row r="2544" spans="1:5">
      <c r="A2544" s="247">
        <v>41693.793067129627</v>
      </c>
      <c r="B2544" s="221">
        <v>11</v>
      </c>
      <c r="E2544" s="221">
        <v>83.4</v>
      </c>
    </row>
    <row r="2545" spans="1:5">
      <c r="A2545" s="247">
        <v>41693.834733796299</v>
      </c>
      <c r="B2545" s="221">
        <v>9</v>
      </c>
      <c r="E2545" s="221">
        <v>86.4</v>
      </c>
    </row>
    <row r="2546" spans="1:5">
      <c r="A2546" s="247">
        <v>41693.876400462963</v>
      </c>
      <c r="B2546" s="221">
        <v>8.5</v>
      </c>
      <c r="E2546" s="221">
        <v>90</v>
      </c>
    </row>
    <row r="2547" spans="1:5">
      <c r="A2547" s="247">
        <v>41693.918067129627</v>
      </c>
      <c r="B2547" s="221">
        <v>7</v>
      </c>
      <c r="E2547" s="221">
        <v>94.2</v>
      </c>
    </row>
    <row r="2548" spans="1:5">
      <c r="A2548" s="247">
        <v>41693.959733796299</v>
      </c>
      <c r="B2548" s="221">
        <v>6.5</v>
      </c>
      <c r="E2548" s="221">
        <v>96</v>
      </c>
    </row>
    <row r="2549" spans="1:5">
      <c r="A2549" s="247">
        <v>41694.001400462963</v>
      </c>
      <c r="B2549" s="221">
        <v>5.5</v>
      </c>
      <c r="E2549" s="221">
        <v>98.4</v>
      </c>
    </row>
    <row r="2550" spans="1:5">
      <c r="A2550" s="247">
        <v>41694.043067129627</v>
      </c>
      <c r="B2550" s="221">
        <v>4.5</v>
      </c>
      <c r="E2550" s="221">
        <v>100.2</v>
      </c>
    </row>
    <row r="2551" spans="1:5">
      <c r="A2551" s="247">
        <v>41694.084733796299</v>
      </c>
      <c r="B2551" s="221">
        <v>5.5</v>
      </c>
      <c r="E2551" s="221">
        <v>96.6</v>
      </c>
    </row>
    <row r="2552" spans="1:5">
      <c r="A2552" s="247">
        <v>41694.126400462963</v>
      </c>
      <c r="B2552" s="221">
        <v>3</v>
      </c>
      <c r="E2552" s="221">
        <v>103.8</v>
      </c>
    </row>
    <row r="2553" spans="1:5">
      <c r="A2553" s="247">
        <v>41694.168067129627</v>
      </c>
      <c r="B2553" s="221">
        <v>3.5</v>
      </c>
      <c r="E2553" s="221">
        <v>99.6</v>
      </c>
    </row>
    <row r="2554" spans="1:5">
      <c r="A2554" s="247">
        <v>41694.209733796299</v>
      </c>
      <c r="B2554" s="221">
        <v>1.5</v>
      </c>
      <c r="E2554" s="221">
        <v>104.4</v>
      </c>
    </row>
    <row r="2555" spans="1:5">
      <c r="A2555" s="247">
        <v>41694.251400462963</v>
      </c>
      <c r="B2555" s="221">
        <v>1.5</v>
      </c>
      <c r="E2555" s="221">
        <v>105.6</v>
      </c>
    </row>
    <row r="2556" spans="1:5">
      <c r="A2556" s="247">
        <v>41694.293067129627</v>
      </c>
      <c r="B2556" s="221">
        <v>1.5</v>
      </c>
      <c r="E2556" s="221">
        <v>105.6</v>
      </c>
    </row>
    <row r="2557" spans="1:5">
      <c r="A2557" s="247">
        <v>41694.334733796299</v>
      </c>
      <c r="B2557" s="221">
        <v>2</v>
      </c>
      <c r="E2557" s="221">
        <v>100.2</v>
      </c>
    </row>
    <row r="2558" spans="1:5">
      <c r="A2558" s="247">
        <v>41694.376400462963</v>
      </c>
      <c r="B2558" s="221">
        <v>1</v>
      </c>
      <c r="E2558" s="221">
        <v>102.6</v>
      </c>
    </row>
    <row r="2559" spans="1:5">
      <c r="A2559" s="247">
        <v>41694.418067129627</v>
      </c>
      <c r="B2559" s="221">
        <v>4.5</v>
      </c>
      <c r="E2559" s="221">
        <v>88.8</v>
      </c>
    </row>
    <row r="2560" spans="1:5">
      <c r="A2560" s="247">
        <v>41694.459733796299</v>
      </c>
      <c r="B2560" s="221">
        <v>10.5</v>
      </c>
      <c r="E2560" s="221">
        <v>72.599999999999994</v>
      </c>
    </row>
    <row r="2561" spans="1:5">
      <c r="A2561" s="247">
        <v>41694.501400462963</v>
      </c>
      <c r="B2561" s="221">
        <v>15</v>
      </c>
      <c r="E2561" s="221">
        <v>60.6</v>
      </c>
    </row>
    <row r="2562" spans="1:5">
      <c r="A2562" s="247">
        <v>41694.543067129627</v>
      </c>
      <c r="B2562" s="221">
        <v>16</v>
      </c>
      <c r="E2562" s="221">
        <v>58.8</v>
      </c>
    </row>
    <row r="2563" spans="1:5">
      <c r="A2563" s="247">
        <v>41694.584733796299</v>
      </c>
      <c r="B2563" s="221">
        <v>18.5</v>
      </c>
      <c r="E2563" s="221">
        <v>51.6</v>
      </c>
    </row>
    <row r="2564" spans="1:5">
      <c r="A2564" s="247">
        <v>41694.626400462963</v>
      </c>
      <c r="B2564" s="221">
        <v>19.5</v>
      </c>
      <c r="E2564" s="221">
        <v>49.8</v>
      </c>
    </row>
    <row r="2565" spans="1:5">
      <c r="A2565" s="247">
        <v>41694.668067129627</v>
      </c>
      <c r="B2565" s="221">
        <v>19</v>
      </c>
      <c r="E2565" s="221">
        <v>49.2</v>
      </c>
    </row>
    <row r="2566" spans="1:5">
      <c r="A2566" s="247">
        <v>41694.709733796299</v>
      </c>
      <c r="B2566" s="221">
        <v>18.5</v>
      </c>
      <c r="E2566" s="221">
        <v>49.2</v>
      </c>
    </row>
    <row r="2567" spans="1:5">
      <c r="A2567" s="247">
        <v>41694.751400462963</v>
      </c>
      <c r="B2567" s="221">
        <v>16</v>
      </c>
      <c r="E2567" s="221">
        <v>54.6</v>
      </c>
    </row>
    <row r="2568" spans="1:5">
      <c r="A2568" s="247">
        <v>41694.793067129627</v>
      </c>
      <c r="B2568" s="221">
        <v>13.5</v>
      </c>
      <c r="E2568" s="221">
        <v>68.400000000000006</v>
      </c>
    </row>
    <row r="2569" spans="1:5">
      <c r="A2569" s="247">
        <v>41694.834733796299</v>
      </c>
      <c r="B2569" s="221">
        <v>10</v>
      </c>
      <c r="E2569" s="221">
        <v>79.2</v>
      </c>
    </row>
    <row r="2570" spans="1:5">
      <c r="A2570" s="247">
        <v>41694.876400462963</v>
      </c>
      <c r="B2570" s="221">
        <v>8.5</v>
      </c>
      <c r="E2570" s="221">
        <v>85.2</v>
      </c>
    </row>
    <row r="2571" spans="1:5">
      <c r="A2571" s="247">
        <v>41694.918067129627</v>
      </c>
      <c r="B2571" s="221">
        <v>10</v>
      </c>
      <c r="E2571" s="221">
        <v>77.400000000000006</v>
      </c>
    </row>
    <row r="2572" spans="1:5">
      <c r="A2572" s="247">
        <v>41694.959733796299</v>
      </c>
      <c r="B2572" s="221">
        <v>10</v>
      </c>
      <c r="E2572" s="221">
        <v>78</v>
      </c>
    </row>
    <row r="2573" spans="1:5">
      <c r="A2573" s="247">
        <v>41695.001400462963</v>
      </c>
      <c r="B2573" s="221">
        <v>10</v>
      </c>
      <c r="E2573" s="221">
        <v>77.400000000000006</v>
      </c>
    </row>
    <row r="2574" spans="1:5">
      <c r="A2574" s="247">
        <v>41695.043067129627</v>
      </c>
      <c r="B2574" s="221">
        <v>9.5</v>
      </c>
      <c r="E2574" s="221">
        <v>76.8</v>
      </c>
    </row>
    <row r="2575" spans="1:5">
      <c r="A2575" s="247">
        <v>41695.084733796299</v>
      </c>
      <c r="B2575" s="221">
        <v>9.5</v>
      </c>
      <c r="E2575" s="221">
        <v>80.400000000000006</v>
      </c>
    </row>
    <row r="2576" spans="1:5">
      <c r="A2576" s="247">
        <v>41695.126400462963</v>
      </c>
      <c r="B2576" s="221">
        <v>9</v>
      </c>
      <c r="E2576" s="221">
        <v>82.2</v>
      </c>
    </row>
    <row r="2577" spans="1:5">
      <c r="A2577" s="247">
        <v>41695.168067129627</v>
      </c>
      <c r="B2577" s="221">
        <v>9.5</v>
      </c>
      <c r="E2577" s="221">
        <v>82.2</v>
      </c>
    </row>
    <row r="2578" spans="1:5">
      <c r="A2578" s="247">
        <v>41695.209733796299</v>
      </c>
      <c r="B2578" s="221">
        <v>9</v>
      </c>
      <c r="E2578" s="221">
        <v>82.2</v>
      </c>
    </row>
    <row r="2579" spans="1:5">
      <c r="A2579" s="247">
        <v>41695.251400462963</v>
      </c>
      <c r="B2579" s="221">
        <v>9</v>
      </c>
      <c r="E2579" s="221">
        <v>82.8</v>
      </c>
    </row>
    <row r="2580" spans="1:5">
      <c r="A2580" s="247">
        <v>41695.293067129627</v>
      </c>
      <c r="B2580" s="221">
        <v>8.5</v>
      </c>
      <c r="E2580" s="221">
        <v>85.8</v>
      </c>
    </row>
    <row r="2581" spans="1:5">
      <c r="A2581" s="247">
        <v>41695.334733796299</v>
      </c>
      <c r="B2581" s="221">
        <v>9.5</v>
      </c>
      <c r="E2581" s="221">
        <v>82.8</v>
      </c>
    </row>
    <row r="2582" spans="1:5">
      <c r="A2582" s="247">
        <v>41695.376400462963</v>
      </c>
      <c r="B2582" s="221">
        <v>9</v>
      </c>
      <c r="E2582" s="221">
        <v>88.2</v>
      </c>
    </row>
    <row r="2583" spans="1:5">
      <c r="A2583" s="247">
        <v>41695.418067129627</v>
      </c>
      <c r="B2583" s="221">
        <v>9.5</v>
      </c>
      <c r="E2583" s="221">
        <v>84.6</v>
      </c>
    </row>
    <row r="2584" spans="1:5">
      <c r="A2584" s="247">
        <v>41695.459733796299</v>
      </c>
      <c r="B2584" s="221">
        <v>11</v>
      </c>
      <c r="E2584" s="221">
        <v>80.400000000000006</v>
      </c>
    </row>
    <row r="2585" spans="1:5">
      <c r="A2585" s="247">
        <v>41695.501400462963</v>
      </c>
      <c r="B2585" s="221">
        <v>10</v>
      </c>
      <c r="E2585" s="221">
        <v>91.2</v>
      </c>
    </row>
    <row r="2586" spans="1:5">
      <c r="A2586" s="247">
        <v>41695.543067129627</v>
      </c>
      <c r="B2586" s="221">
        <v>10</v>
      </c>
      <c r="E2586" s="221">
        <v>91.8</v>
      </c>
    </row>
    <row r="2587" spans="1:5">
      <c r="A2587" s="247">
        <v>41695.584733796299</v>
      </c>
      <c r="B2587" s="221">
        <v>13</v>
      </c>
      <c r="E2587" s="221">
        <v>78</v>
      </c>
    </row>
    <row r="2588" spans="1:5">
      <c r="A2588" s="247">
        <v>41695.626400462963</v>
      </c>
      <c r="B2588" s="221">
        <v>12</v>
      </c>
      <c r="E2588" s="221">
        <v>79.2</v>
      </c>
    </row>
    <row r="2589" spans="1:5">
      <c r="A2589" s="247">
        <v>41695.668067129627</v>
      </c>
      <c r="B2589" s="221">
        <v>7.5</v>
      </c>
      <c r="E2589" s="221">
        <v>99.6</v>
      </c>
    </row>
    <row r="2590" spans="1:5">
      <c r="A2590" s="247">
        <v>41695.709733796299</v>
      </c>
      <c r="B2590" s="221">
        <v>9</v>
      </c>
      <c r="E2590" s="221">
        <v>91.2</v>
      </c>
    </row>
    <row r="2591" spans="1:5">
      <c r="A2591" s="247">
        <v>41695.751400462963</v>
      </c>
      <c r="B2591" s="221">
        <v>7.5</v>
      </c>
      <c r="E2591" s="221">
        <v>95.4</v>
      </c>
    </row>
    <row r="2592" spans="1:5">
      <c r="A2592" s="247">
        <v>41695.793067129627</v>
      </c>
      <c r="B2592" s="221">
        <v>6.5</v>
      </c>
      <c r="E2592" s="221">
        <v>99.6</v>
      </c>
    </row>
    <row r="2593" spans="1:5">
      <c r="A2593" s="247">
        <v>41695.834733796299</v>
      </c>
      <c r="B2593" s="221">
        <v>5.5</v>
      </c>
      <c r="E2593" s="221">
        <v>98.4</v>
      </c>
    </row>
    <row r="2594" spans="1:5">
      <c r="A2594" s="247">
        <v>41695.876400462963</v>
      </c>
      <c r="B2594" s="221">
        <v>5.5</v>
      </c>
      <c r="E2594" s="221">
        <v>102.6</v>
      </c>
    </row>
    <row r="2595" spans="1:5">
      <c r="A2595" s="247">
        <v>41695.918067129627</v>
      </c>
      <c r="B2595" s="221">
        <v>5.5</v>
      </c>
      <c r="E2595" s="221">
        <v>102</v>
      </c>
    </row>
    <row r="2596" spans="1:5">
      <c r="A2596" s="247">
        <v>41695.959733796299</v>
      </c>
      <c r="B2596" s="221">
        <v>5.5</v>
      </c>
      <c r="E2596" s="221">
        <v>100.8</v>
      </c>
    </row>
    <row r="2597" spans="1:5">
      <c r="A2597" s="247">
        <v>41696.001400462963</v>
      </c>
      <c r="B2597" s="221">
        <v>5.5</v>
      </c>
      <c r="E2597" s="221">
        <v>102</v>
      </c>
    </row>
    <row r="2598" spans="1:5">
      <c r="A2598" s="247">
        <v>41696.043067129627</v>
      </c>
      <c r="B2598" s="221">
        <v>5.5</v>
      </c>
      <c r="E2598" s="221">
        <v>101.4</v>
      </c>
    </row>
    <row r="2599" spans="1:5">
      <c r="A2599" s="247">
        <v>41696.084733796299</v>
      </c>
      <c r="B2599" s="221">
        <v>4.5</v>
      </c>
      <c r="E2599" s="221">
        <v>103.2</v>
      </c>
    </row>
    <row r="2600" spans="1:5">
      <c r="A2600" s="247">
        <v>41696.126400462963</v>
      </c>
      <c r="B2600" s="221">
        <v>4</v>
      </c>
      <c r="E2600" s="221">
        <v>103.8</v>
      </c>
    </row>
    <row r="2601" spans="1:5">
      <c r="A2601" s="247">
        <v>41696.168067129627</v>
      </c>
      <c r="B2601" s="221">
        <v>3.5</v>
      </c>
      <c r="E2601" s="221">
        <v>103.8</v>
      </c>
    </row>
    <row r="2602" spans="1:5">
      <c r="A2602" s="247">
        <v>41696.209733796299</v>
      </c>
      <c r="B2602" s="221">
        <v>3</v>
      </c>
      <c r="E2602" s="221">
        <v>104.4</v>
      </c>
    </row>
    <row r="2603" spans="1:5">
      <c r="A2603" s="247">
        <v>41696.251400462963</v>
      </c>
      <c r="B2603" s="221">
        <v>2.5</v>
      </c>
      <c r="E2603" s="221">
        <v>105.6</v>
      </c>
    </row>
    <row r="2604" spans="1:5">
      <c r="A2604" s="247">
        <v>41696.293067129627</v>
      </c>
      <c r="B2604" s="221">
        <v>2.5</v>
      </c>
      <c r="E2604" s="221">
        <v>105.6</v>
      </c>
    </row>
    <row r="2605" spans="1:5">
      <c r="A2605" s="247">
        <v>41696.334733796299</v>
      </c>
      <c r="B2605" s="221">
        <v>2</v>
      </c>
      <c r="E2605" s="221">
        <v>105.6</v>
      </c>
    </row>
    <row r="2606" spans="1:5">
      <c r="A2606" s="247">
        <v>41696.376400462963</v>
      </c>
      <c r="B2606" s="221">
        <v>3</v>
      </c>
      <c r="E2606" s="221">
        <v>105.6</v>
      </c>
    </row>
    <row r="2607" spans="1:5">
      <c r="A2607" s="247">
        <v>41696.418067129627</v>
      </c>
      <c r="B2607" s="221">
        <v>4</v>
      </c>
      <c r="E2607" s="221">
        <v>105.6</v>
      </c>
    </row>
    <row r="2608" spans="1:5">
      <c r="A2608" s="247">
        <v>41696.459733796299</v>
      </c>
      <c r="B2608" s="221">
        <v>5.5</v>
      </c>
      <c r="E2608" s="221">
        <v>100.8</v>
      </c>
    </row>
    <row r="2609" spans="1:5">
      <c r="A2609" s="247">
        <v>41696.501400462963</v>
      </c>
      <c r="B2609" s="221">
        <v>7.5</v>
      </c>
      <c r="E2609" s="221">
        <v>96.6</v>
      </c>
    </row>
    <row r="2610" spans="1:5">
      <c r="A2610" s="247">
        <v>41696.543067129627</v>
      </c>
      <c r="B2610" s="221">
        <v>8</v>
      </c>
      <c r="E2610" s="221">
        <v>94.2</v>
      </c>
    </row>
    <row r="2611" spans="1:5">
      <c r="A2611" s="247">
        <v>41696.584733796299</v>
      </c>
      <c r="B2611" s="221">
        <v>10</v>
      </c>
      <c r="E2611" s="221">
        <v>83.4</v>
      </c>
    </row>
    <row r="2612" spans="1:5">
      <c r="A2612" s="247">
        <v>41696.626400462963</v>
      </c>
      <c r="B2612" s="221">
        <v>9.5</v>
      </c>
      <c r="E2612" s="221">
        <v>84</v>
      </c>
    </row>
    <row r="2613" spans="1:5">
      <c r="A2613" s="247">
        <v>41696.668067129627</v>
      </c>
      <c r="B2613" s="221">
        <v>14.5</v>
      </c>
      <c r="E2613" s="221">
        <v>63.6</v>
      </c>
    </row>
    <row r="2614" spans="1:5">
      <c r="A2614" s="247">
        <v>41696.709733796299</v>
      </c>
      <c r="B2614" s="221">
        <v>14.5</v>
      </c>
      <c r="E2614" s="221">
        <v>61.8</v>
      </c>
    </row>
    <row r="2615" spans="1:5">
      <c r="A2615" s="247">
        <v>41696.751400462963</v>
      </c>
      <c r="B2615" s="221">
        <v>11.5</v>
      </c>
      <c r="E2615" s="221">
        <v>65.400000000000006</v>
      </c>
    </row>
    <row r="2616" spans="1:5">
      <c r="A2616" s="247">
        <v>41696.793067129627</v>
      </c>
      <c r="B2616" s="221">
        <v>9</v>
      </c>
      <c r="E2616" s="221">
        <v>79.2</v>
      </c>
    </row>
    <row r="2617" spans="1:5">
      <c r="A2617" s="247">
        <v>41696.834733796299</v>
      </c>
      <c r="B2617" s="221">
        <v>5.5</v>
      </c>
      <c r="E2617" s="221">
        <v>94.8</v>
      </c>
    </row>
    <row r="2618" spans="1:5">
      <c r="A2618" s="247">
        <v>41696.876400462963</v>
      </c>
      <c r="B2618" s="221">
        <v>5.5</v>
      </c>
      <c r="E2618" s="221">
        <v>94.2</v>
      </c>
    </row>
    <row r="2619" spans="1:5">
      <c r="A2619" s="247">
        <v>41696.918067129627</v>
      </c>
      <c r="B2619" s="221">
        <v>4</v>
      </c>
      <c r="E2619" s="221">
        <v>97.2</v>
      </c>
    </row>
    <row r="2620" spans="1:5">
      <c r="A2620" s="247">
        <v>41696.959733796299</v>
      </c>
      <c r="B2620" s="221">
        <v>4</v>
      </c>
      <c r="E2620" s="221">
        <v>97.8</v>
      </c>
    </row>
    <row r="2621" spans="1:5">
      <c r="A2621" s="247">
        <v>41697.001400462963</v>
      </c>
      <c r="B2621" s="221">
        <v>3.5</v>
      </c>
      <c r="E2621" s="221">
        <v>100.2</v>
      </c>
    </row>
    <row r="2622" spans="1:5">
      <c r="A2622" s="247">
        <v>41697.043067129627</v>
      </c>
      <c r="B2622" s="221">
        <v>2.5</v>
      </c>
      <c r="E2622" s="221">
        <v>102.6</v>
      </c>
    </row>
    <row r="2623" spans="1:5">
      <c r="A2623" s="247">
        <v>41697.084733796299</v>
      </c>
      <c r="B2623" s="221">
        <v>4</v>
      </c>
      <c r="E2623" s="221">
        <v>100.8</v>
      </c>
    </row>
    <row r="2624" spans="1:5">
      <c r="A2624" s="247">
        <v>41697.126400462963</v>
      </c>
      <c r="B2624" s="221">
        <v>4.5</v>
      </c>
      <c r="E2624" s="221">
        <v>101.4</v>
      </c>
    </row>
    <row r="2625" spans="1:5">
      <c r="A2625" s="247">
        <v>41697.168067129627</v>
      </c>
      <c r="B2625" s="221">
        <v>2.5</v>
      </c>
      <c r="E2625" s="221">
        <v>103.8</v>
      </c>
    </row>
    <row r="2626" spans="1:5">
      <c r="A2626" s="247">
        <v>41697.209733796299</v>
      </c>
      <c r="B2626" s="221">
        <v>3</v>
      </c>
      <c r="E2626" s="221">
        <v>104.4</v>
      </c>
    </row>
    <row r="2627" spans="1:5">
      <c r="A2627" s="247">
        <v>41697.251400462963</v>
      </c>
      <c r="B2627" s="221">
        <v>3</v>
      </c>
      <c r="E2627" s="221">
        <v>104.4</v>
      </c>
    </row>
    <row r="2628" spans="1:5">
      <c r="A2628" s="247">
        <v>41697.293067129627</v>
      </c>
      <c r="B2628" s="221">
        <v>4</v>
      </c>
      <c r="E2628" s="221">
        <v>103.2</v>
      </c>
    </row>
    <row r="2629" spans="1:5">
      <c r="A2629" s="247">
        <v>41697.334733796299</v>
      </c>
      <c r="B2629" s="221">
        <v>4.5</v>
      </c>
      <c r="E2629" s="221">
        <v>100.2</v>
      </c>
    </row>
    <row r="2630" spans="1:5">
      <c r="A2630" s="247">
        <v>41697.376400462963</v>
      </c>
      <c r="B2630" s="221">
        <v>4.5</v>
      </c>
      <c r="E2630" s="221">
        <v>100.2</v>
      </c>
    </row>
    <row r="2631" spans="1:5">
      <c r="A2631" s="247">
        <v>41697.418067129627</v>
      </c>
      <c r="B2631" s="221">
        <v>5</v>
      </c>
      <c r="E2631" s="221">
        <v>99.6</v>
      </c>
    </row>
    <row r="2632" spans="1:5">
      <c r="A2632" s="247">
        <v>41697.459733796299</v>
      </c>
      <c r="B2632" s="221">
        <v>5</v>
      </c>
      <c r="E2632" s="221">
        <v>102</v>
      </c>
    </row>
    <row r="2633" spans="1:5">
      <c r="A2633" s="247">
        <v>41697.501400462963</v>
      </c>
      <c r="B2633" s="221">
        <v>5.5</v>
      </c>
      <c r="E2633" s="221">
        <v>103.8</v>
      </c>
    </row>
    <row r="2634" spans="1:5">
      <c r="A2634" s="247">
        <v>41697.543067129627</v>
      </c>
      <c r="B2634" s="221">
        <v>5.5</v>
      </c>
      <c r="E2634" s="221">
        <v>103.2</v>
      </c>
    </row>
    <row r="2635" spans="1:5">
      <c r="A2635" s="247">
        <v>41697.584733796299</v>
      </c>
      <c r="B2635" s="221">
        <v>6</v>
      </c>
      <c r="E2635" s="221">
        <v>103.8</v>
      </c>
    </row>
    <row r="2636" spans="1:5">
      <c r="A2636" s="247">
        <v>41697.626400462963</v>
      </c>
      <c r="B2636" s="221">
        <v>6.5</v>
      </c>
      <c r="E2636" s="221">
        <v>103.2</v>
      </c>
    </row>
    <row r="2637" spans="1:5">
      <c r="A2637" s="247">
        <v>41697.668067129627</v>
      </c>
      <c r="B2637" s="221">
        <v>9</v>
      </c>
      <c r="E2637" s="221">
        <v>95.4</v>
      </c>
    </row>
    <row r="2638" spans="1:5">
      <c r="A2638" s="247">
        <v>41697.709733796299</v>
      </c>
      <c r="B2638" s="221">
        <v>5</v>
      </c>
      <c r="E2638" s="221">
        <v>102</v>
      </c>
    </row>
    <row r="2639" spans="1:5">
      <c r="A2639" s="247">
        <v>41697.751400462963</v>
      </c>
      <c r="B2639" s="221">
        <v>6.5</v>
      </c>
      <c r="E2639" s="221">
        <v>98.4</v>
      </c>
    </row>
    <row r="2640" spans="1:5">
      <c r="A2640" s="247">
        <v>41697.793067129627</v>
      </c>
      <c r="B2640" s="221">
        <v>6.5</v>
      </c>
      <c r="E2640" s="221">
        <v>96.6</v>
      </c>
    </row>
    <row r="2641" spans="1:5">
      <c r="A2641" s="247">
        <v>41697.834733796299</v>
      </c>
      <c r="B2641" s="221">
        <v>6</v>
      </c>
      <c r="E2641" s="221">
        <v>98.4</v>
      </c>
    </row>
    <row r="2642" spans="1:5">
      <c r="A2642" s="247">
        <v>41697.876400462963</v>
      </c>
      <c r="B2642" s="221">
        <v>7</v>
      </c>
      <c r="E2642" s="221">
        <v>94.2</v>
      </c>
    </row>
    <row r="2643" spans="1:5">
      <c r="A2643" s="247">
        <v>41697.918067129627</v>
      </c>
      <c r="B2643" s="221">
        <v>6.5</v>
      </c>
      <c r="E2643" s="221">
        <v>96.6</v>
      </c>
    </row>
    <row r="2644" spans="1:5">
      <c r="A2644" s="247">
        <v>41697.959733796299</v>
      </c>
      <c r="B2644" s="221">
        <v>6</v>
      </c>
      <c r="E2644" s="221">
        <v>100.2</v>
      </c>
    </row>
    <row r="2645" spans="1:5">
      <c r="A2645" s="247">
        <v>41698.001400462963</v>
      </c>
      <c r="B2645" s="221">
        <v>6</v>
      </c>
      <c r="E2645" s="221">
        <v>100.2</v>
      </c>
    </row>
    <row r="2646" spans="1:5">
      <c r="A2646" s="247">
        <v>41698.043067129627</v>
      </c>
      <c r="B2646" s="221">
        <v>6</v>
      </c>
      <c r="E2646" s="221">
        <v>102</v>
      </c>
    </row>
    <row r="2647" spans="1:5">
      <c r="A2647" s="247">
        <v>41698.084733796299</v>
      </c>
      <c r="B2647" s="221">
        <v>5.5</v>
      </c>
      <c r="E2647" s="221">
        <v>100.2</v>
      </c>
    </row>
    <row r="2648" spans="1:5">
      <c r="A2648" s="247">
        <v>41698.126400462963</v>
      </c>
      <c r="B2648" s="221">
        <v>6</v>
      </c>
      <c r="E2648" s="221">
        <v>100.8</v>
      </c>
    </row>
    <row r="2649" spans="1:5">
      <c r="A2649" s="247">
        <v>41698.168067129627</v>
      </c>
      <c r="B2649" s="221">
        <v>6.5</v>
      </c>
      <c r="E2649" s="221">
        <v>98.4</v>
      </c>
    </row>
    <row r="2650" spans="1:5">
      <c r="A2650" s="247">
        <v>41698.209733796299</v>
      </c>
      <c r="B2650" s="221">
        <v>5.5</v>
      </c>
      <c r="E2650" s="221">
        <v>103.2</v>
      </c>
    </row>
    <row r="2651" spans="1:5">
      <c r="A2651" s="247">
        <v>41698.251400462963</v>
      </c>
      <c r="B2651" s="221">
        <v>5.5</v>
      </c>
      <c r="E2651" s="221">
        <v>103.8</v>
      </c>
    </row>
    <row r="2652" spans="1:5">
      <c r="A2652" s="247">
        <v>41698.293067129627</v>
      </c>
      <c r="B2652" s="221">
        <v>6.5</v>
      </c>
      <c r="E2652" s="221">
        <v>102.6</v>
      </c>
    </row>
    <row r="2653" spans="1:5">
      <c r="A2653" s="247">
        <v>41698.334733796299</v>
      </c>
      <c r="B2653" s="221">
        <v>6.5</v>
      </c>
      <c r="E2653" s="221">
        <v>103.2</v>
      </c>
    </row>
    <row r="2654" spans="1:5">
      <c r="A2654" s="247">
        <v>41698.376400462963</v>
      </c>
      <c r="B2654" s="221">
        <v>5</v>
      </c>
      <c r="E2654" s="221">
        <v>102</v>
      </c>
    </row>
    <row r="2655" spans="1:5">
      <c r="A2655" s="247">
        <v>41698.418067129627</v>
      </c>
      <c r="B2655" s="221">
        <v>4</v>
      </c>
      <c r="E2655" s="221">
        <v>102.6</v>
      </c>
    </row>
    <row r="2656" spans="1:5">
      <c r="A2656" s="247">
        <v>41698.459733796299</v>
      </c>
      <c r="B2656" s="221">
        <v>4.5</v>
      </c>
      <c r="E2656" s="221">
        <v>102</v>
      </c>
    </row>
    <row r="2657" spans="1:5">
      <c r="A2657" s="247">
        <v>41698.501400462963</v>
      </c>
      <c r="B2657" s="221">
        <v>6</v>
      </c>
      <c r="E2657" s="221">
        <v>98.4</v>
      </c>
    </row>
    <row r="2658" spans="1:5">
      <c r="A2658" s="247">
        <v>41698.543067129627</v>
      </c>
      <c r="B2658" s="221">
        <v>9.5</v>
      </c>
      <c r="E2658" s="221">
        <v>84.6</v>
      </c>
    </row>
    <row r="2659" spans="1:5">
      <c r="A2659" s="247">
        <v>41698.584733796299</v>
      </c>
      <c r="B2659" s="221">
        <v>9</v>
      </c>
      <c r="E2659" s="221">
        <v>81</v>
      </c>
    </row>
    <row r="2660" spans="1:5">
      <c r="A2660" s="247">
        <v>41698.626400462963</v>
      </c>
      <c r="B2660" s="221">
        <v>9.5</v>
      </c>
      <c r="E2660" s="221">
        <v>75</v>
      </c>
    </row>
    <row r="2661" spans="1:5">
      <c r="A2661" s="247">
        <v>41698.668067129627</v>
      </c>
      <c r="B2661" s="221">
        <v>9.5</v>
      </c>
      <c r="E2661" s="221">
        <v>78</v>
      </c>
    </row>
    <row r="2662" spans="1:5">
      <c r="A2662" s="247">
        <v>41698.709733796299</v>
      </c>
      <c r="B2662" s="221">
        <v>7</v>
      </c>
      <c r="E2662" s="221">
        <v>88.8</v>
      </c>
    </row>
    <row r="2663" spans="1:5">
      <c r="A2663" s="247">
        <v>41698.751400462963</v>
      </c>
      <c r="B2663" s="221">
        <v>6.5</v>
      </c>
      <c r="E2663" s="221">
        <v>94.2</v>
      </c>
    </row>
    <row r="2664" spans="1:5">
      <c r="A2664" s="247">
        <v>41698.793067129627</v>
      </c>
      <c r="B2664" s="221">
        <v>5.5</v>
      </c>
      <c r="E2664" s="221">
        <v>98.4</v>
      </c>
    </row>
    <row r="2665" spans="1:5">
      <c r="A2665" s="247">
        <v>41698.834733796299</v>
      </c>
      <c r="B2665" s="221">
        <v>5.5</v>
      </c>
      <c r="E2665" s="221">
        <v>99.6</v>
      </c>
    </row>
    <row r="2666" spans="1:5">
      <c r="A2666" s="247">
        <v>41698.876400462963</v>
      </c>
      <c r="B2666" s="221">
        <v>5.5</v>
      </c>
      <c r="E2666" s="221">
        <v>100.2</v>
      </c>
    </row>
    <row r="2667" spans="1:5">
      <c r="A2667" s="247">
        <v>41698.918067129627</v>
      </c>
      <c r="B2667" s="221">
        <v>5.5</v>
      </c>
      <c r="E2667" s="221">
        <v>100.2</v>
      </c>
    </row>
    <row r="2668" spans="1:5">
      <c r="A2668" s="247">
        <v>41698.959733796299</v>
      </c>
      <c r="B2668" s="221">
        <v>5</v>
      </c>
      <c r="E2668" s="221">
        <v>101.4</v>
      </c>
    </row>
    <row r="2669" spans="1:5">
      <c r="A2669" s="247">
        <v>41699.001400462963</v>
      </c>
      <c r="B2669" s="221">
        <v>5</v>
      </c>
      <c r="E2669" s="221">
        <v>100.2</v>
      </c>
    </row>
    <row r="2670" spans="1:5">
      <c r="A2670" s="247">
        <v>41699.043067129627</v>
      </c>
      <c r="B2670" s="221">
        <v>5</v>
      </c>
      <c r="E2670" s="221">
        <v>100.2</v>
      </c>
    </row>
    <row r="2671" spans="1:5">
      <c r="A2671" s="247">
        <v>41699.084733796299</v>
      </c>
      <c r="B2671" s="221">
        <v>5</v>
      </c>
      <c r="E2671" s="221">
        <v>99</v>
      </c>
    </row>
    <row r="2672" spans="1:5">
      <c r="A2672" s="247">
        <v>41699.126400462963</v>
      </c>
      <c r="B2672" s="221">
        <v>4.5</v>
      </c>
      <c r="E2672" s="221">
        <v>100.2</v>
      </c>
    </row>
    <row r="2673" spans="1:5">
      <c r="A2673" s="247">
        <v>41699.168067129627</v>
      </c>
      <c r="B2673" s="221">
        <v>4.5</v>
      </c>
      <c r="E2673" s="221">
        <v>101.4</v>
      </c>
    </row>
    <row r="2674" spans="1:5">
      <c r="A2674" s="247">
        <v>41699.209733796299</v>
      </c>
      <c r="B2674" s="221">
        <v>4.5</v>
      </c>
      <c r="E2674" s="221">
        <v>100.2</v>
      </c>
    </row>
    <row r="2675" spans="1:5">
      <c r="A2675" s="247">
        <v>41699.251400462963</v>
      </c>
      <c r="B2675" s="221">
        <v>4.5</v>
      </c>
      <c r="E2675" s="221">
        <v>100.2</v>
      </c>
    </row>
    <row r="2676" spans="1:5">
      <c r="A2676" s="247">
        <v>41699.293067129627</v>
      </c>
      <c r="B2676" s="221">
        <v>4.5</v>
      </c>
      <c r="E2676" s="221">
        <v>100.8</v>
      </c>
    </row>
    <row r="2677" spans="1:5">
      <c r="A2677" s="247">
        <v>41699.334733796299</v>
      </c>
      <c r="B2677" s="221">
        <v>4.5</v>
      </c>
      <c r="E2677" s="221">
        <v>100.2</v>
      </c>
    </row>
    <row r="2678" spans="1:5">
      <c r="A2678" s="247">
        <v>41699.376400462963</v>
      </c>
      <c r="B2678" s="221">
        <v>4</v>
      </c>
      <c r="E2678" s="221">
        <v>100.8</v>
      </c>
    </row>
    <row r="2679" spans="1:5">
      <c r="A2679" s="247">
        <v>41699.418067129627</v>
      </c>
      <c r="B2679" s="221">
        <v>4</v>
      </c>
      <c r="E2679" s="221">
        <v>100.2</v>
      </c>
    </row>
    <row r="2680" spans="1:5">
      <c r="A2680" s="247">
        <v>41699.459733796299</v>
      </c>
      <c r="B2680" s="221">
        <v>6</v>
      </c>
      <c r="E2680" s="221">
        <v>93.6</v>
      </c>
    </row>
    <row r="2681" spans="1:5">
      <c r="A2681" s="247">
        <v>41699.501400462963</v>
      </c>
      <c r="B2681" s="221">
        <v>5.5</v>
      </c>
      <c r="E2681" s="221">
        <v>92.4</v>
      </c>
    </row>
    <row r="2682" spans="1:5">
      <c r="A2682" s="247">
        <v>41699.543067129627</v>
      </c>
      <c r="B2682" s="221">
        <v>7.5</v>
      </c>
      <c r="E2682" s="221">
        <v>86.4</v>
      </c>
    </row>
    <row r="2683" spans="1:5">
      <c r="A2683" s="247">
        <v>41699.584733796299</v>
      </c>
      <c r="B2683" s="221">
        <v>9</v>
      </c>
      <c r="E2683" s="221">
        <v>77.400000000000006</v>
      </c>
    </row>
    <row r="2684" spans="1:5">
      <c r="A2684" s="247">
        <v>41699.626400462963</v>
      </c>
      <c r="B2684" s="221">
        <v>9.5</v>
      </c>
      <c r="E2684" s="221">
        <v>78</v>
      </c>
    </row>
    <row r="2685" spans="1:5">
      <c r="A2685" s="247">
        <v>41699.668067129627</v>
      </c>
      <c r="B2685" s="221">
        <v>12</v>
      </c>
      <c r="E2685" s="221">
        <v>60.6</v>
      </c>
    </row>
    <row r="2686" spans="1:5">
      <c r="A2686" s="247">
        <v>41699.709733796299</v>
      </c>
      <c r="B2686" s="221">
        <v>10.5</v>
      </c>
      <c r="E2686" s="221">
        <v>62.4</v>
      </c>
    </row>
    <row r="2687" spans="1:5">
      <c r="A2687" s="247">
        <v>41699.751400462963</v>
      </c>
      <c r="B2687" s="221">
        <v>11</v>
      </c>
      <c r="E2687" s="221">
        <v>58.8</v>
      </c>
    </row>
    <row r="2688" spans="1:5">
      <c r="A2688" s="247">
        <v>41699.793067129627</v>
      </c>
      <c r="B2688" s="221">
        <v>8</v>
      </c>
      <c r="E2688" s="221">
        <v>68.400000000000006</v>
      </c>
    </row>
    <row r="2689" spans="1:5">
      <c r="A2689" s="247">
        <v>41699.834733796299</v>
      </c>
      <c r="B2689" s="221">
        <v>4.5</v>
      </c>
      <c r="E2689" s="221">
        <v>91.8</v>
      </c>
    </row>
    <row r="2690" spans="1:5">
      <c r="A2690" s="247">
        <v>41699.876400462963</v>
      </c>
      <c r="B2690" s="221">
        <v>3.5</v>
      </c>
      <c r="E2690" s="221">
        <v>91.8</v>
      </c>
    </row>
    <row r="2691" spans="1:5">
      <c r="A2691" s="247">
        <v>41699.918067129627</v>
      </c>
      <c r="B2691" s="221">
        <v>1.5</v>
      </c>
      <c r="E2691" s="221">
        <v>100.2</v>
      </c>
    </row>
    <row r="2692" spans="1:5">
      <c r="A2692" s="247">
        <v>41699.959733796299</v>
      </c>
      <c r="B2692" s="221">
        <v>1</v>
      </c>
      <c r="E2692" s="221">
        <v>101.4</v>
      </c>
    </row>
    <row r="2693" spans="1:5">
      <c r="A2693" s="247">
        <v>41700.001400462963</v>
      </c>
      <c r="B2693" s="221">
        <v>0.5</v>
      </c>
      <c r="E2693" s="221">
        <v>102</v>
      </c>
    </row>
    <row r="2694" spans="1:5">
      <c r="A2694" s="247">
        <v>41700.043067129627</v>
      </c>
      <c r="B2694" s="221">
        <v>0.5</v>
      </c>
      <c r="E2694" s="221">
        <v>100.2</v>
      </c>
    </row>
    <row r="2695" spans="1:5">
      <c r="A2695" s="247">
        <v>41700.084733796299</v>
      </c>
      <c r="B2695" s="221">
        <v>0</v>
      </c>
      <c r="E2695" s="221">
        <v>100.2</v>
      </c>
    </row>
    <row r="2696" spans="1:5">
      <c r="A2696" s="247">
        <v>41700.126400462963</v>
      </c>
      <c r="B2696" s="221">
        <v>0</v>
      </c>
      <c r="E2696" s="221">
        <v>100.2</v>
      </c>
    </row>
    <row r="2697" spans="1:5">
      <c r="A2697" s="247">
        <v>41700.168067129627</v>
      </c>
      <c r="B2697" s="221">
        <v>-1.5</v>
      </c>
      <c r="E2697" s="221">
        <v>105.6</v>
      </c>
    </row>
    <row r="2698" spans="1:5">
      <c r="A2698" s="247">
        <v>41700.209733796299</v>
      </c>
      <c r="B2698" s="221">
        <v>-1.5</v>
      </c>
      <c r="E2698" s="221">
        <v>105.6</v>
      </c>
    </row>
    <row r="2699" spans="1:5">
      <c r="A2699" s="247">
        <v>41700.251400462963</v>
      </c>
      <c r="B2699" s="221">
        <v>-1.5</v>
      </c>
      <c r="E2699" s="221">
        <v>106.2</v>
      </c>
    </row>
    <row r="2700" spans="1:5">
      <c r="A2700" s="247">
        <v>41700.293067129627</v>
      </c>
      <c r="B2700" s="221">
        <v>-1.5</v>
      </c>
      <c r="E2700" s="221">
        <v>106.8</v>
      </c>
    </row>
    <row r="2701" spans="1:5">
      <c r="A2701" s="247">
        <v>41700.334733796299</v>
      </c>
      <c r="B2701" s="221">
        <v>-2</v>
      </c>
      <c r="E2701" s="221">
        <v>106.8</v>
      </c>
    </row>
    <row r="2702" spans="1:5">
      <c r="A2702" s="247">
        <v>41700.376400462963</v>
      </c>
      <c r="B2702" s="221">
        <v>-1.5</v>
      </c>
      <c r="E2702" s="221">
        <v>106.8</v>
      </c>
    </row>
    <row r="2703" spans="1:5">
      <c r="A2703" s="247">
        <v>41700.418067129627</v>
      </c>
      <c r="B2703" s="221">
        <v>0</v>
      </c>
      <c r="E2703" s="221">
        <v>106.8</v>
      </c>
    </row>
    <row r="2704" spans="1:5">
      <c r="A2704" s="247">
        <v>41700.459733796299</v>
      </c>
      <c r="B2704" s="221">
        <v>5.5</v>
      </c>
      <c r="E2704" s="221">
        <v>90</v>
      </c>
    </row>
    <row r="2705" spans="1:5">
      <c r="A2705" s="247">
        <v>41700.501400462963</v>
      </c>
      <c r="B2705" s="221">
        <v>12</v>
      </c>
      <c r="E2705" s="221">
        <v>66.599999999999994</v>
      </c>
    </row>
    <row r="2706" spans="1:5">
      <c r="A2706" s="247">
        <v>41700.543067129627</v>
      </c>
      <c r="B2706" s="221">
        <v>13</v>
      </c>
      <c r="E2706" s="221">
        <v>57.6</v>
      </c>
    </row>
    <row r="2707" spans="1:5">
      <c r="A2707" s="247">
        <v>41700.584733796299</v>
      </c>
      <c r="B2707" s="221">
        <v>16</v>
      </c>
      <c r="E2707" s="221">
        <v>49.2</v>
      </c>
    </row>
    <row r="2708" spans="1:5">
      <c r="A2708" s="247">
        <v>41700.626400462963</v>
      </c>
      <c r="B2708" s="221">
        <v>15</v>
      </c>
      <c r="E2708" s="221">
        <v>51</v>
      </c>
    </row>
    <row r="2709" spans="1:5">
      <c r="A2709" s="247">
        <v>41700.668067129627</v>
      </c>
      <c r="B2709" s="221">
        <v>13</v>
      </c>
      <c r="E2709" s="221">
        <v>56.4</v>
      </c>
    </row>
    <row r="2710" spans="1:5">
      <c r="A2710" s="247">
        <v>41700.709733796299</v>
      </c>
      <c r="B2710" s="221">
        <v>10.5</v>
      </c>
      <c r="E2710" s="221">
        <v>63.6</v>
      </c>
    </row>
    <row r="2711" spans="1:5">
      <c r="A2711" s="247">
        <v>41700.751400462963</v>
      </c>
      <c r="B2711" s="221">
        <v>10</v>
      </c>
      <c r="E2711" s="221">
        <v>64.8</v>
      </c>
    </row>
    <row r="2712" spans="1:5">
      <c r="A2712" s="247">
        <v>41700.793067129627</v>
      </c>
      <c r="B2712" s="221">
        <v>8</v>
      </c>
      <c r="E2712" s="221">
        <v>78</v>
      </c>
    </row>
    <row r="2713" spans="1:5">
      <c r="A2713" s="247">
        <v>41700.834733796299</v>
      </c>
      <c r="B2713" s="221">
        <v>7</v>
      </c>
      <c r="E2713" s="221">
        <v>82.8</v>
      </c>
    </row>
    <row r="2714" spans="1:5">
      <c r="A2714" s="247">
        <v>41700.876400462963</v>
      </c>
      <c r="B2714" s="221">
        <v>7</v>
      </c>
      <c r="E2714" s="221">
        <v>81.599999999999994</v>
      </c>
    </row>
    <row r="2715" spans="1:5">
      <c r="A2715" s="247">
        <v>41700.918067129627</v>
      </c>
      <c r="B2715" s="221">
        <v>7</v>
      </c>
      <c r="E2715" s="221">
        <v>79.8</v>
      </c>
    </row>
    <row r="2716" spans="1:5">
      <c r="A2716" s="247">
        <v>41700.959733796299</v>
      </c>
      <c r="B2716" s="221">
        <v>7.5</v>
      </c>
      <c r="E2716" s="221">
        <v>79.2</v>
      </c>
    </row>
    <row r="2717" spans="1:5">
      <c r="A2717" s="247">
        <v>41701.001400462963</v>
      </c>
      <c r="B2717" s="221">
        <v>7</v>
      </c>
      <c r="E2717" s="221">
        <v>84</v>
      </c>
    </row>
    <row r="2718" spans="1:5">
      <c r="A2718" s="247">
        <v>41701.043067129627</v>
      </c>
      <c r="B2718" s="221">
        <v>6.5</v>
      </c>
      <c r="E2718" s="221">
        <v>98.4</v>
      </c>
    </row>
    <row r="2719" spans="1:5">
      <c r="A2719" s="247">
        <v>41701.084733796299</v>
      </c>
      <c r="B2719" s="221">
        <v>7</v>
      </c>
      <c r="E2719" s="221">
        <v>100.2</v>
      </c>
    </row>
    <row r="2720" spans="1:5">
      <c r="A2720" s="247">
        <v>41701.126400462963</v>
      </c>
      <c r="B2720" s="221">
        <v>7</v>
      </c>
      <c r="E2720" s="221">
        <v>101.4</v>
      </c>
    </row>
    <row r="2721" spans="1:5">
      <c r="A2721" s="247">
        <v>41701.168067129627</v>
      </c>
      <c r="B2721" s="221">
        <v>7</v>
      </c>
      <c r="E2721" s="221">
        <v>100.2</v>
      </c>
    </row>
    <row r="2722" spans="1:5">
      <c r="A2722" s="247">
        <v>41701.209733796299</v>
      </c>
      <c r="B2722" s="221">
        <v>5</v>
      </c>
      <c r="E2722" s="221">
        <v>99</v>
      </c>
    </row>
    <row r="2723" spans="1:5">
      <c r="A2723" s="247">
        <v>41701.251400462963</v>
      </c>
      <c r="B2723" s="221">
        <v>4</v>
      </c>
      <c r="E2723" s="221">
        <v>99.6</v>
      </c>
    </row>
    <row r="2724" spans="1:5">
      <c r="A2724" s="247">
        <v>41701.293067129627</v>
      </c>
      <c r="B2724" s="221">
        <v>3.5</v>
      </c>
      <c r="E2724" s="221">
        <v>100.8</v>
      </c>
    </row>
    <row r="2725" spans="1:5">
      <c r="A2725" s="247">
        <v>41701.334733796299</v>
      </c>
      <c r="B2725" s="221">
        <v>3.5</v>
      </c>
      <c r="E2725" s="221">
        <v>100.2</v>
      </c>
    </row>
    <row r="2726" spans="1:5">
      <c r="A2726" s="247">
        <v>41701.376400462963</v>
      </c>
      <c r="B2726" s="221">
        <v>4</v>
      </c>
      <c r="E2726" s="221">
        <v>101.4</v>
      </c>
    </row>
    <row r="2727" spans="1:5">
      <c r="A2727" s="247">
        <v>41701.418067129627</v>
      </c>
      <c r="B2727" s="221">
        <v>5.5</v>
      </c>
      <c r="E2727" s="221">
        <v>96.6</v>
      </c>
    </row>
    <row r="2728" spans="1:5">
      <c r="A2728" s="247">
        <v>41701.459733796299</v>
      </c>
      <c r="B2728" s="221">
        <v>8</v>
      </c>
      <c r="E2728" s="221">
        <v>86.4</v>
      </c>
    </row>
    <row r="2729" spans="1:5">
      <c r="A2729" s="247">
        <v>41701.501400462963</v>
      </c>
      <c r="B2729" s="221">
        <v>8.5</v>
      </c>
      <c r="E2729" s="221">
        <v>85.2</v>
      </c>
    </row>
    <row r="2730" spans="1:5">
      <c r="A2730" s="247">
        <v>41701.543067129627</v>
      </c>
      <c r="B2730" s="221">
        <v>9</v>
      </c>
      <c r="E2730" s="221">
        <v>83.4</v>
      </c>
    </row>
    <row r="2731" spans="1:5">
      <c r="A2731" s="247">
        <v>41701.584733796299</v>
      </c>
      <c r="B2731" s="221">
        <v>9</v>
      </c>
      <c r="E2731" s="221">
        <v>83.4</v>
      </c>
    </row>
    <row r="2732" spans="1:5">
      <c r="A2732" s="247">
        <v>41701.626400462963</v>
      </c>
      <c r="B2732" s="221">
        <v>6</v>
      </c>
      <c r="E2732" s="221">
        <v>96.6</v>
      </c>
    </row>
    <row r="2733" spans="1:5">
      <c r="A2733" s="247">
        <v>41701.668067129627</v>
      </c>
      <c r="B2733" s="221">
        <v>8</v>
      </c>
      <c r="E2733" s="221">
        <v>93.6</v>
      </c>
    </row>
    <row r="2734" spans="1:5">
      <c r="A2734" s="247">
        <v>41701.709733796299</v>
      </c>
      <c r="B2734" s="221">
        <v>8</v>
      </c>
      <c r="E2734" s="221">
        <v>90</v>
      </c>
    </row>
    <row r="2735" spans="1:5">
      <c r="A2735" s="247">
        <v>41701.751400462963</v>
      </c>
      <c r="B2735" s="221">
        <v>4.5</v>
      </c>
      <c r="E2735" s="221">
        <v>100.2</v>
      </c>
    </row>
    <row r="2736" spans="1:5">
      <c r="A2736" s="247">
        <v>41701.793067129627</v>
      </c>
      <c r="B2736" s="221">
        <v>5</v>
      </c>
      <c r="E2736" s="221">
        <v>98.4</v>
      </c>
    </row>
    <row r="2737" spans="1:5">
      <c r="A2737" s="247">
        <v>41701.834733796299</v>
      </c>
      <c r="B2737" s="221">
        <v>4.5</v>
      </c>
      <c r="E2737" s="221">
        <v>100.2</v>
      </c>
    </row>
    <row r="2738" spans="1:5">
      <c r="A2738" s="247">
        <v>41701.876400462963</v>
      </c>
      <c r="B2738" s="221">
        <v>5</v>
      </c>
      <c r="E2738" s="221">
        <v>100.2</v>
      </c>
    </row>
    <row r="2739" spans="1:5">
      <c r="A2739" s="247">
        <v>41701.918067129627</v>
      </c>
      <c r="B2739" s="221">
        <v>5</v>
      </c>
      <c r="E2739" s="221">
        <v>96.6</v>
      </c>
    </row>
    <row r="2740" spans="1:5">
      <c r="A2740" s="247">
        <v>41701.959733796299</v>
      </c>
      <c r="B2740" s="221">
        <v>5</v>
      </c>
      <c r="E2740" s="221">
        <v>98.4</v>
      </c>
    </row>
    <row r="2741" spans="1:5">
      <c r="A2741" s="247">
        <v>41702.001400462963</v>
      </c>
      <c r="B2741" s="221">
        <v>4.5</v>
      </c>
      <c r="E2741" s="221">
        <v>100.2</v>
      </c>
    </row>
    <row r="2742" spans="1:5">
      <c r="A2742" s="247">
        <v>41702.043067129627</v>
      </c>
      <c r="B2742" s="221">
        <v>4.5</v>
      </c>
      <c r="E2742" s="221">
        <v>102</v>
      </c>
    </row>
    <row r="2743" spans="1:5">
      <c r="A2743" s="247">
        <v>41702.084733796299</v>
      </c>
      <c r="B2743" s="221">
        <v>4.5</v>
      </c>
      <c r="E2743" s="221">
        <v>100.8</v>
      </c>
    </row>
    <row r="2744" spans="1:5">
      <c r="A2744" s="247">
        <v>41702.126400462963</v>
      </c>
      <c r="B2744" s="221">
        <v>4.5</v>
      </c>
      <c r="E2744" s="221">
        <v>100.2</v>
      </c>
    </row>
    <row r="2745" spans="1:5">
      <c r="A2745" s="247">
        <v>41702.168067129627</v>
      </c>
      <c r="B2745" s="221">
        <v>4.5</v>
      </c>
      <c r="E2745" s="221">
        <v>100.8</v>
      </c>
    </row>
    <row r="2746" spans="1:5">
      <c r="A2746" s="247">
        <v>41702.209733796299</v>
      </c>
      <c r="B2746" s="221">
        <v>4.5</v>
      </c>
      <c r="E2746" s="221">
        <v>100.2</v>
      </c>
    </row>
    <row r="2747" spans="1:5">
      <c r="A2747" s="247">
        <v>41702.251400462963</v>
      </c>
      <c r="B2747" s="221">
        <v>3.5</v>
      </c>
      <c r="E2747" s="221">
        <v>102.6</v>
      </c>
    </row>
    <row r="2748" spans="1:5">
      <c r="A2748" s="247">
        <v>41702.293067129627</v>
      </c>
      <c r="B2748" s="221">
        <v>4</v>
      </c>
      <c r="E2748" s="221">
        <v>102.6</v>
      </c>
    </row>
    <row r="2749" spans="1:5">
      <c r="A2749" s="247">
        <v>41702.334733796299</v>
      </c>
      <c r="B2749" s="221">
        <v>4</v>
      </c>
      <c r="E2749" s="221">
        <v>103.2</v>
      </c>
    </row>
    <row r="2750" spans="1:5">
      <c r="A2750" s="247">
        <v>41702.376400462963</v>
      </c>
      <c r="B2750" s="221">
        <v>4.5</v>
      </c>
      <c r="E2750" s="221">
        <v>102</v>
      </c>
    </row>
    <row r="2751" spans="1:5">
      <c r="A2751" s="247">
        <v>41702.418067129627</v>
      </c>
      <c r="B2751" s="221">
        <v>5</v>
      </c>
      <c r="E2751" s="221">
        <v>100.8</v>
      </c>
    </row>
    <row r="2752" spans="1:5">
      <c r="A2752" s="247">
        <v>41702.459733796299</v>
      </c>
      <c r="B2752" s="221">
        <v>6</v>
      </c>
      <c r="E2752" s="221">
        <v>98.4</v>
      </c>
    </row>
    <row r="2753" spans="1:5">
      <c r="A2753" s="247">
        <v>41702.501400462963</v>
      </c>
      <c r="B2753" s="221">
        <v>7</v>
      </c>
      <c r="E2753" s="221">
        <v>94.2</v>
      </c>
    </row>
    <row r="2754" spans="1:5">
      <c r="A2754" s="247">
        <v>41702.543067129627</v>
      </c>
      <c r="B2754" s="221">
        <v>10</v>
      </c>
      <c r="E2754" s="221">
        <v>84</v>
      </c>
    </row>
    <row r="2755" spans="1:5">
      <c r="A2755" s="247">
        <v>41702.584733796299</v>
      </c>
      <c r="B2755" s="221">
        <v>11.5</v>
      </c>
      <c r="E2755" s="221">
        <v>75</v>
      </c>
    </row>
    <row r="2756" spans="1:5">
      <c r="A2756" s="247">
        <v>41702.626400462963</v>
      </c>
      <c r="B2756" s="221">
        <v>13.5</v>
      </c>
      <c r="E2756" s="221">
        <v>70.8</v>
      </c>
    </row>
    <row r="2757" spans="1:5">
      <c r="A2757" s="247">
        <v>41702.668067129627</v>
      </c>
      <c r="B2757" s="221">
        <v>11</v>
      </c>
      <c r="E2757" s="221">
        <v>69</v>
      </c>
    </row>
    <row r="2758" spans="1:5">
      <c r="A2758" s="247">
        <v>41702.709733796299</v>
      </c>
      <c r="B2758" s="221">
        <v>10.5</v>
      </c>
      <c r="E2758" s="221">
        <v>69.599999999999994</v>
      </c>
    </row>
    <row r="2759" spans="1:5">
      <c r="A2759" s="247">
        <v>41702.751400462963</v>
      </c>
      <c r="B2759" s="221">
        <v>10</v>
      </c>
      <c r="E2759" s="221">
        <v>72</v>
      </c>
    </row>
    <row r="2760" spans="1:5">
      <c r="A2760" s="247">
        <v>41702.793067129627</v>
      </c>
      <c r="B2760" s="221">
        <v>9</v>
      </c>
      <c r="E2760" s="221">
        <v>83.4</v>
      </c>
    </row>
    <row r="2761" spans="1:5">
      <c r="A2761" s="247">
        <v>41702.834733796299</v>
      </c>
      <c r="B2761" s="221">
        <v>7</v>
      </c>
      <c r="E2761" s="221">
        <v>91.8</v>
      </c>
    </row>
    <row r="2762" spans="1:5">
      <c r="A2762" s="247">
        <v>41702.876400462963</v>
      </c>
      <c r="B2762" s="221">
        <v>6</v>
      </c>
      <c r="E2762" s="221">
        <v>96.6</v>
      </c>
    </row>
    <row r="2763" spans="1:5">
      <c r="A2763" s="247">
        <v>41702.918067129627</v>
      </c>
      <c r="B2763" s="221">
        <v>5.5</v>
      </c>
      <c r="E2763" s="221">
        <v>93.6</v>
      </c>
    </row>
    <row r="2764" spans="1:5">
      <c r="A2764" s="247">
        <v>41702.959733796299</v>
      </c>
      <c r="B2764" s="221">
        <v>4.5</v>
      </c>
      <c r="E2764" s="221">
        <v>96.6</v>
      </c>
    </row>
    <row r="2765" spans="1:5">
      <c r="A2765" s="247">
        <v>41703.001400462963</v>
      </c>
      <c r="B2765" s="221">
        <v>4</v>
      </c>
      <c r="E2765" s="221">
        <v>97.8</v>
      </c>
    </row>
    <row r="2766" spans="1:5">
      <c r="A2766" s="247">
        <v>41703.043067129627</v>
      </c>
      <c r="B2766" s="221">
        <v>2.5</v>
      </c>
      <c r="E2766" s="221">
        <v>101.4</v>
      </c>
    </row>
    <row r="2767" spans="1:5">
      <c r="A2767" s="247">
        <v>41703.084733796299</v>
      </c>
      <c r="B2767" s="221">
        <v>1.5</v>
      </c>
      <c r="E2767" s="221">
        <v>102</v>
      </c>
    </row>
    <row r="2768" spans="1:5">
      <c r="A2768" s="247">
        <v>41703.126400462963</v>
      </c>
      <c r="B2768" s="221">
        <v>1</v>
      </c>
      <c r="E2768" s="221">
        <v>105</v>
      </c>
    </row>
    <row r="2769" spans="1:5">
      <c r="A2769" s="247">
        <v>41703.168067129627</v>
      </c>
      <c r="B2769" s="221">
        <v>1.5</v>
      </c>
      <c r="E2769" s="221">
        <v>104.4</v>
      </c>
    </row>
    <row r="2770" spans="1:5">
      <c r="A2770" s="247">
        <v>41703.209733796299</v>
      </c>
      <c r="B2770" s="221">
        <v>1</v>
      </c>
      <c r="E2770" s="221">
        <v>103.8</v>
      </c>
    </row>
    <row r="2771" spans="1:5">
      <c r="A2771" s="247">
        <v>41703.251400462963</v>
      </c>
      <c r="B2771" s="221">
        <v>1</v>
      </c>
      <c r="E2771" s="221">
        <v>103.8</v>
      </c>
    </row>
    <row r="2772" spans="1:5">
      <c r="A2772" s="247">
        <v>41703.293067129627</v>
      </c>
      <c r="B2772" s="221">
        <v>0.5</v>
      </c>
      <c r="E2772" s="221">
        <v>103.8</v>
      </c>
    </row>
    <row r="2773" spans="1:5">
      <c r="A2773" s="247">
        <v>41703.334733796299</v>
      </c>
      <c r="B2773" s="221">
        <v>1</v>
      </c>
      <c r="E2773" s="221">
        <v>105</v>
      </c>
    </row>
    <row r="2774" spans="1:5">
      <c r="A2774" s="247">
        <v>41703.376400462963</v>
      </c>
      <c r="B2774" s="221">
        <v>0.5</v>
      </c>
      <c r="E2774" s="221">
        <v>105</v>
      </c>
    </row>
    <row r="2775" spans="1:5">
      <c r="A2775" s="247">
        <v>41703.418067129627</v>
      </c>
      <c r="B2775" s="221">
        <v>3</v>
      </c>
      <c r="E2775" s="221">
        <v>98.4</v>
      </c>
    </row>
    <row r="2776" spans="1:5">
      <c r="A2776" s="247">
        <v>41703.459733796299</v>
      </c>
      <c r="B2776" s="221">
        <v>8</v>
      </c>
      <c r="E2776" s="221">
        <v>87</v>
      </c>
    </row>
    <row r="2777" spans="1:5">
      <c r="A2777" s="247">
        <v>41703.501400462963</v>
      </c>
      <c r="B2777" s="221">
        <v>14</v>
      </c>
      <c r="E2777" s="221">
        <v>64.2</v>
      </c>
    </row>
    <row r="2778" spans="1:5">
      <c r="A2778" s="247">
        <v>41703.543067129627</v>
      </c>
      <c r="B2778" s="221">
        <v>15.5</v>
      </c>
      <c r="E2778" s="221">
        <v>60.6</v>
      </c>
    </row>
    <row r="2779" spans="1:5">
      <c r="A2779" s="247">
        <v>41703.584733796299</v>
      </c>
      <c r="B2779" s="221">
        <v>16.5</v>
      </c>
      <c r="E2779" s="221">
        <v>51.6</v>
      </c>
    </row>
    <row r="2780" spans="1:5">
      <c r="A2780" s="247">
        <v>41703.626400462963</v>
      </c>
      <c r="B2780" s="221">
        <v>18</v>
      </c>
      <c r="E2780" s="221">
        <v>43.8</v>
      </c>
    </row>
    <row r="2781" spans="1:5">
      <c r="A2781" s="247">
        <v>41703.668067129627</v>
      </c>
      <c r="B2781" s="221">
        <v>17</v>
      </c>
      <c r="E2781" s="221">
        <v>49.2</v>
      </c>
    </row>
    <row r="2782" spans="1:5">
      <c r="A2782" s="247">
        <v>41703.709733796299</v>
      </c>
      <c r="B2782" s="221">
        <v>17.5</v>
      </c>
      <c r="E2782" s="221">
        <v>46.8</v>
      </c>
    </row>
    <row r="2783" spans="1:5">
      <c r="A2783" s="247">
        <v>41703.751400462963</v>
      </c>
      <c r="B2783" s="221">
        <v>13.5</v>
      </c>
      <c r="E2783" s="221">
        <v>60</v>
      </c>
    </row>
    <row r="2784" spans="1:5">
      <c r="A2784" s="247">
        <v>41703.793067129627</v>
      </c>
      <c r="B2784" s="221">
        <v>11</v>
      </c>
      <c r="E2784" s="221">
        <v>72</v>
      </c>
    </row>
    <row r="2785" spans="1:5">
      <c r="A2785" s="247">
        <v>41703.834733796299</v>
      </c>
      <c r="B2785" s="221">
        <v>6.5</v>
      </c>
      <c r="E2785" s="221">
        <v>92.4</v>
      </c>
    </row>
    <row r="2786" spans="1:5">
      <c r="A2786" s="247">
        <v>41703.876400462963</v>
      </c>
      <c r="B2786" s="221">
        <v>5</v>
      </c>
      <c r="E2786" s="221">
        <v>96.6</v>
      </c>
    </row>
    <row r="2787" spans="1:5">
      <c r="A2787" s="247">
        <v>41703.918067129627</v>
      </c>
      <c r="B2787" s="221">
        <v>5</v>
      </c>
      <c r="E2787" s="221">
        <v>93.6</v>
      </c>
    </row>
    <row r="2788" spans="1:5">
      <c r="A2788" s="247">
        <v>41703.959733796299</v>
      </c>
      <c r="B2788" s="221">
        <v>3</v>
      </c>
      <c r="E2788" s="221">
        <v>100.2</v>
      </c>
    </row>
    <row r="2789" spans="1:5">
      <c r="A2789" s="247">
        <v>41704.001400462963</v>
      </c>
      <c r="B2789" s="221">
        <v>3.5</v>
      </c>
      <c r="E2789" s="221">
        <v>99</v>
      </c>
    </row>
    <row r="2790" spans="1:5">
      <c r="A2790" s="247">
        <v>41704.043067129627</v>
      </c>
      <c r="B2790" s="221">
        <v>3.5</v>
      </c>
      <c r="E2790" s="221">
        <v>98.4</v>
      </c>
    </row>
    <row r="2791" spans="1:5">
      <c r="A2791" s="247">
        <v>41704.084733796299</v>
      </c>
      <c r="B2791" s="221">
        <v>3</v>
      </c>
      <c r="E2791" s="221">
        <v>97.2</v>
      </c>
    </row>
    <row r="2792" spans="1:5">
      <c r="A2792" s="247">
        <v>41704.126400462963</v>
      </c>
      <c r="B2792" s="221">
        <v>2.5</v>
      </c>
      <c r="E2792" s="221">
        <v>96.6</v>
      </c>
    </row>
    <row r="2793" spans="1:5">
      <c r="A2793" s="247">
        <v>41704.168067129627</v>
      </c>
      <c r="B2793" s="221">
        <v>3.5</v>
      </c>
      <c r="E2793" s="221">
        <v>94.8</v>
      </c>
    </row>
    <row r="2794" spans="1:5">
      <c r="A2794" s="247">
        <v>41704.209733796299</v>
      </c>
      <c r="B2794" s="221">
        <v>3.5</v>
      </c>
      <c r="E2794" s="221">
        <v>94.2</v>
      </c>
    </row>
    <row r="2795" spans="1:5">
      <c r="A2795" s="247">
        <v>41704.251400462963</v>
      </c>
      <c r="B2795" s="221">
        <v>1</v>
      </c>
      <c r="E2795" s="221">
        <v>99</v>
      </c>
    </row>
    <row r="2796" spans="1:5">
      <c r="A2796" s="247">
        <v>41704.293067129627</v>
      </c>
      <c r="B2796" s="221">
        <v>1</v>
      </c>
      <c r="E2796" s="221">
        <v>102</v>
      </c>
    </row>
    <row r="2797" spans="1:5">
      <c r="A2797" s="247">
        <v>41704.334733796299</v>
      </c>
      <c r="B2797" s="221">
        <v>0.5</v>
      </c>
      <c r="E2797" s="221">
        <v>101.4</v>
      </c>
    </row>
    <row r="2798" spans="1:5">
      <c r="A2798" s="247">
        <v>41704.376400462963</v>
      </c>
      <c r="B2798" s="221">
        <v>1</v>
      </c>
      <c r="E2798" s="221">
        <v>100.8</v>
      </c>
    </row>
    <row r="2799" spans="1:5">
      <c r="A2799" s="247">
        <v>41704.418067129627</v>
      </c>
      <c r="B2799" s="221">
        <v>4</v>
      </c>
      <c r="E2799" s="221">
        <v>95.4</v>
      </c>
    </row>
    <row r="2800" spans="1:5">
      <c r="A2800" s="247">
        <v>41704.459733796299</v>
      </c>
      <c r="B2800" s="221">
        <v>10.5</v>
      </c>
      <c r="E2800" s="221">
        <v>79.2</v>
      </c>
    </row>
    <row r="2801" spans="1:5">
      <c r="A2801" s="247">
        <v>41704.501400462963</v>
      </c>
      <c r="B2801" s="221">
        <v>13</v>
      </c>
      <c r="E2801" s="221">
        <v>64.8</v>
      </c>
    </row>
    <row r="2802" spans="1:5">
      <c r="A2802" s="247">
        <v>41704.543067129627</v>
      </c>
      <c r="B2802" s="221">
        <v>16.5</v>
      </c>
      <c r="E2802" s="221">
        <v>54</v>
      </c>
    </row>
    <row r="2803" spans="1:5">
      <c r="A2803" s="247">
        <v>41704.584733796299</v>
      </c>
      <c r="B2803" s="221">
        <v>18.5</v>
      </c>
      <c r="E2803" s="221">
        <v>40.799999999999997</v>
      </c>
    </row>
    <row r="2804" spans="1:5">
      <c r="A2804" s="247">
        <v>41704.626400462963</v>
      </c>
      <c r="B2804" s="221">
        <v>21.5</v>
      </c>
      <c r="E2804" s="221">
        <v>36.6</v>
      </c>
    </row>
    <row r="2805" spans="1:5">
      <c r="A2805" s="247">
        <v>41704.668067129627</v>
      </c>
      <c r="B2805" s="221">
        <v>18.5</v>
      </c>
      <c r="E2805" s="221">
        <v>43.2</v>
      </c>
    </row>
    <row r="2806" spans="1:5">
      <c r="A2806" s="247">
        <v>41704.709733796299</v>
      </c>
      <c r="B2806" s="221">
        <v>17.5</v>
      </c>
      <c r="E2806" s="221">
        <v>40.799999999999997</v>
      </c>
    </row>
    <row r="2807" spans="1:5">
      <c r="A2807" s="247">
        <v>41704.751400462963</v>
      </c>
      <c r="B2807" s="221">
        <v>14.5</v>
      </c>
      <c r="E2807" s="221">
        <v>52.8</v>
      </c>
    </row>
    <row r="2808" spans="1:5">
      <c r="A2808" s="247">
        <v>41704.793067129627</v>
      </c>
      <c r="B2808" s="221">
        <v>12.5</v>
      </c>
      <c r="E2808" s="221">
        <v>58.8</v>
      </c>
    </row>
    <row r="2809" spans="1:5">
      <c r="A2809" s="247">
        <v>41704.834733796299</v>
      </c>
      <c r="B2809" s="221">
        <v>6.5</v>
      </c>
      <c r="E2809" s="221">
        <v>88.8</v>
      </c>
    </row>
    <row r="2810" spans="1:5">
      <c r="A2810" s="247">
        <v>41704.876400462963</v>
      </c>
      <c r="B2810" s="221">
        <v>5.5</v>
      </c>
      <c r="E2810" s="221">
        <v>88.8</v>
      </c>
    </row>
    <row r="2811" spans="1:5">
      <c r="A2811" s="247">
        <v>41704.918067129627</v>
      </c>
      <c r="B2811" s="221">
        <v>4.5</v>
      </c>
      <c r="E2811" s="221">
        <v>91.2</v>
      </c>
    </row>
    <row r="2812" spans="1:5">
      <c r="A2812" s="247">
        <v>41704.959733796299</v>
      </c>
      <c r="B2812" s="221">
        <v>3.5</v>
      </c>
      <c r="E2812" s="221">
        <v>94.2</v>
      </c>
    </row>
    <row r="2813" spans="1:5">
      <c r="A2813" s="247">
        <v>41705.001400462963</v>
      </c>
      <c r="B2813" s="221">
        <v>2.5</v>
      </c>
      <c r="E2813" s="221">
        <v>96.6</v>
      </c>
    </row>
    <row r="2814" spans="1:5">
      <c r="A2814" s="247">
        <v>41705.043067129627</v>
      </c>
      <c r="B2814" s="221">
        <v>2.5</v>
      </c>
      <c r="E2814" s="221">
        <v>97.8</v>
      </c>
    </row>
    <row r="2815" spans="1:5">
      <c r="A2815" s="247">
        <v>41705.084733796299</v>
      </c>
      <c r="B2815" s="221">
        <v>1.5</v>
      </c>
      <c r="E2815" s="221">
        <v>97.8</v>
      </c>
    </row>
    <row r="2816" spans="1:5">
      <c r="A2816" s="247">
        <v>41705.126400462963</v>
      </c>
      <c r="B2816" s="221">
        <v>1</v>
      </c>
      <c r="E2816" s="221">
        <v>100.8</v>
      </c>
    </row>
    <row r="2817" spans="1:5">
      <c r="A2817" s="247">
        <v>41705.168067129627</v>
      </c>
      <c r="B2817" s="221">
        <v>1</v>
      </c>
      <c r="E2817" s="221">
        <v>100.2</v>
      </c>
    </row>
    <row r="2818" spans="1:5">
      <c r="A2818" s="247">
        <v>41705.209733796299</v>
      </c>
      <c r="B2818" s="221">
        <v>0</v>
      </c>
      <c r="E2818" s="221">
        <v>100.8</v>
      </c>
    </row>
    <row r="2819" spans="1:5">
      <c r="A2819" s="247">
        <v>41705.251400462963</v>
      </c>
      <c r="B2819" s="221">
        <v>0</v>
      </c>
      <c r="E2819" s="221">
        <v>103.2</v>
      </c>
    </row>
    <row r="2820" spans="1:5">
      <c r="A2820" s="247">
        <v>41705.293067129627</v>
      </c>
      <c r="B2820" s="221">
        <v>0</v>
      </c>
      <c r="E2820" s="221">
        <v>103.8</v>
      </c>
    </row>
    <row r="2821" spans="1:5">
      <c r="A2821" s="247">
        <v>41705.334733796299</v>
      </c>
      <c r="B2821" s="221">
        <v>-1.5</v>
      </c>
      <c r="E2821" s="221">
        <v>105.6</v>
      </c>
    </row>
    <row r="2822" spans="1:5">
      <c r="A2822" s="247">
        <v>41705.376400462963</v>
      </c>
      <c r="B2822" s="221">
        <v>-1</v>
      </c>
      <c r="E2822" s="221">
        <v>105.6</v>
      </c>
    </row>
    <row r="2823" spans="1:5">
      <c r="A2823" s="247">
        <v>41705.418067129627</v>
      </c>
      <c r="B2823" s="221">
        <v>2.5</v>
      </c>
      <c r="E2823" s="221">
        <v>99</v>
      </c>
    </row>
    <row r="2824" spans="1:5">
      <c r="A2824" s="247">
        <v>41705.459733796299</v>
      </c>
      <c r="B2824" s="221">
        <v>8.5</v>
      </c>
      <c r="E2824" s="221">
        <v>78.599999999999994</v>
      </c>
    </row>
    <row r="2825" spans="1:5">
      <c r="A2825" s="247">
        <v>41705.501400462963</v>
      </c>
      <c r="B2825" s="221">
        <v>19</v>
      </c>
      <c r="E2825" s="221">
        <v>48.6</v>
      </c>
    </row>
    <row r="2826" spans="1:5">
      <c r="A2826" s="247">
        <v>41705.543067129627</v>
      </c>
      <c r="B2826" s="221">
        <v>19.5</v>
      </c>
      <c r="E2826" s="221">
        <v>42</v>
      </c>
    </row>
    <row r="2827" spans="1:5">
      <c r="A2827" s="247">
        <v>41705.584733796299</v>
      </c>
      <c r="B2827" s="221">
        <v>23</v>
      </c>
      <c r="E2827" s="221">
        <v>34.799999999999997</v>
      </c>
    </row>
    <row r="2828" spans="1:5">
      <c r="A2828" s="247">
        <v>41705.626400462963</v>
      </c>
      <c r="B2828" s="221">
        <v>20.5</v>
      </c>
      <c r="E2828" s="221">
        <v>35.4</v>
      </c>
    </row>
    <row r="2829" spans="1:5">
      <c r="A2829" s="247">
        <v>41705.668067129627</v>
      </c>
      <c r="B2829" s="221">
        <v>20</v>
      </c>
      <c r="E2829" s="221">
        <v>36.6</v>
      </c>
    </row>
    <row r="2830" spans="1:5">
      <c r="A2830" s="247">
        <v>41705.709733796299</v>
      </c>
      <c r="B2830" s="221">
        <v>19.5</v>
      </c>
      <c r="E2830" s="221">
        <v>43.2</v>
      </c>
    </row>
    <row r="2831" spans="1:5">
      <c r="A2831" s="247">
        <v>41705.751400462963</v>
      </c>
      <c r="B2831" s="221">
        <v>15.5</v>
      </c>
      <c r="E2831" s="221">
        <v>47.4</v>
      </c>
    </row>
    <row r="2832" spans="1:5">
      <c r="A2832" s="247">
        <v>41705.793067129627</v>
      </c>
      <c r="B2832" s="221">
        <v>12</v>
      </c>
      <c r="E2832" s="221">
        <v>71.400000000000006</v>
      </c>
    </row>
    <row r="2833" spans="1:5">
      <c r="A2833" s="247">
        <v>41705.834733796299</v>
      </c>
      <c r="B2833" s="221">
        <v>9.5</v>
      </c>
      <c r="E2833" s="221">
        <v>79.2</v>
      </c>
    </row>
    <row r="2834" spans="1:5">
      <c r="A2834" s="247">
        <v>41705.876400462963</v>
      </c>
      <c r="B2834" s="221">
        <v>6.5</v>
      </c>
      <c r="E2834" s="221">
        <v>91.2</v>
      </c>
    </row>
    <row r="2835" spans="1:5">
      <c r="A2835" s="247">
        <v>41705.918067129627</v>
      </c>
      <c r="B2835" s="221">
        <v>6.5</v>
      </c>
      <c r="E2835" s="221">
        <v>85.2</v>
      </c>
    </row>
    <row r="2836" spans="1:5">
      <c r="A2836" s="247">
        <v>41705.959733796299</v>
      </c>
      <c r="B2836" s="221">
        <v>5.5</v>
      </c>
      <c r="E2836" s="221">
        <v>89.4</v>
      </c>
    </row>
    <row r="2837" spans="1:5">
      <c r="A2837" s="247">
        <v>41706.001400462963</v>
      </c>
      <c r="B2837" s="221">
        <v>5</v>
      </c>
      <c r="E2837" s="221">
        <v>87.6</v>
      </c>
    </row>
    <row r="2838" spans="1:5">
      <c r="A2838" s="247">
        <v>41706.043067129627</v>
      </c>
      <c r="B2838" s="221">
        <v>6</v>
      </c>
      <c r="E2838" s="221">
        <v>85.8</v>
      </c>
    </row>
    <row r="2839" spans="1:5">
      <c r="A2839" s="247">
        <v>41706.084733796299</v>
      </c>
      <c r="B2839" s="221">
        <v>3.5</v>
      </c>
      <c r="E2839" s="221">
        <v>93.6</v>
      </c>
    </row>
    <row r="2840" spans="1:5">
      <c r="A2840" s="247">
        <v>41706.126400462963</v>
      </c>
      <c r="B2840" s="221">
        <v>2</v>
      </c>
      <c r="E2840" s="221">
        <v>98.4</v>
      </c>
    </row>
    <row r="2841" spans="1:5">
      <c r="A2841" s="247">
        <v>41706.168067129627</v>
      </c>
      <c r="B2841" s="221">
        <v>2</v>
      </c>
      <c r="E2841" s="221">
        <v>99.6</v>
      </c>
    </row>
    <row r="2842" spans="1:5">
      <c r="A2842" s="247">
        <v>41706.209733796299</v>
      </c>
      <c r="B2842" s="221">
        <v>3</v>
      </c>
      <c r="E2842" s="221">
        <v>96.6</v>
      </c>
    </row>
    <row r="2843" spans="1:5">
      <c r="A2843" s="247">
        <v>41706.251400462963</v>
      </c>
      <c r="B2843" s="221">
        <v>3</v>
      </c>
      <c r="E2843" s="221">
        <v>96</v>
      </c>
    </row>
    <row r="2844" spans="1:5">
      <c r="A2844" s="247">
        <v>41706.293067129627</v>
      </c>
      <c r="B2844" s="221">
        <v>2.5</v>
      </c>
      <c r="E2844" s="221">
        <v>98.4</v>
      </c>
    </row>
    <row r="2845" spans="1:5">
      <c r="A2845" s="247">
        <v>41706.334733796299</v>
      </c>
      <c r="B2845" s="221">
        <v>2.5</v>
      </c>
      <c r="E2845" s="221">
        <v>99</v>
      </c>
    </row>
    <row r="2846" spans="1:5">
      <c r="A2846" s="247">
        <v>41706.376400462963</v>
      </c>
      <c r="B2846" s="221">
        <v>2</v>
      </c>
      <c r="E2846" s="221">
        <v>99</v>
      </c>
    </row>
    <row r="2847" spans="1:5">
      <c r="A2847" s="247">
        <v>41706.418067129627</v>
      </c>
      <c r="B2847" s="221">
        <v>4.5</v>
      </c>
      <c r="E2847" s="221">
        <v>93.6</v>
      </c>
    </row>
    <row r="2848" spans="1:5">
      <c r="A2848" s="247">
        <v>41706.459733796299</v>
      </c>
      <c r="B2848" s="221">
        <v>10</v>
      </c>
      <c r="E2848" s="221">
        <v>76.8</v>
      </c>
    </row>
    <row r="2849" spans="1:5">
      <c r="A2849" s="247">
        <v>41706.501400462963</v>
      </c>
      <c r="B2849" s="221">
        <v>16.5</v>
      </c>
      <c r="E2849" s="221">
        <v>58.2</v>
      </c>
    </row>
    <row r="2850" spans="1:5">
      <c r="A2850" s="247">
        <v>41706.543067129627</v>
      </c>
      <c r="B2850" s="221">
        <v>21</v>
      </c>
      <c r="E2850" s="221">
        <v>45</v>
      </c>
    </row>
    <row r="2851" spans="1:5">
      <c r="A2851" s="247">
        <v>41706.584733796299</v>
      </c>
      <c r="B2851" s="221">
        <v>23.5</v>
      </c>
      <c r="E2851" s="221">
        <v>38.4</v>
      </c>
    </row>
    <row r="2852" spans="1:5">
      <c r="A2852" s="247">
        <v>41706.626400462963</v>
      </c>
      <c r="B2852" s="221">
        <v>26</v>
      </c>
      <c r="E2852" s="221">
        <v>37.799999999999997</v>
      </c>
    </row>
    <row r="2853" spans="1:5">
      <c r="A2853" s="247">
        <v>41706.668067129627</v>
      </c>
      <c r="B2853" s="221">
        <v>21</v>
      </c>
      <c r="E2853" s="221">
        <v>45.6</v>
      </c>
    </row>
    <row r="2854" spans="1:5">
      <c r="A2854" s="247">
        <v>41706.709733796299</v>
      </c>
      <c r="B2854" s="221">
        <v>22</v>
      </c>
      <c r="E2854" s="221">
        <v>38.4</v>
      </c>
    </row>
    <row r="2855" spans="1:5">
      <c r="A2855" s="247">
        <v>41706.751400462963</v>
      </c>
      <c r="B2855" s="221">
        <v>18.5</v>
      </c>
      <c r="E2855" s="221">
        <v>46.2</v>
      </c>
    </row>
    <row r="2856" spans="1:5">
      <c r="A2856" s="247">
        <v>41706.793067129627</v>
      </c>
      <c r="B2856" s="221">
        <v>16</v>
      </c>
      <c r="E2856" s="221">
        <v>58.8</v>
      </c>
    </row>
    <row r="2857" spans="1:5">
      <c r="A2857" s="247">
        <v>41706.834733796299</v>
      </c>
      <c r="B2857" s="221">
        <v>12</v>
      </c>
      <c r="E2857" s="221">
        <v>72</v>
      </c>
    </row>
    <row r="2858" spans="1:5">
      <c r="A2858" s="247">
        <v>41706.876400462963</v>
      </c>
      <c r="B2858" s="221">
        <v>8.5</v>
      </c>
      <c r="E2858" s="221">
        <v>87</v>
      </c>
    </row>
    <row r="2859" spans="1:5">
      <c r="A2859" s="247">
        <v>41706.918067129627</v>
      </c>
      <c r="B2859" s="221">
        <v>7.5</v>
      </c>
      <c r="E2859" s="221">
        <v>91.8</v>
      </c>
    </row>
    <row r="2860" spans="1:5">
      <c r="A2860" s="247">
        <v>41706.959733796299</v>
      </c>
      <c r="B2860" s="221">
        <v>6</v>
      </c>
      <c r="E2860" s="221">
        <v>97.8</v>
      </c>
    </row>
    <row r="2861" spans="1:5">
      <c r="A2861" s="247">
        <v>41707.001400462963</v>
      </c>
      <c r="B2861" s="221">
        <v>6</v>
      </c>
      <c r="E2861" s="221">
        <v>95.4</v>
      </c>
    </row>
    <row r="2862" spans="1:5">
      <c r="A2862" s="247">
        <v>41707.043067129627</v>
      </c>
      <c r="B2862" s="221">
        <v>5</v>
      </c>
      <c r="E2862" s="221">
        <v>97.2</v>
      </c>
    </row>
    <row r="2863" spans="1:5">
      <c r="A2863" s="247">
        <v>41707.084733796299</v>
      </c>
      <c r="B2863" s="221">
        <v>5.5</v>
      </c>
      <c r="E2863" s="221">
        <v>96.6</v>
      </c>
    </row>
    <row r="2864" spans="1:5">
      <c r="A2864" s="247">
        <v>41707.126400462963</v>
      </c>
      <c r="B2864" s="221">
        <v>2.5</v>
      </c>
      <c r="E2864" s="221">
        <v>102.6</v>
      </c>
    </row>
    <row r="2865" spans="1:5">
      <c r="A2865" s="247">
        <v>41707.168067129627</v>
      </c>
      <c r="B2865" s="221">
        <v>2.5</v>
      </c>
      <c r="E2865" s="221">
        <v>103.2</v>
      </c>
    </row>
    <row r="2866" spans="1:5">
      <c r="A2866" s="247">
        <v>41707.209733796299</v>
      </c>
      <c r="B2866" s="221">
        <v>3</v>
      </c>
      <c r="E2866" s="221">
        <v>102</v>
      </c>
    </row>
    <row r="2867" spans="1:5">
      <c r="A2867" s="247">
        <v>41707.251400462963</v>
      </c>
      <c r="B2867" s="221">
        <v>3</v>
      </c>
      <c r="E2867" s="221">
        <v>103.2</v>
      </c>
    </row>
    <row r="2868" spans="1:5">
      <c r="A2868" s="247">
        <v>41707.293067129627</v>
      </c>
      <c r="B2868" s="221">
        <v>3</v>
      </c>
      <c r="E2868" s="221">
        <v>102</v>
      </c>
    </row>
    <row r="2869" spans="1:5">
      <c r="A2869" s="247">
        <v>41707.334733796299</v>
      </c>
      <c r="B2869" s="221">
        <v>3</v>
      </c>
      <c r="E2869" s="221">
        <v>100.2</v>
      </c>
    </row>
    <row r="2870" spans="1:5">
      <c r="A2870" s="247">
        <v>41707.376400462963</v>
      </c>
      <c r="B2870" s="221">
        <v>2.5</v>
      </c>
      <c r="E2870" s="221">
        <v>100.8</v>
      </c>
    </row>
    <row r="2871" spans="1:5">
      <c r="A2871" s="247">
        <v>41707.418067129627</v>
      </c>
      <c r="B2871" s="221">
        <v>6.5</v>
      </c>
      <c r="E2871" s="221">
        <v>87.6</v>
      </c>
    </row>
    <row r="2872" spans="1:5">
      <c r="A2872" s="247">
        <v>41707.459733796299</v>
      </c>
      <c r="B2872" s="221">
        <v>13</v>
      </c>
      <c r="E2872" s="221">
        <v>65.400000000000006</v>
      </c>
    </row>
    <row r="2873" spans="1:5">
      <c r="A2873" s="247">
        <v>41707.501400462963</v>
      </c>
      <c r="B2873" s="221">
        <v>18.5</v>
      </c>
      <c r="E2873" s="221">
        <v>53.4</v>
      </c>
    </row>
    <row r="2874" spans="1:5">
      <c r="A2874" s="247">
        <v>41707.543067129627</v>
      </c>
      <c r="B2874" s="221">
        <v>23.5</v>
      </c>
      <c r="E2874" s="221">
        <v>39</v>
      </c>
    </row>
    <row r="2875" spans="1:5">
      <c r="A2875" s="247">
        <v>41707.584733796299</v>
      </c>
      <c r="B2875" s="221">
        <v>29.5</v>
      </c>
      <c r="E2875" s="221">
        <v>29.4</v>
      </c>
    </row>
    <row r="2876" spans="1:5">
      <c r="A2876" s="247">
        <v>41707.626400462963</v>
      </c>
      <c r="B2876" s="221">
        <v>29</v>
      </c>
      <c r="E2876" s="221">
        <v>28.2</v>
      </c>
    </row>
    <row r="2877" spans="1:5">
      <c r="A2877" s="247">
        <v>41707.668067129627</v>
      </c>
      <c r="B2877" s="221">
        <v>23.5</v>
      </c>
      <c r="E2877" s="221">
        <v>34.799999999999997</v>
      </c>
    </row>
    <row r="2878" spans="1:5">
      <c r="A2878" s="247">
        <v>41707.709733796299</v>
      </c>
      <c r="B2878" s="221">
        <v>24.5</v>
      </c>
      <c r="E2878" s="221">
        <v>33</v>
      </c>
    </row>
    <row r="2879" spans="1:5">
      <c r="A2879" s="247">
        <v>41707.751400462963</v>
      </c>
      <c r="B2879" s="221">
        <v>21</v>
      </c>
      <c r="E2879" s="221">
        <v>46.2</v>
      </c>
    </row>
    <row r="2880" spans="1:5">
      <c r="A2880" s="247">
        <v>41707.793067129627</v>
      </c>
      <c r="B2880" s="221">
        <v>18.5</v>
      </c>
      <c r="E2880" s="221">
        <v>56.4</v>
      </c>
    </row>
    <row r="2881" spans="1:5">
      <c r="A2881" s="247">
        <v>41707.834733796299</v>
      </c>
      <c r="B2881" s="221">
        <v>14.5</v>
      </c>
      <c r="E2881" s="221">
        <v>59.4</v>
      </c>
    </row>
    <row r="2882" spans="1:5">
      <c r="A2882" s="247">
        <v>41707.876400462963</v>
      </c>
      <c r="B2882" s="221">
        <v>9</v>
      </c>
      <c r="E2882" s="221">
        <v>87.6</v>
      </c>
    </row>
    <row r="2883" spans="1:5">
      <c r="A2883" s="247">
        <v>41707.918067129627</v>
      </c>
      <c r="B2883" s="221">
        <v>9</v>
      </c>
      <c r="E2883" s="221">
        <v>79.8</v>
      </c>
    </row>
    <row r="2884" spans="1:5">
      <c r="A2884" s="247">
        <v>41707.959733796299</v>
      </c>
      <c r="B2884" s="221">
        <v>6.5</v>
      </c>
      <c r="E2884" s="221">
        <v>91.8</v>
      </c>
    </row>
    <row r="2885" spans="1:5">
      <c r="A2885" s="247">
        <v>41708.001400462963</v>
      </c>
      <c r="B2885" s="221">
        <v>8</v>
      </c>
      <c r="E2885" s="221">
        <v>81.599999999999994</v>
      </c>
    </row>
    <row r="2886" spans="1:5">
      <c r="A2886" s="247">
        <v>41708.043067129627</v>
      </c>
      <c r="B2886" s="221">
        <v>5</v>
      </c>
      <c r="E2886" s="221">
        <v>94.2</v>
      </c>
    </row>
    <row r="2887" spans="1:5">
      <c r="A2887" s="247">
        <v>41708.084733796299</v>
      </c>
      <c r="B2887" s="221">
        <v>5.5</v>
      </c>
      <c r="E2887" s="221">
        <v>90</v>
      </c>
    </row>
    <row r="2888" spans="1:5">
      <c r="A2888" s="247">
        <v>41708.126400462963</v>
      </c>
      <c r="B2888" s="221">
        <v>4.5</v>
      </c>
      <c r="E2888" s="221">
        <v>91.8</v>
      </c>
    </row>
    <row r="2889" spans="1:5">
      <c r="A2889" s="247">
        <v>41708.168067129627</v>
      </c>
      <c r="B2889" s="221">
        <v>4.5</v>
      </c>
      <c r="E2889" s="221">
        <v>94.2</v>
      </c>
    </row>
    <row r="2890" spans="1:5">
      <c r="A2890" s="247">
        <v>41708.209733796299</v>
      </c>
      <c r="B2890" s="221">
        <v>2.5</v>
      </c>
      <c r="E2890" s="221">
        <v>103.2</v>
      </c>
    </row>
    <row r="2891" spans="1:5">
      <c r="A2891" s="247">
        <v>41708.251400462963</v>
      </c>
      <c r="B2891" s="221">
        <v>2</v>
      </c>
      <c r="E2891" s="221">
        <v>102</v>
      </c>
    </row>
    <row r="2892" spans="1:5">
      <c r="A2892" s="247">
        <v>41708.293067129627</v>
      </c>
      <c r="B2892" s="221">
        <v>2</v>
      </c>
      <c r="E2892" s="221">
        <v>100.2</v>
      </c>
    </row>
    <row r="2893" spans="1:5">
      <c r="A2893" s="247">
        <v>41708.334733796299</v>
      </c>
      <c r="B2893" s="221">
        <v>2</v>
      </c>
      <c r="E2893" s="221">
        <v>101.4</v>
      </c>
    </row>
    <row r="2894" spans="1:5">
      <c r="A2894" s="247">
        <v>41708.376400462963</v>
      </c>
      <c r="B2894" s="221">
        <v>2.5</v>
      </c>
      <c r="E2894" s="221">
        <v>102</v>
      </c>
    </row>
    <row r="2895" spans="1:5">
      <c r="A2895" s="247">
        <v>41708.418067129627</v>
      </c>
      <c r="B2895" s="221">
        <v>6.5</v>
      </c>
      <c r="E2895" s="221">
        <v>95.4</v>
      </c>
    </row>
    <row r="2896" spans="1:5">
      <c r="A2896" s="247">
        <v>41708.459733796299</v>
      </c>
      <c r="B2896" s="221">
        <v>13</v>
      </c>
      <c r="E2896" s="221">
        <v>80.400000000000006</v>
      </c>
    </row>
    <row r="2897" spans="1:5">
      <c r="A2897" s="247">
        <v>41708.501400462963</v>
      </c>
      <c r="B2897" s="221">
        <v>19</v>
      </c>
      <c r="E2897" s="221">
        <v>55.2</v>
      </c>
    </row>
    <row r="2898" spans="1:5">
      <c r="A2898" s="247">
        <v>41708.543067129627</v>
      </c>
      <c r="B2898" s="221">
        <v>20.5</v>
      </c>
      <c r="E2898" s="221">
        <v>54.6</v>
      </c>
    </row>
    <row r="2899" spans="1:5">
      <c r="A2899" s="247">
        <v>41708.584733796299</v>
      </c>
      <c r="B2899" s="221">
        <v>22</v>
      </c>
      <c r="E2899" s="221">
        <v>51</v>
      </c>
    </row>
    <row r="2900" spans="1:5">
      <c r="A2900" s="247">
        <v>41708.626400462963</v>
      </c>
      <c r="B2900" s="221">
        <v>23.5</v>
      </c>
      <c r="E2900" s="221">
        <v>46.2</v>
      </c>
    </row>
    <row r="2901" spans="1:5">
      <c r="A2901" s="247">
        <v>41708.668067129627</v>
      </c>
      <c r="B2901" s="221">
        <v>22</v>
      </c>
      <c r="E2901" s="221">
        <v>48</v>
      </c>
    </row>
    <row r="2902" spans="1:5">
      <c r="A2902" s="247">
        <v>41708.709733796299</v>
      </c>
      <c r="B2902" s="221">
        <v>21</v>
      </c>
      <c r="E2902" s="221">
        <v>42</v>
      </c>
    </row>
    <row r="2903" spans="1:5">
      <c r="A2903" s="247">
        <v>41708.751400462963</v>
      </c>
      <c r="B2903" s="221">
        <v>19</v>
      </c>
      <c r="E2903" s="221">
        <v>48.6</v>
      </c>
    </row>
    <row r="2904" spans="1:5">
      <c r="A2904" s="247">
        <v>41708.793067129627</v>
      </c>
      <c r="B2904" s="221">
        <v>15.5</v>
      </c>
      <c r="E2904" s="221">
        <v>63</v>
      </c>
    </row>
    <row r="2905" spans="1:5">
      <c r="A2905" s="247">
        <v>41708.834733796299</v>
      </c>
      <c r="B2905" s="221">
        <v>11.5</v>
      </c>
      <c r="E2905" s="221">
        <v>73.2</v>
      </c>
    </row>
    <row r="2906" spans="1:5">
      <c r="A2906" s="247">
        <v>41708.876400462963</v>
      </c>
      <c r="B2906" s="221">
        <v>10</v>
      </c>
      <c r="E2906" s="221">
        <v>76.8</v>
      </c>
    </row>
    <row r="2907" spans="1:5">
      <c r="A2907" s="247">
        <v>41708.918067129627</v>
      </c>
      <c r="B2907" s="221">
        <v>9</v>
      </c>
      <c r="E2907" s="221">
        <v>81.599999999999994</v>
      </c>
    </row>
    <row r="2908" spans="1:5">
      <c r="A2908" s="247">
        <v>41708.959733796299</v>
      </c>
      <c r="B2908" s="221">
        <v>8.5</v>
      </c>
      <c r="E2908" s="221">
        <v>82.2</v>
      </c>
    </row>
    <row r="2909" spans="1:5">
      <c r="A2909" s="247">
        <v>41709.001400462963</v>
      </c>
      <c r="B2909" s="221">
        <v>6.5</v>
      </c>
      <c r="E2909" s="221">
        <v>90</v>
      </c>
    </row>
    <row r="2910" spans="1:5">
      <c r="A2910" s="247">
        <v>41709.043067129627</v>
      </c>
      <c r="B2910" s="221">
        <v>6.5</v>
      </c>
      <c r="E2910" s="221">
        <v>91.8</v>
      </c>
    </row>
    <row r="2911" spans="1:5">
      <c r="A2911" s="247">
        <v>41709.084733796299</v>
      </c>
      <c r="B2911" s="221">
        <v>4.5</v>
      </c>
      <c r="E2911" s="221">
        <v>97.8</v>
      </c>
    </row>
    <row r="2912" spans="1:5">
      <c r="A2912" s="247">
        <v>41709.126400462963</v>
      </c>
      <c r="B2912" s="221">
        <v>6.5</v>
      </c>
      <c r="E2912" s="221">
        <v>93.6</v>
      </c>
    </row>
    <row r="2913" spans="1:5">
      <c r="A2913" s="247">
        <v>41709.168067129627</v>
      </c>
      <c r="B2913" s="221">
        <v>6.5</v>
      </c>
      <c r="E2913" s="221">
        <v>96</v>
      </c>
    </row>
    <row r="2914" spans="1:5">
      <c r="A2914" s="247">
        <v>41709.209733796299</v>
      </c>
      <c r="B2914" s="221">
        <v>6.5</v>
      </c>
      <c r="E2914" s="221">
        <v>96.6</v>
      </c>
    </row>
    <row r="2915" spans="1:5">
      <c r="A2915" s="247">
        <v>41709.251400462963</v>
      </c>
      <c r="B2915" s="221">
        <v>6</v>
      </c>
      <c r="E2915" s="221">
        <v>99.6</v>
      </c>
    </row>
    <row r="2916" spans="1:5">
      <c r="A2916" s="247">
        <v>41709.293067129627</v>
      </c>
      <c r="B2916" s="221">
        <v>5.5</v>
      </c>
      <c r="E2916" s="221">
        <v>103.2</v>
      </c>
    </row>
    <row r="2917" spans="1:5">
      <c r="A2917" s="247">
        <v>41709.334733796299</v>
      </c>
      <c r="B2917" s="221">
        <v>5.5</v>
      </c>
      <c r="E2917" s="221">
        <v>103.2</v>
      </c>
    </row>
    <row r="2918" spans="1:5">
      <c r="A2918" s="247">
        <v>41709.376400462963</v>
      </c>
      <c r="B2918" s="221">
        <v>5.5</v>
      </c>
      <c r="E2918" s="221">
        <v>103.8</v>
      </c>
    </row>
    <row r="2919" spans="1:5">
      <c r="A2919" s="247">
        <v>41709.418067129627</v>
      </c>
      <c r="B2919" s="221">
        <v>7</v>
      </c>
      <c r="E2919" s="221">
        <v>98.4</v>
      </c>
    </row>
    <row r="2920" spans="1:5">
      <c r="A2920" s="247">
        <v>41709.459733796299</v>
      </c>
      <c r="B2920" s="221">
        <v>10</v>
      </c>
      <c r="E2920" s="221">
        <v>88.2</v>
      </c>
    </row>
    <row r="2921" spans="1:5">
      <c r="A2921" s="247">
        <v>41709.501400462963</v>
      </c>
      <c r="B2921" s="221">
        <v>14</v>
      </c>
      <c r="E2921" s="221">
        <v>74.400000000000006</v>
      </c>
    </row>
    <row r="2922" spans="1:5">
      <c r="A2922" s="247">
        <v>41709.543067129627</v>
      </c>
      <c r="B2922" s="221">
        <v>16.5</v>
      </c>
      <c r="E2922" s="221">
        <v>67.2</v>
      </c>
    </row>
    <row r="2923" spans="1:5">
      <c r="A2923" s="247">
        <v>41709.584733796299</v>
      </c>
      <c r="B2923" s="221">
        <v>19.5</v>
      </c>
      <c r="E2923" s="221">
        <v>55.2</v>
      </c>
    </row>
    <row r="2924" spans="1:5">
      <c r="A2924" s="247">
        <v>41709.626400462963</v>
      </c>
      <c r="B2924" s="221">
        <v>21</v>
      </c>
      <c r="E2924" s="221">
        <v>51</v>
      </c>
    </row>
    <row r="2925" spans="1:5">
      <c r="A2925" s="247">
        <v>41709.668067129627</v>
      </c>
      <c r="B2925" s="221">
        <v>19</v>
      </c>
      <c r="E2925" s="221">
        <v>49.2</v>
      </c>
    </row>
    <row r="2926" spans="1:5">
      <c r="A2926" s="247">
        <v>41709.709733796299</v>
      </c>
      <c r="B2926" s="221">
        <v>18.5</v>
      </c>
      <c r="E2926" s="221">
        <v>49.8</v>
      </c>
    </row>
    <row r="2927" spans="1:5">
      <c r="A2927" s="247">
        <v>41709.751400462963</v>
      </c>
      <c r="B2927" s="221">
        <v>17.5</v>
      </c>
      <c r="E2927" s="221">
        <v>54</v>
      </c>
    </row>
    <row r="2928" spans="1:5">
      <c r="A2928" s="247">
        <v>41709.793067129627</v>
      </c>
      <c r="B2928" s="221">
        <v>15</v>
      </c>
      <c r="E2928" s="221">
        <v>60</v>
      </c>
    </row>
    <row r="2929" spans="1:5">
      <c r="A2929" s="247">
        <v>41709.834733796299</v>
      </c>
      <c r="B2929" s="221">
        <v>11.5</v>
      </c>
      <c r="E2929" s="221">
        <v>78.599999999999994</v>
      </c>
    </row>
    <row r="2930" spans="1:5">
      <c r="A2930" s="247">
        <v>41709.876400462963</v>
      </c>
      <c r="B2930" s="221">
        <v>10</v>
      </c>
      <c r="E2930" s="221">
        <v>82.2</v>
      </c>
    </row>
    <row r="2931" spans="1:5">
      <c r="A2931" s="247">
        <v>41709.918067129627</v>
      </c>
      <c r="B2931" s="221">
        <v>10</v>
      </c>
      <c r="E2931" s="221">
        <v>81.599999999999994</v>
      </c>
    </row>
    <row r="2932" spans="1:5">
      <c r="A2932" s="247">
        <v>41709.959733796299</v>
      </c>
      <c r="B2932" s="221">
        <v>9</v>
      </c>
      <c r="E2932" s="221">
        <v>85.8</v>
      </c>
    </row>
    <row r="2933" spans="1:5">
      <c r="A2933" s="247">
        <v>41710.001400462963</v>
      </c>
      <c r="B2933" s="221">
        <v>8</v>
      </c>
      <c r="E2933" s="221">
        <v>88.8</v>
      </c>
    </row>
    <row r="2934" spans="1:5">
      <c r="A2934" s="247">
        <v>41710.043067129627</v>
      </c>
      <c r="B2934" s="221">
        <v>8.5</v>
      </c>
      <c r="E2934" s="221">
        <v>88.8</v>
      </c>
    </row>
    <row r="2935" spans="1:5">
      <c r="A2935" s="247">
        <v>41710.084733796299</v>
      </c>
      <c r="B2935" s="221">
        <v>4</v>
      </c>
      <c r="E2935" s="221">
        <v>98.4</v>
      </c>
    </row>
    <row r="2936" spans="1:5">
      <c r="A2936" s="247">
        <v>41710.126400462963</v>
      </c>
      <c r="B2936" s="221">
        <v>4</v>
      </c>
      <c r="E2936" s="221">
        <v>102.6</v>
      </c>
    </row>
    <row r="2937" spans="1:5">
      <c r="A2937" s="247">
        <v>41710.168067129627</v>
      </c>
      <c r="B2937" s="221">
        <v>3</v>
      </c>
      <c r="E2937" s="221">
        <v>103.2</v>
      </c>
    </row>
    <row r="2938" spans="1:5">
      <c r="A2938" s="247">
        <v>41710.209733796299</v>
      </c>
      <c r="B2938" s="221">
        <v>5.5</v>
      </c>
      <c r="E2938" s="221">
        <v>100.2</v>
      </c>
    </row>
    <row r="2939" spans="1:5">
      <c r="A2939" s="247">
        <v>41710.251400462963</v>
      </c>
      <c r="B2939" s="221">
        <v>4.5</v>
      </c>
      <c r="E2939" s="221">
        <v>99.6</v>
      </c>
    </row>
    <row r="2940" spans="1:5">
      <c r="A2940" s="247">
        <v>41710.293067129627</v>
      </c>
      <c r="B2940" s="221">
        <v>4</v>
      </c>
      <c r="E2940" s="221">
        <v>100.8</v>
      </c>
    </row>
    <row r="2941" spans="1:5">
      <c r="A2941" s="247">
        <v>41710.334733796299</v>
      </c>
      <c r="B2941" s="221">
        <v>1</v>
      </c>
      <c r="E2941" s="221">
        <v>103.8</v>
      </c>
    </row>
    <row r="2942" spans="1:5">
      <c r="A2942" s="247">
        <v>41710.376400462963</v>
      </c>
      <c r="B2942" s="221">
        <v>2</v>
      </c>
      <c r="E2942" s="221">
        <v>101.4</v>
      </c>
    </row>
    <row r="2943" spans="1:5">
      <c r="A2943" s="247">
        <v>41710.418067129627</v>
      </c>
      <c r="B2943" s="221">
        <v>5.5</v>
      </c>
      <c r="E2943" s="221">
        <v>96.6</v>
      </c>
    </row>
    <row r="2944" spans="1:5">
      <c r="A2944" s="247">
        <v>41710.459733796299</v>
      </c>
      <c r="B2944" s="221">
        <v>13.5</v>
      </c>
      <c r="E2944" s="221">
        <v>61.8</v>
      </c>
    </row>
    <row r="2945" spans="1:5">
      <c r="A2945" s="247">
        <v>41710.501400462963</v>
      </c>
      <c r="B2945" s="221">
        <v>16.5</v>
      </c>
      <c r="E2945" s="221">
        <v>51.6</v>
      </c>
    </row>
    <row r="2946" spans="1:5">
      <c r="A2946" s="247">
        <v>41710.543067129627</v>
      </c>
      <c r="B2946" s="221">
        <v>21</v>
      </c>
      <c r="E2946" s="221">
        <v>38.4</v>
      </c>
    </row>
    <row r="2947" spans="1:5">
      <c r="A2947" s="247">
        <v>41710.584733796299</v>
      </c>
      <c r="B2947" s="221">
        <v>21.5</v>
      </c>
      <c r="E2947" s="221">
        <v>38.4</v>
      </c>
    </row>
    <row r="2948" spans="1:5">
      <c r="A2948" s="247">
        <v>41710.626400462963</v>
      </c>
      <c r="B2948" s="221">
        <v>21.5</v>
      </c>
      <c r="E2948" s="221">
        <v>40.200000000000003</v>
      </c>
    </row>
    <row r="2949" spans="1:5">
      <c r="A2949" s="247">
        <v>41710.668067129627</v>
      </c>
      <c r="B2949" s="221">
        <v>18</v>
      </c>
      <c r="E2949" s="221">
        <v>44.4</v>
      </c>
    </row>
    <row r="2950" spans="1:5">
      <c r="A2950" s="247">
        <v>41710.709733796299</v>
      </c>
      <c r="B2950" s="221">
        <v>18.5</v>
      </c>
      <c r="E2950" s="221">
        <v>42</v>
      </c>
    </row>
    <row r="2951" spans="1:5">
      <c r="A2951" s="247">
        <v>41710.751400462963</v>
      </c>
      <c r="B2951" s="221">
        <v>17</v>
      </c>
      <c r="E2951" s="221">
        <v>48.6</v>
      </c>
    </row>
    <row r="2952" spans="1:5">
      <c r="A2952" s="247">
        <v>41710.793067129627</v>
      </c>
      <c r="B2952" s="221">
        <v>14.5</v>
      </c>
      <c r="E2952" s="221">
        <v>70.2</v>
      </c>
    </row>
    <row r="2953" spans="1:5">
      <c r="A2953" s="247">
        <v>41710.834733796299</v>
      </c>
      <c r="B2953" s="221">
        <v>10.5</v>
      </c>
      <c r="E2953" s="221">
        <v>76.2</v>
      </c>
    </row>
    <row r="2954" spans="1:5">
      <c r="A2954" s="247">
        <v>41710.876400462963</v>
      </c>
      <c r="B2954" s="221">
        <v>8.5</v>
      </c>
      <c r="E2954" s="221">
        <v>82.2</v>
      </c>
    </row>
    <row r="2955" spans="1:5">
      <c r="A2955" s="247">
        <v>41710.918067129627</v>
      </c>
      <c r="B2955" s="221">
        <v>8</v>
      </c>
      <c r="E2955" s="221">
        <v>81.599999999999994</v>
      </c>
    </row>
    <row r="2956" spans="1:5">
      <c r="A2956" s="247">
        <v>41710.959733796299</v>
      </c>
      <c r="B2956" s="221">
        <v>5.5</v>
      </c>
      <c r="E2956" s="221">
        <v>93.6</v>
      </c>
    </row>
    <row r="2957" spans="1:5">
      <c r="A2957" s="247">
        <v>41711.001400462963</v>
      </c>
      <c r="B2957" s="221">
        <v>3.5</v>
      </c>
      <c r="E2957" s="221">
        <v>98.4</v>
      </c>
    </row>
    <row r="2958" spans="1:5">
      <c r="A2958" s="247">
        <v>41711.043067129627</v>
      </c>
      <c r="B2958" s="221">
        <v>3</v>
      </c>
      <c r="E2958" s="221">
        <v>100.2</v>
      </c>
    </row>
    <row r="2959" spans="1:5">
      <c r="A2959" s="247">
        <v>41711.084733796299</v>
      </c>
      <c r="B2959" s="221">
        <v>4</v>
      </c>
      <c r="E2959" s="221">
        <v>95.4</v>
      </c>
    </row>
    <row r="2960" spans="1:5">
      <c r="A2960" s="247">
        <v>41711.126400462963</v>
      </c>
      <c r="B2960" s="221">
        <v>3</v>
      </c>
      <c r="E2960" s="221">
        <v>100.2</v>
      </c>
    </row>
    <row r="2961" spans="1:5">
      <c r="A2961" s="247">
        <v>41711.168067129627</v>
      </c>
      <c r="B2961" s="221">
        <v>2</v>
      </c>
      <c r="E2961" s="221">
        <v>101.4</v>
      </c>
    </row>
    <row r="2962" spans="1:5">
      <c r="A2962" s="247">
        <v>41711.209733796299</v>
      </c>
      <c r="B2962" s="221">
        <v>2</v>
      </c>
      <c r="E2962" s="221">
        <v>100.2</v>
      </c>
    </row>
    <row r="2963" spans="1:5">
      <c r="A2963" s="247">
        <v>41711.251400462963</v>
      </c>
      <c r="B2963" s="221">
        <v>1.5</v>
      </c>
      <c r="E2963" s="221">
        <v>101.4</v>
      </c>
    </row>
    <row r="2964" spans="1:5">
      <c r="A2964" s="247">
        <v>41711.293067129627</v>
      </c>
      <c r="B2964" s="221">
        <v>2</v>
      </c>
      <c r="E2964" s="221">
        <v>100.8</v>
      </c>
    </row>
    <row r="2965" spans="1:5">
      <c r="A2965" s="247">
        <v>41711.334733796299</v>
      </c>
      <c r="B2965" s="221">
        <v>1</v>
      </c>
      <c r="E2965" s="221">
        <v>102.6</v>
      </c>
    </row>
    <row r="2966" spans="1:5">
      <c r="A2966" s="247">
        <v>41711.376400462963</v>
      </c>
      <c r="B2966" s="221">
        <v>3</v>
      </c>
      <c r="E2966" s="221">
        <v>100.2</v>
      </c>
    </row>
    <row r="2967" spans="1:5">
      <c r="A2967" s="247">
        <v>41711.418067129627</v>
      </c>
      <c r="B2967" s="221">
        <v>7.5</v>
      </c>
      <c r="E2967" s="221">
        <v>90.6</v>
      </c>
    </row>
    <row r="2968" spans="1:5">
      <c r="A2968" s="247">
        <v>41711.459733796299</v>
      </c>
      <c r="B2968" s="221">
        <v>13.5</v>
      </c>
      <c r="E2968" s="221">
        <v>76.8</v>
      </c>
    </row>
    <row r="2969" spans="1:5">
      <c r="A2969" s="247">
        <v>41711.501400462963</v>
      </c>
      <c r="B2969" s="221">
        <v>16.5</v>
      </c>
      <c r="E2969" s="221">
        <v>68.400000000000006</v>
      </c>
    </row>
    <row r="2970" spans="1:5">
      <c r="A2970" s="247">
        <v>41711.543067129627</v>
      </c>
      <c r="B2970" s="221">
        <v>21</v>
      </c>
      <c r="E2970" s="221">
        <v>55.2</v>
      </c>
    </row>
    <row r="2971" spans="1:5">
      <c r="A2971" s="247">
        <v>41711.584733796299</v>
      </c>
      <c r="B2971" s="221">
        <v>23.5</v>
      </c>
      <c r="E2971" s="221">
        <v>51.6</v>
      </c>
    </row>
    <row r="2972" spans="1:5">
      <c r="A2972" s="247">
        <v>41711.626400462963</v>
      </c>
      <c r="B2972" s="221">
        <v>24</v>
      </c>
      <c r="E2972" s="221">
        <v>42</v>
      </c>
    </row>
    <row r="2973" spans="1:5">
      <c r="A2973" s="247">
        <v>41711.668067129627</v>
      </c>
      <c r="B2973" s="221">
        <v>21</v>
      </c>
      <c r="E2973" s="221">
        <v>57</v>
      </c>
    </row>
    <row r="2974" spans="1:5">
      <c r="A2974" s="247">
        <v>41711.709733796299</v>
      </c>
      <c r="B2974" s="221">
        <v>20.5</v>
      </c>
      <c r="E2974" s="221">
        <v>54.6</v>
      </c>
    </row>
    <row r="2975" spans="1:5">
      <c r="A2975" s="247">
        <v>41711.751400462963</v>
      </c>
      <c r="B2975" s="221">
        <v>18.5</v>
      </c>
      <c r="E2975" s="221">
        <v>58.8</v>
      </c>
    </row>
    <row r="2976" spans="1:5">
      <c r="A2976" s="247">
        <v>41711.793067129627</v>
      </c>
      <c r="B2976" s="221">
        <v>16</v>
      </c>
      <c r="E2976" s="221">
        <v>77.400000000000006</v>
      </c>
    </row>
    <row r="2977" spans="1:5">
      <c r="A2977" s="247">
        <v>41711.834733796299</v>
      </c>
      <c r="B2977" s="221">
        <v>11.5</v>
      </c>
      <c r="E2977" s="221">
        <v>86.4</v>
      </c>
    </row>
    <row r="2978" spans="1:5">
      <c r="A2978" s="247">
        <v>41711.876400462963</v>
      </c>
      <c r="B2978" s="221">
        <v>8.5</v>
      </c>
      <c r="E2978" s="221">
        <v>97.8</v>
      </c>
    </row>
    <row r="2979" spans="1:5">
      <c r="A2979" s="247">
        <v>41711.918067129627</v>
      </c>
      <c r="B2979" s="221">
        <v>8</v>
      </c>
      <c r="E2979" s="221">
        <v>97.8</v>
      </c>
    </row>
    <row r="2980" spans="1:5">
      <c r="A2980" s="247">
        <v>41711.959733796299</v>
      </c>
      <c r="B2980" s="221">
        <v>6.5</v>
      </c>
      <c r="E2980" s="221">
        <v>100.2</v>
      </c>
    </row>
    <row r="2981" spans="1:5">
      <c r="A2981" s="247">
        <v>41712.001400462963</v>
      </c>
      <c r="B2981" s="221">
        <v>6</v>
      </c>
      <c r="E2981" s="221">
        <v>100.2</v>
      </c>
    </row>
    <row r="2982" spans="1:5">
      <c r="A2982" s="247">
        <v>41712.043067129627</v>
      </c>
      <c r="B2982" s="221">
        <v>6.5</v>
      </c>
      <c r="E2982" s="221">
        <v>99.6</v>
      </c>
    </row>
    <row r="2983" spans="1:5">
      <c r="A2983" s="247">
        <v>41712.084733796299</v>
      </c>
      <c r="B2983" s="221">
        <v>5.5</v>
      </c>
      <c r="E2983" s="221">
        <v>100.2</v>
      </c>
    </row>
    <row r="2984" spans="1:5">
      <c r="A2984" s="247">
        <v>41712.126400462963</v>
      </c>
      <c r="B2984" s="221">
        <v>5.5</v>
      </c>
      <c r="E2984" s="221">
        <v>97.2</v>
      </c>
    </row>
    <row r="2985" spans="1:5">
      <c r="A2985" s="247">
        <v>41712.168067129627</v>
      </c>
      <c r="B2985" s="221">
        <v>5</v>
      </c>
      <c r="E2985" s="221">
        <v>97.8</v>
      </c>
    </row>
    <row r="2986" spans="1:5">
      <c r="A2986" s="247">
        <v>41712.209733796299</v>
      </c>
      <c r="B2986" s="221">
        <v>3.5</v>
      </c>
      <c r="E2986" s="221">
        <v>102</v>
      </c>
    </row>
    <row r="2987" spans="1:5">
      <c r="A2987" s="247">
        <v>41712.251400462963</v>
      </c>
      <c r="B2987" s="221">
        <v>2.5</v>
      </c>
      <c r="E2987" s="221">
        <v>103.8</v>
      </c>
    </row>
    <row r="2988" spans="1:5">
      <c r="A2988" s="247">
        <v>41712.293067129627</v>
      </c>
      <c r="B2988" s="221">
        <v>2.5</v>
      </c>
      <c r="E2988" s="221">
        <v>105</v>
      </c>
    </row>
    <row r="2989" spans="1:5">
      <c r="A2989" s="247">
        <v>41712.334733796299</v>
      </c>
      <c r="B2989" s="221">
        <v>2.5</v>
      </c>
      <c r="E2989" s="221">
        <v>105.6</v>
      </c>
    </row>
    <row r="2990" spans="1:5">
      <c r="A2990" s="247">
        <v>41712.376400462963</v>
      </c>
      <c r="B2990" s="221">
        <v>3</v>
      </c>
      <c r="E2990" s="221">
        <v>105.6</v>
      </c>
    </row>
    <row r="2991" spans="1:5">
      <c r="A2991" s="247">
        <v>41712.418067129627</v>
      </c>
      <c r="B2991" s="221">
        <v>8</v>
      </c>
      <c r="E2991" s="221">
        <v>95.4</v>
      </c>
    </row>
    <row r="2992" spans="1:5">
      <c r="A2992" s="247">
        <v>41712.459733796299</v>
      </c>
      <c r="B2992" s="221">
        <v>14.5</v>
      </c>
      <c r="E2992" s="221">
        <v>75</v>
      </c>
    </row>
    <row r="2993" spans="1:5">
      <c r="A2993" s="247">
        <v>41712.501400462963</v>
      </c>
      <c r="B2993" s="221">
        <v>18</v>
      </c>
      <c r="E2993" s="221">
        <v>64.2</v>
      </c>
    </row>
    <row r="2994" spans="1:5">
      <c r="A2994" s="247">
        <v>41712.543067129627</v>
      </c>
      <c r="B2994" s="221">
        <v>22</v>
      </c>
      <c r="E2994" s="221">
        <v>44.4</v>
      </c>
    </row>
    <row r="2995" spans="1:5">
      <c r="A2995" s="247">
        <v>41712.584733796299</v>
      </c>
      <c r="B2995" s="221">
        <v>22.5</v>
      </c>
      <c r="E2995" s="221">
        <v>45</v>
      </c>
    </row>
    <row r="2996" spans="1:5">
      <c r="A2996" s="247">
        <v>41712.626400462963</v>
      </c>
      <c r="B2996" s="221">
        <v>22.5</v>
      </c>
      <c r="E2996" s="221">
        <v>46.2</v>
      </c>
    </row>
    <row r="2997" spans="1:5">
      <c r="A2997" s="247">
        <v>41712.668067129627</v>
      </c>
      <c r="B2997" s="221">
        <v>20.5</v>
      </c>
      <c r="E2997" s="221">
        <v>55.2</v>
      </c>
    </row>
    <row r="2998" spans="1:5">
      <c r="A2998" s="247">
        <v>41712.709733796299</v>
      </c>
      <c r="B2998" s="221">
        <v>20</v>
      </c>
      <c r="E2998" s="221">
        <v>49.2</v>
      </c>
    </row>
    <row r="2999" spans="1:5">
      <c r="A2999" s="247">
        <v>41712.751400462963</v>
      </c>
      <c r="B2999" s="221">
        <v>18</v>
      </c>
      <c r="E2999" s="221">
        <v>58.2</v>
      </c>
    </row>
    <row r="3000" spans="1:5">
      <c r="A3000" s="247">
        <v>41712.793067129627</v>
      </c>
      <c r="B3000" s="221">
        <v>15.5</v>
      </c>
      <c r="E3000" s="221">
        <v>78</v>
      </c>
    </row>
    <row r="3001" spans="1:5">
      <c r="A3001" s="247">
        <v>41712.834733796299</v>
      </c>
      <c r="B3001" s="221">
        <v>11</v>
      </c>
      <c r="E3001" s="221">
        <v>93</v>
      </c>
    </row>
    <row r="3002" spans="1:5">
      <c r="A3002" s="247">
        <v>41712.876400462963</v>
      </c>
      <c r="B3002" s="221">
        <v>9.5</v>
      </c>
      <c r="E3002" s="221">
        <v>88.8</v>
      </c>
    </row>
    <row r="3003" spans="1:5">
      <c r="A3003" s="247">
        <v>41712.918067129627</v>
      </c>
      <c r="B3003" s="221">
        <v>8</v>
      </c>
      <c r="E3003" s="221">
        <v>96</v>
      </c>
    </row>
    <row r="3004" spans="1:5">
      <c r="A3004" s="247">
        <v>41712.959733796299</v>
      </c>
      <c r="B3004" s="221">
        <v>7</v>
      </c>
      <c r="E3004" s="221">
        <v>97.8</v>
      </c>
    </row>
    <row r="3005" spans="1:5">
      <c r="A3005" s="247">
        <v>41713.001400462963</v>
      </c>
      <c r="B3005" s="221">
        <v>7.5</v>
      </c>
      <c r="E3005" s="221">
        <v>94.2</v>
      </c>
    </row>
    <row r="3006" spans="1:5">
      <c r="A3006" s="247">
        <v>41713.043067129627</v>
      </c>
      <c r="B3006" s="221">
        <v>6</v>
      </c>
      <c r="E3006" s="221">
        <v>102.6</v>
      </c>
    </row>
    <row r="3007" spans="1:5">
      <c r="A3007" s="247">
        <v>41713.084733796299</v>
      </c>
      <c r="B3007" s="221">
        <v>5</v>
      </c>
      <c r="E3007" s="221">
        <v>102</v>
      </c>
    </row>
    <row r="3008" spans="1:5">
      <c r="A3008" s="247">
        <v>41713.126400462963</v>
      </c>
      <c r="B3008" s="221">
        <v>5</v>
      </c>
      <c r="E3008" s="221">
        <v>100.8</v>
      </c>
    </row>
    <row r="3009" spans="1:5">
      <c r="A3009" s="247">
        <v>41713.168067129627</v>
      </c>
      <c r="B3009" s="221">
        <v>3.5</v>
      </c>
      <c r="E3009" s="221">
        <v>103.8</v>
      </c>
    </row>
    <row r="3010" spans="1:5">
      <c r="A3010" s="247">
        <v>41713.209733796299</v>
      </c>
      <c r="B3010" s="221">
        <v>5.5</v>
      </c>
      <c r="E3010" s="221">
        <v>103.2</v>
      </c>
    </row>
    <row r="3011" spans="1:5">
      <c r="A3011" s="247">
        <v>41713.251400462963</v>
      </c>
      <c r="B3011" s="221">
        <v>6</v>
      </c>
      <c r="E3011" s="221">
        <v>102</v>
      </c>
    </row>
    <row r="3012" spans="1:5">
      <c r="A3012" s="247">
        <v>41713.293067129627</v>
      </c>
      <c r="B3012" s="221">
        <v>5.5</v>
      </c>
      <c r="E3012" s="221">
        <v>103.8</v>
      </c>
    </row>
    <row r="3013" spans="1:5">
      <c r="A3013" s="247">
        <v>41713.334733796299</v>
      </c>
      <c r="B3013" s="221">
        <v>5.5</v>
      </c>
      <c r="E3013" s="221">
        <v>104.4</v>
      </c>
    </row>
    <row r="3014" spans="1:5">
      <c r="A3014" s="247">
        <v>41713.376400462963</v>
      </c>
      <c r="B3014" s="221">
        <v>5.5</v>
      </c>
      <c r="E3014" s="221">
        <v>105.6</v>
      </c>
    </row>
    <row r="3015" spans="1:5">
      <c r="A3015" s="247">
        <v>41713.418067129627</v>
      </c>
      <c r="B3015" s="221">
        <v>6</v>
      </c>
      <c r="E3015" s="221">
        <v>105.6</v>
      </c>
    </row>
    <row r="3016" spans="1:5">
      <c r="A3016" s="247">
        <v>41713.459733796299</v>
      </c>
      <c r="B3016" s="221">
        <v>6</v>
      </c>
      <c r="E3016" s="221">
        <v>103.2</v>
      </c>
    </row>
    <row r="3017" spans="1:5">
      <c r="A3017" s="247">
        <v>41713.501400462963</v>
      </c>
      <c r="B3017" s="221">
        <v>7</v>
      </c>
      <c r="E3017" s="221">
        <v>99.6</v>
      </c>
    </row>
    <row r="3018" spans="1:5">
      <c r="A3018" s="247">
        <v>41713.543067129627</v>
      </c>
      <c r="B3018" s="221">
        <v>8</v>
      </c>
      <c r="E3018" s="221">
        <v>94.2</v>
      </c>
    </row>
    <row r="3019" spans="1:5">
      <c r="A3019" s="247">
        <v>41713.584733796299</v>
      </c>
      <c r="B3019" s="221">
        <v>8.5</v>
      </c>
      <c r="E3019" s="221">
        <v>91.8</v>
      </c>
    </row>
    <row r="3020" spans="1:5">
      <c r="A3020" s="247">
        <v>41713.626400462963</v>
      </c>
      <c r="B3020" s="221">
        <v>11.5</v>
      </c>
      <c r="E3020" s="221">
        <v>84.6</v>
      </c>
    </row>
    <row r="3021" spans="1:5">
      <c r="A3021" s="247">
        <v>41713.668067129627</v>
      </c>
      <c r="B3021" s="221">
        <v>12.5</v>
      </c>
      <c r="E3021" s="221">
        <v>80.400000000000006</v>
      </c>
    </row>
    <row r="3022" spans="1:5">
      <c r="A3022" s="247">
        <v>41713.709733796299</v>
      </c>
      <c r="B3022" s="221">
        <v>12.5</v>
      </c>
      <c r="E3022" s="221">
        <v>80.400000000000006</v>
      </c>
    </row>
    <row r="3023" spans="1:5">
      <c r="A3023" s="247">
        <v>41713.751400462963</v>
      </c>
      <c r="B3023" s="221">
        <v>13.5</v>
      </c>
      <c r="E3023" s="221">
        <v>77.400000000000006</v>
      </c>
    </row>
    <row r="3024" spans="1:5">
      <c r="A3024" s="247">
        <v>41713.793067129627</v>
      </c>
      <c r="B3024" s="221">
        <v>11.5</v>
      </c>
      <c r="E3024" s="221">
        <v>84</v>
      </c>
    </row>
    <row r="3025" spans="1:5">
      <c r="A3025" s="247">
        <v>41713.834733796299</v>
      </c>
      <c r="B3025" s="221">
        <v>9.5</v>
      </c>
      <c r="E3025" s="221">
        <v>92.4</v>
      </c>
    </row>
    <row r="3026" spans="1:5">
      <c r="A3026" s="247">
        <v>41713.876400462963</v>
      </c>
      <c r="B3026" s="221">
        <v>8.5</v>
      </c>
      <c r="E3026" s="221">
        <v>96.6</v>
      </c>
    </row>
    <row r="3027" spans="1:5">
      <c r="A3027" s="247">
        <v>41713.918067129627</v>
      </c>
      <c r="B3027" s="221">
        <v>7</v>
      </c>
      <c r="E3027" s="221">
        <v>99.6</v>
      </c>
    </row>
    <row r="3028" spans="1:5">
      <c r="A3028" s="247">
        <v>41713.959733796299</v>
      </c>
      <c r="B3028" s="221">
        <v>5.5</v>
      </c>
      <c r="E3028" s="221">
        <v>102.6</v>
      </c>
    </row>
    <row r="3029" spans="1:5">
      <c r="A3029" s="247">
        <v>41714.001400462963</v>
      </c>
      <c r="B3029" s="221">
        <v>5.5</v>
      </c>
      <c r="E3029" s="221">
        <v>103.8</v>
      </c>
    </row>
    <row r="3030" spans="1:5">
      <c r="A3030" s="247">
        <v>41714.043067129627</v>
      </c>
      <c r="B3030" s="221">
        <v>5.5</v>
      </c>
      <c r="E3030" s="221">
        <v>103.8</v>
      </c>
    </row>
    <row r="3031" spans="1:5">
      <c r="A3031" s="247">
        <v>41714.084733796299</v>
      </c>
      <c r="B3031" s="221">
        <v>5</v>
      </c>
      <c r="E3031" s="221">
        <v>105</v>
      </c>
    </row>
    <row r="3032" spans="1:5">
      <c r="A3032" s="247">
        <v>41714.126400462963</v>
      </c>
      <c r="B3032" s="221">
        <v>4</v>
      </c>
      <c r="E3032" s="221">
        <v>105.6</v>
      </c>
    </row>
    <row r="3033" spans="1:5">
      <c r="A3033" s="247">
        <v>41714.168067129627</v>
      </c>
      <c r="B3033" s="221">
        <v>3.5</v>
      </c>
      <c r="E3033" s="221">
        <v>106.2</v>
      </c>
    </row>
    <row r="3034" spans="1:5">
      <c r="A3034" s="247">
        <v>41714.209733796299</v>
      </c>
      <c r="B3034" s="221">
        <v>3.5</v>
      </c>
      <c r="E3034" s="221">
        <v>106.8</v>
      </c>
    </row>
    <row r="3035" spans="1:5">
      <c r="A3035" s="247">
        <v>41714.251400462963</v>
      </c>
      <c r="B3035" s="221">
        <v>3.5</v>
      </c>
      <c r="E3035" s="221">
        <v>106.8</v>
      </c>
    </row>
    <row r="3036" spans="1:5">
      <c r="A3036" s="247">
        <v>41714.293067129627</v>
      </c>
      <c r="B3036" s="221">
        <v>4.5</v>
      </c>
      <c r="E3036" s="221">
        <v>106.8</v>
      </c>
    </row>
    <row r="3037" spans="1:5">
      <c r="A3037" s="247">
        <v>41714.334733796299</v>
      </c>
      <c r="B3037" s="221">
        <v>4.5</v>
      </c>
      <c r="E3037" s="221">
        <v>106.8</v>
      </c>
    </row>
    <row r="3038" spans="1:5">
      <c r="A3038" s="247">
        <v>41714.376400462963</v>
      </c>
      <c r="B3038" s="221">
        <v>5.5</v>
      </c>
      <c r="E3038" s="221">
        <v>106.8</v>
      </c>
    </row>
    <row r="3039" spans="1:5">
      <c r="A3039" s="247">
        <v>41714.418067129627</v>
      </c>
      <c r="B3039" s="221">
        <v>6</v>
      </c>
      <c r="E3039" s="221">
        <v>106.2</v>
      </c>
    </row>
    <row r="3040" spans="1:5">
      <c r="A3040" s="247">
        <v>41714.459733796299</v>
      </c>
      <c r="B3040" s="221">
        <v>7.5</v>
      </c>
      <c r="E3040" s="221">
        <v>106.8</v>
      </c>
    </row>
    <row r="3041" spans="1:5">
      <c r="A3041" s="247">
        <v>41714.501400462963</v>
      </c>
      <c r="B3041" s="221">
        <v>9</v>
      </c>
      <c r="E3041" s="221">
        <v>100.2</v>
      </c>
    </row>
    <row r="3042" spans="1:5">
      <c r="A3042" s="247">
        <v>41714.543067129627</v>
      </c>
      <c r="B3042" s="221">
        <v>11.5</v>
      </c>
      <c r="E3042" s="221">
        <v>88.8</v>
      </c>
    </row>
    <row r="3043" spans="1:5">
      <c r="A3043" s="247">
        <v>41714.584733796299</v>
      </c>
      <c r="B3043" s="221">
        <v>15.5</v>
      </c>
      <c r="E3043" s="221">
        <v>72.599999999999994</v>
      </c>
    </row>
    <row r="3044" spans="1:5">
      <c r="A3044" s="247">
        <v>41714.626400462963</v>
      </c>
      <c r="B3044" s="221">
        <v>16</v>
      </c>
      <c r="E3044" s="221">
        <v>69</v>
      </c>
    </row>
    <row r="3045" spans="1:5">
      <c r="A3045" s="247">
        <v>41714.668067129627</v>
      </c>
      <c r="B3045" s="221">
        <v>14</v>
      </c>
      <c r="E3045" s="221">
        <v>78</v>
      </c>
    </row>
    <row r="3046" spans="1:5">
      <c r="A3046" s="247">
        <v>41714.709733796299</v>
      </c>
      <c r="B3046" s="221">
        <v>14.5</v>
      </c>
      <c r="E3046" s="221">
        <v>76.2</v>
      </c>
    </row>
    <row r="3047" spans="1:5">
      <c r="A3047" s="247">
        <v>41714.751400462963</v>
      </c>
      <c r="B3047" s="221">
        <v>14.5</v>
      </c>
      <c r="E3047" s="221">
        <v>72</v>
      </c>
    </row>
    <row r="3048" spans="1:5">
      <c r="A3048" s="247">
        <v>41714.793067129627</v>
      </c>
      <c r="B3048" s="221">
        <v>14</v>
      </c>
      <c r="E3048" s="221">
        <v>76.8</v>
      </c>
    </row>
    <row r="3049" spans="1:5">
      <c r="A3049" s="247">
        <v>41714.834733796299</v>
      </c>
      <c r="B3049" s="221">
        <v>11.5</v>
      </c>
      <c r="E3049" s="221">
        <v>86.4</v>
      </c>
    </row>
    <row r="3050" spans="1:5">
      <c r="A3050" s="247">
        <v>41714.876400462963</v>
      </c>
      <c r="B3050" s="221">
        <v>7</v>
      </c>
      <c r="E3050" s="221">
        <v>100.2</v>
      </c>
    </row>
    <row r="3051" spans="1:5">
      <c r="A3051" s="247">
        <v>41714.918067129627</v>
      </c>
      <c r="B3051" s="221">
        <v>7</v>
      </c>
      <c r="E3051" s="221">
        <v>103.8</v>
      </c>
    </row>
    <row r="3052" spans="1:5">
      <c r="A3052" s="247">
        <v>41714.959733796299</v>
      </c>
      <c r="B3052" s="221">
        <v>7</v>
      </c>
      <c r="E3052" s="221">
        <v>103.8</v>
      </c>
    </row>
    <row r="3053" spans="1:5">
      <c r="A3053" s="247">
        <v>41715.001400462963</v>
      </c>
      <c r="B3053" s="221">
        <v>5.5</v>
      </c>
      <c r="E3053" s="221">
        <v>105.6</v>
      </c>
    </row>
    <row r="3054" spans="1:5">
      <c r="A3054" s="247">
        <v>41715.043067129627</v>
      </c>
      <c r="B3054" s="221">
        <v>4</v>
      </c>
      <c r="E3054" s="221">
        <v>106.8</v>
      </c>
    </row>
    <row r="3055" spans="1:5">
      <c r="A3055" s="247">
        <v>41715.084733796299</v>
      </c>
      <c r="B3055" s="221">
        <v>3.5</v>
      </c>
      <c r="E3055" s="221">
        <v>106.8</v>
      </c>
    </row>
    <row r="3056" spans="1:5">
      <c r="A3056" s="247">
        <v>41715.126400462963</v>
      </c>
      <c r="B3056" s="221">
        <v>4.5</v>
      </c>
      <c r="E3056" s="221">
        <v>106.8</v>
      </c>
    </row>
    <row r="3057" spans="1:5">
      <c r="A3057" s="247">
        <v>41715.168067129627</v>
      </c>
      <c r="B3057" s="221">
        <v>3.5</v>
      </c>
      <c r="E3057" s="221">
        <v>108</v>
      </c>
    </row>
    <row r="3058" spans="1:5">
      <c r="A3058" s="247">
        <v>41715.209733796299</v>
      </c>
      <c r="B3058" s="221">
        <v>2.5</v>
      </c>
      <c r="E3058" s="221">
        <v>107.4</v>
      </c>
    </row>
    <row r="3059" spans="1:5">
      <c r="A3059" s="247">
        <v>41715.251400462963</v>
      </c>
      <c r="B3059" s="221">
        <v>2.5</v>
      </c>
      <c r="E3059" s="221">
        <v>108</v>
      </c>
    </row>
    <row r="3060" spans="1:5">
      <c r="A3060" s="247">
        <v>41715.293067129627</v>
      </c>
      <c r="B3060" s="221">
        <v>1.5</v>
      </c>
      <c r="E3060" s="221">
        <v>108.6</v>
      </c>
    </row>
    <row r="3061" spans="1:5">
      <c r="A3061" s="247">
        <v>41715.334733796299</v>
      </c>
      <c r="B3061" s="221">
        <v>2.5</v>
      </c>
      <c r="E3061" s="221">
        <v>108</v>
      </c>
    </row>
    <row r="3062" spans="1:5">
      <c r="A3062" s="247">
        <v>41715.376400462963</v>
      </c>
      <c r="B3062" s="221">
        <v>4.5</v>
      </c>
      <c r="E3062" s="221">
        <v>108</v>
      </c>
    </row>
    <row r="3063" spans="1:5">
      <c r="A3063" s="247">
        <v>41715.418067129627</v>
      </c>
      <c r="B3063" s="221">
        <v>6</v>
      </c>
      <c r="E3063" s="221">
        <v>107.4</v>
      </c>
    </row>
    <row r="3064" spans="1:5">
      <c r="A3064" s="247">
        <v>41715.459733796299</v>
      </c>
      <c r="B3064" s="221">
        <v>8.5</v>
      </c>
      <c r="E3064" s="221">
        <v>106.2</v>
      </c>
    </row>
    <row r="3065" spans="1:5">
      <c r="A3065" s="247">
        <v>41715.501400462963</v>
      </c>
      <c r="B3065" s="221">
        <v>10</v>
      </c>
      <c r="E3065" s="221">
        <v>99</v>
      </c>
    </row>
    <row r="3066" spans="1:5">
      <c r="A3066" s="247">
        <v>41715.543067129627</v>
      </c>
      <c r="B3066" s="221">
        <v>16</v>
      </c>
      <c r="E3066" s="221">
        <v>78.599999999999994</v>
      </c>
    </row>
    <row r="3067" spans="1:5">
      <c r="A3067" s="247">
        <v>41715.584733796299</v>
      </c>
      <c r="B3067" s="221">
        <v>21</v>
      </c>
      <c r="E3067" s="221">
        <v>55.2</v>
      </c>
    </row>
    <row r="3068" spans="1:5">
      <c r="A3068" s="247">
        <v>41715.626400462963</v>
      </c>
      <c r="B3068" s="221">
        <v>21</v>
      </c>
      <c r="E3068" s="221">
        <v>48</v>
      </c>
    </row>
    <row r="3069" spans="1:5">
      <c r="A3069" s="247">
        <v>41715.668067129627</v>
      </c>
      <c r="B3069" s="221">
        <v>18.5</v>
      </c>
      <c r="E3069" s="221">
        <v>56.4</v>
      </c>
    </row>
    <row r="3070" spans="1:5">
      <c r="A3070" s="247">
        <v>41715.709733796299</v>
      </c>
      <c r="B3070" s="221">
        <v>19</v>
      </c>
      <c r="E3070" s="221">
        <v>54</v>
      </c>
    </row>
    <row r="3071" spans="1:5">
      <c r="A3071" s="247">
        <v>41715.751400462963</v>
      </c>
      <c r="B3071" s="221">
        <v>18</v>
      </c>
      <c r="E3071" s="221">
        <v>56.4</v>
      </c>
    </row>
    <row r="3072" spans="1:5">
      <c r="A3072" s="247">
        <v>41715.793067129627</v>
      </c>
      <c r="B3072" s="221">
        <v>15.5</v>
      </c>
      <c r="E3072" s="221">
        <v>78.599999999999994</v>
      </c>
    </row>
    <row r="3073" spans="1:5">
      <c r="A3073" s="247">
        <v>41715.834733796299</v>
      </c>
      <c r="B3073" s="221">
        <v>10.5</v>
      </c>
      <c r="E3073" s="221">
        <v>94.2</v>
      </c>
    </row>
    <row r="3074" spans="1:5">
      <c r="A3074" s="247">
        <v>41715.876400462963</v>
      </c>
      <c r="B3074" s="221">
        <v>7</v>
      </c>
      <c r="E3074" s="221">
        <v>102</v>
      </c>
    </row>
    <row r="3075" spans="1:5">
      <c r="A3075" s="247">
        <v>41715.918067129627</v>
      </c>
      <c r="B3075" s="221">
        <v>5.5</v>
      </c>
      <c r="E3075" s="221">
        <v>103.8</v>
      </c>
    </row>
    <row r="3076" spans="1:5">
      <c r="A3076" s="247">
        <v>41715.959733796299</v>
      </c>
      <c r="B3076" s="221">
        <v>5</v>
      </c>
      <c r="E3076" s="221">
        <v>103.2</v>
      </c>
    </row>
    <row r="3077" spans="1:5">
      <c r="A3077" s="247">
        <v>41716.001400462963</v>
      </c>
      <c r="B3077" s="221">
        <v>5</v>
      </c>
      <c r="E3077" s="221">
        <v>102</v>
      </c>
    </row>
    <row r="3078" spans="1:5">
      <c r="A3078" s="247">
        <v>41716.043067129627</v>
      </c>
      <c r="B3078" s="221">
        <v>4</v>
      </c>
      <c r="E3078" s="221">
        <v>101.4</v>
      </c>
    </row>
    <row r="3079" spans="1:5">
      <c r="A3079" s="247">
        <v>41716.084733796299</v>
      </c>
      <c r="B3079" s="221">
        <v>3</v>
      </c>
      <c r="E3079" s="221">
        <v>105.6</v>
      </c>
    </row>
    <row r="3080" spans="1:5">
      <c r="A3080" s="247">
        <v>41716.126400462963</v>
      </c>
      <c r="B3080" s="221">
        <v>2.5</v>
      </c>
      <c r="E3080" s="221">
        <v>106.8</v>
      </c>
    </row>
    <row r="3081" spans="1:5">
      <c r="A3081" s="247">
        <v>41716.168067129627</v>
      </c>
      <c r="B3081" s="221">
        <v>2.5</v>
      </c>
      <c r="E3081" s="221">
        <v>108</v>
      </c>
    </row>
    <row r="3082" spans="1:5">
      <c r="A3082" s="247">
        <v>41716.209733796299</v>
      </c>
      <c r="B3082" s="221">
        <v>1.5</v>
      </c>
      <c r="E3082" s="221">
        <v>108.6</v>
      </c>
    </row>
    <row r="3083" spans="1:5">
      <c r="A3083" s="247">
        <v>41716.251400462963</v>
      </c>
      <c r="B3083" s="221">
        <v>2</v>
      </c>
      <c r="E3083" s="221">
        <v>108.6</v>
      </c>
    </row>
    <row r="3084" spans="1:5">
      <c r="A3084" s="247">
        <v>41716.293067129627</v>
      </c>
      <c r="B3084" s="221">
        <v>0.5</v>
      </c>
      <c r="E3084" s="221">
        <v>108.6</v>
      </c>
    </row>
    <row r="3085" spans="1:5">
      <c r="A3085" s="247">
        <v>41716.334733796299</v>
      </c>
      <c r="B3085" s="221">
        <v>0.5</v>
      </c>
      <c r="E3085" s="221">
        <v>109.2</v>
      </c>
    </row>
    <row r="3086" spans="1:5">
      <c r="A3086" s="247">
        <v>41716.376400462963</v>
      </c>
      <c r="B3086" s="221">
        <v>2</v>
      </c>
      <c r="E3086" s="221">
        <v>108.6</v>
      </c>
    </row>
    <row r="3087" spans="1:5">
      <c r="A3087" s="247">
        <v>41716.418067129627</v>
      </c>
      <c r="B3087" s="221">
        <v>7</v>
      </c>
      <c r="E3087" s="221">
        <v>105</v>
      </c>
    </row>
    <row r="3088" spans="1:5">
      <c r="A3088" s="247">
        <v>41716.459733796299</v>
      </c>
      <c r="B3088" s="221">
        <v>12</v>
      </c>
      <c r="E3088" s="221">
        <v>84</v>
      </c>
    </row>
    <row r="3089" spans="1:5">
      <c r="A3089" s="247">
        <v>41716.501400462963</v>
      </c>
      <c r="B3089" s="221">
        <v>15.5</v>
      </c>
      <c r="E3089" s="221">
        <v>73.8</v>
      </c>
    </row>
    <row r="3090" spans="1:5">
      <c r="A3090" s="247">
        <v>41716.543067129627</v>
      </c>
      <c r="B3090" s="221">
        <v>17.5</v>
      </c>
      <c r="E3090" s="221">
        <v>67.8</v>
      </c>
    </row>
    <row r="3091" spans="1:5">
      <c r="A3091" s="247">
        <v>41716.584733796299</v>
      </c>
      <c r="B3091" s="221">
        <v>20</v>
      </c>
      <c r="E3091" s="221">
        <v>60</v>
      </c>
    </row>
    <row r="3092" spans="1:5">
      <c r="A3092" s="247">
        <v>41716.626400462963</v>
      </c>
      <c r="B3092" s="221">
        <v>17</v>
      </c>
      <c r="E3092" s="221">
        <v>67.8</v>
      </c>
    </row>
    <row r="3093" spans="1:5">
      <c r="A3093" s="247">
        <v>41716.668067129627</v>
      </c>
      <c r="B3093" s="221">
        <v>15</v>
      </c>
      <c r="E3093" s="221">
        <v>73.8</v>
      </c>
    </row>
    <row r="3094" spans="1:5">
      <c r="A3094" s="247">
        <v>41716.709733796299</v>
      </c>
      <c r="B3094" s="221">
        <v>13.5</v>
      </c>
      <c r="E3094" s="221">
        <v>75</v>
      </c>
    </row>
    <row r="3095" spans="1:5">
      <c r="A3095" s="247">
        <v>41716.751400462963</v>
      </c>
      <c r="B3095" s="221">
        <v>10.5</v>
      </c>
      <c r="E3095" s="221">
        <v>85.8</v>
      </c>
    </row>
    <row r="3096" spans="1:5">
      <c r="A3096" s="247">
        <v>41716.793067129627</v>
      </c>
      <c r="B3096" s="221">
        <v>10</v>
      </c>
      <c r="E3096" s="221">
        <v>86.4</v>
      </c>
    </row>
    <row r="3097" spans="1:5">
      <c r="A3097" s="247">
        <v>41716.834733796299</v>
      </c>
      <c r="B3097" s="221">
        <v>9.5</v>
      </c>
      <c r="E3097" s="221">
        <v>88.8</v>
      </c>
    </row>
    <row r="3098" spans="1:5">
      <c r="A3098" s="247">
        <v>41716.876400462963</v>
      </c>
      <c r="B3098" s="221">
        <v>9.5</v>
      </c>
      <c r="E3098" s="221">
        <v>89.4</v>
      </c>
    </row>
    <row r="3099" spans="1:5">
      <c r="A3099" s="247">
        <v>41716.918067129627</v>
      </c>
      <c r="B3099" s="221">
        <v>8.5</v>
      </c>
      <c r="E3099" s="221">
        <v>95.4</v>
      </c>
    </row>
    <row r="3100" spans="1:5">
      <c r="A3100" s="247">
        <v>41716.959733796299</v>
      </c>
      <c r="B3100" s="221">
        <v>8.5</v>
      </c>
      <c r="E3100" s="221">
        <v>94.8</v>
      </c>
    </row>
    <row r="3101" spans="1:5">
      <c r="A3101" s="247">
        <v>41717.001400462963</v>
      </c>
      <c r="B3101" s="221">
        <v>9</v>
      </c>
      <c r="E3101" s="221">
        <v>95.4</v>
      </c>
    </row>
    <row r="3102" spans="1:5">
      <c r="A3102" s="247">
        <v>41717.043067129627</v>
      </c>
      <c r="B3102" s="221">
        <v>8.5</v>
      </c>
      <c r="E3102" s="221">
        <v>96.6</v>
      </c>
    </row>
    <row r="3103" spans="1:5">
      <c r="A3103" s="247">
        <v>41717.084733796299</v>
      </c>
      <c r="B3103" s="221">
        <v>8.5</v>
      </c>
      <c r="E3103" s="221">
        <v>97.8</v>
      </c>
    </row>
    <row r="3104" spans="1:5">
      <c r="A3104" s="247">
        <v>41717.126400462963</v>
      </c>
      <c r="B3104" s="221">
        <v>8</v>
      </c>
      <c r="E3104" s="221">
        <v>99</v>
      </c>
    </row>
    <row r="3105" spans="1:5">
      <c r="A3105" s="247">
        <v>41717.168067129627</v>
      </c>
      <c r="B3105" s="221">
        <v>8</v>
      </c>
      <c r="E3105" s="221">
        <v>99.6</v>
      </c>
    </row>
    <row r="3106" spans="1:5">
      <c r="A3106" s="247">
        <v>41717.209733796299</v>
      </c>
      <c r="B3106" s="221">
        <v>5</v>
      </c>
      <c r="E3106" s="221">
        <v>104.4</v>
      </c>
    </row>
    <row r="3107" spans="1:5">
      <c r="A3107" s="247">
        <v>41717.251400462963</v>
      </c>
      <c r="B3107" s="221">
        <v>4.5</v>
      </c>
      <c r="E3107" s="221">
        <v>105.6</v>
      </c>
    </row>
    <row r="3108" spans="1:5">
      <c r="A3108" s="247">
        <v>41717.293067129627</v>
      </c>
      <c r="B3108" s="221">
        <v>4</v>
      </c>
      <c r="E3108" s="221">
        <v>106.2</v>
      </c>
    </row>
    <row r="3109" spans="1:5">
      <c r="A3109" s="247">
        <v>41717.334733796299</v>
      </c>
      <c r="B3109" s="221">
        <v>4</v>
      </c>
      <c r="E3109" s="221">
        <v>106.8</v>
      </c>
    </row>
    <row r="3110" spans="1:5">
      <c r="A3110" s="247">
        <v>41717.376400462963</v>
      </c>
      <c r="B3110" s="221">
        <v>4.5</v>
      </c>
      <c r="E3110" s="221">
        <v>106.8</v>
      </c>
    </row>
    <row r="3111" spans="1:5">
      <c r="A3111" s="247">
        <v>41717.418067129627</v>
      </c>
      <c r="B3111" s="221">
        <v>7</v>
      </c>
      <c r="E3111" s="221">
        <v>106.2</v>
      </c>
    </row>
    <row r="3112" spans="1:5">
      <c r="A3112" s="247">
        <v>41717.459733796299</v>
      </c>
      <c r="B3112" s="221">
        <v>15</v>
      </c>
      <c r="E3112" s="221">
        <v>74.400000000000006</v>
      </c>
    </row>
    <row r="3113" spans="1:5">
      <c r="A3113" s="247">
        <v>41717.501400462963</v>
      </c>
      <c r="B3113" s="221">
        <v>12.5</v>
      </c>
      <c r="E3113" s="221">
        <v>76.8</v>
      </c>
    </row>
    <row r="3114" spans="1:5">
      <c r="A3114" s="247">
        <v>41717.543067129627</v>
      </c>
      <c r="B3114" s="221">
        <v>18</v>
      </c>
      <c r="E3114" s="221">
        <v>57</v>
      </c>
    </row>
    <row r="3115" spans="1:5">
      <c r="A3115" s="247">
        <v>41717.584733796299</v>
      </c>
      <c r="B3115" s="221">
        <v>20</v>
      </c>
      <c r="E3115" s="221">
        <v>48.6</v>
      </c>
    </row>
    <row r="3116" spans="1:5">
      <c r="A3116" s="247">
        <v>41717.626400462963</v>
      </c>
      <c r="B3116" s="221">
        <v>19.5</v>
      </c>
      <c r="E3116" s="221">
        <v>52.8</v>
      </c>
    </row>
    <row r="3117" spans="1:5">
      <c r="A3117" s="247">
        <v>41717.668067129627</v>
      </c>
      <c r="B3117" s="221">
        <v>16</v>
      </c>
      <c r="E3117" s="221">
        <v>61.8</v>
      </c>
    </row>
    <row r="3118" spans="1:5">
      <c r="A3118" s="247">
        <v>41717.709733796299</v>
      </c>
      <c r="B3118" s="221">
        <v>17.5</v>
      </c>
      <c r="E3118" s="221">
        <v>58.8</v>
      </c>
    </row>
    <row r="3119" spans="1:5">
      <c r="A3119" s="247">
        <v>41717.751400462963</v>
      </c>
      <c r="B3119" s="221">
        <v>16</v>
      </c>
      <c r="E3119" s="221">
        <v>61.2</v>
      </c>
    </row>
    <row r="3120" spans="1:5">
      <c r="A3120" s="247">
        <v>41717.793067129627</v>
      </c>
      <c r="B3120" s="221">
        <v>15.5</v>
      </c>
      <c r="E3120" s="221">
        <v>62.4</v>
      </c>
    </row>
    <row r="3121" spans="1:5">
      <c r="A3121" s="247">
        <v>41717.834733796299</v>
      </c>
      <c r="B3121" s="221">
        <v>13</v>
      </c>
      <c r="E3121" s="221">
        <v>75</v>
      </c>
    </row>
    <row r="3122" spans="1:5">
      <c r="A3122" s="247">
        <v>41717.876400462963</v>
      </c>
      <c r="B3122" s="221">
        <v>7.5</v>
      </c>
      <c r="E3122" s="221">
        <v>95.4</v>
      </c>
    </row>
    <row r="3123" spans="1:5">
      <c r="A3123" s="247">
        <v>41717.918067129627</v>
      </c>
      <c r="B3123" s="221">
        <v>6.5</v>
      </c>
      <c r="E3123" s="221">
        <v>96</v>
      </c>
    </row>
    <row r="3124" spans="1:5">
      <c r="A3124" s="247">
        <v>41717.959733796299</v>
      </c>
      <c r="B3124" s="221">
        <v>5.5</v>
      </c>
      <c r="E3124" s="221">
        <v>100.2</v>
      </c>
    </row>
    <row r="3125" spans="1:5">
      <c r="A3125" s="247">
        <v>41718.001400462963</v>
      </c>
      <c r="B3125" s="221">
        <v>5.5</v>
      </c>
      <c r="E3125" s="221">
        <v>99.6</v>
      </c>
    </row>
    <row r="3126" spans="1:5">
      <c r="A3126" s="247">
        <v>41718.043067129627</v>
      </c>
      <c r="B3126" s="221">
        <v>5.5</v>
      </c>
      <c r="E3126" s="221">
        <v>98.4</v>
      </c>
    </row>
    <row r="3127" spans="1:5">
      <c r="A3127" s="247">
        <v>41718.084733796299</v>
      </c>
      <c r="B3127" s="221">
        <v>5.5</v>
      </c>
      <c r="E3127" s="221">
        <v>97.8</v>
      </c>
    </row>
    <row r="3128" spans="1:5">
      <c r="A3128" s="247">
        <v>41718.126400462963</v>
      </c>
      <c r="B3128" s="221">
        <v>5.5</v>
      </c>
      <c r="E3128" s="221">
        <v>96.6</v>
      </c>
    </row>
    <row r="3129" spans="1:5">
      <c r="A3129" s="247">
        <v>41718.168067129627</v>
      </c>
      <c r="B3129" s="221">
        <v>5.5</v>
      </c>
      <c r="E3129" s="221">
        <v>99</v>
      </c>
    </row>
    <row r="3130" spans="1:5">
      <c r="A3130" s="247">
        <v>41718.209733796299</v>
      </c>
      <c r="B3130" s="221">
        <v>4.5</v>
      </c>
      <c r="E3130" s="221">
        <v>100.2</v>
      </c>
    </row>
    <row r="3131" spans="1:5">
      <c r="A3131" s="247">
        <v>41718.251400462963</v>
      </c>
      <c r="B3131" s="221">
        <v>4.5</v>
      </c>
      <c r="E3131" s="221">
        <v>100.2</v>
      </c>
    </row>
    <row r="3132" spans="1:5">
      <c r="A3132" s="247">
        <v>41718.293067129627</v>
      </c>
      <c r="B3132" s="221">
        <v>4</v>
      </c>
      <c r="E3132" s="221">
        <v>100.2</v>
      </c>
    </row>
    <row r="3133" spans="1:5">
      <c r="A3133" s="247">
        <v>41718.334733796299</v>
      </c>
      <c r="B3133" s="221">
        <v>5</v>
      </c>
      <c r="E3133" s="221">
        <v>98.4</v>
      </c>
    </row>
    <row r="3134" spans="1:5">
      <c r="A3134" s="247">
        <v>41718.376400462963</v>
      </c>
      <c r="B3134" s="221">
        <v>5</v>
      </c>
      <c r="E3134" s="221">
        <v>97.2</v>
      </c>
    </row>
    <row r="3135" spans="1:5">
      <c r="A3135" s="247">
        <v>41718.418067129627</v>
      </c>
      <c r="B3135" s="221">
        <v>8</v>
      </c>
      <c r="E3135" s="221">
        <v>90.6</v>
      </c>
    </row>
    <row r="3136" spans="1:5">
      <c r="A3136" s="247">
        <v>41718.459733796299</v>
      </c>
      <c r="B3136" s="221">
        <v>17</v>
      </c>
      <c r="E3136" s="221">
        <v>60.6</v>
      </c>
    </row>
    <row r="3137" spans="1:5">
      <c r="A3137" s="247">
        <v>41718.501400462963</v>
      </c>
      <c r="B3137" s="221">
        <v>20</v>
      </c>
      <c r="E3137" s="221">
        <v>53.4</v>
      </c>
    </row>
    <row r="3138" spans="1:5">
      <c r="A3138" s="247">
        <v>41718.543067129627</v>
      </c>
      <c r="B3138" s="221">
        <v>23.5</v>
      </c>
      <c r="E3138" s="221">
        <v>46.8</v>
      </c>
    </row>
    <row r="3139" spans="1:5">
      <c r="A3139" s="247">
        <v>41718.584733796299</v>
      </c>
      <c r="B3139" s="221">
        <v>25</v>
      </c>
      <c r="E3139" s="221">
        <v>43.8</v>
      </c>
    </row>
    <row r="3140" spans="1:5">
      <c r="A3140" s="247">
        <v>41718.626400462963</v>
      </c>
      <c r="B3140" s="221">
        <v>24</v>
      </c>
      <c r="E3140" s="221">
        <v>43.2</v>
      </c>
    </row>
    <row r="3141" spans="1:5">
      <c r="A3141" s="247">
        <v>41718.668067129627</v>
      </c>
      <c r="B3141" s="221">
        <v>23</v>
      </c>
      <c r="E3141" s="221">
        <v>48</v>
      </c>
    </row>
    <row r="3142" spans="1:5">
      <c r="A3142" s="247">
        <v>41718.709733796299</v>
      </c>
      <c r="B3142" s="221">
        <v>22</v>
      </c>
      <c r="E3142" s="221">
        <v>45.6</v>
      </c>
    </row>
    <row r="3143" spans="1:5">
      <c r="A3143" s="247">
        <v>41718.751400462963</v>
      </c>
      <c r="B3143" s="221">
        <v>21.5</v>
      </c>
      <c r="E3143" s="221">
        <v>44.4</v>
      </c>
    </row>
    <row r="3144" spans="1:5">
      <c r="A3144" s="247">
        <v>41718.793067129627</v>
      </c>
      <c r="B3144" s="221">
        <v>20</v>
      </c>
      <c r="E3144" s="221">
        <v>52.2</v>
      </c>
    </row>
    <row r="3145" spans="1:5">
      <c r="A3145" s="247">
        <v>41718.834733796299</v>
      </c>
      <c r="B3145" s="221">
        <v>17.5</v>
      </c>
      <c r="E3145" s="221">
        <v>57.6</v>
      </c>
    </row>
    <row r="3146" spans="1:5">
      <c r="A3146" s="247">
        <v>41718.876400462963</v>
      </c>
      <c r="B3146" s="221">
        <v>15.5</v>
      </c>
      <c r="E3146" s="221">
        <v>67.2</v>
      </c>
    </row>
    <row r="3147" spans="1:5">
      <c r="A3147" s="247">
        <v>41718.918067129627</v>
      </c>
      <c r="B3147" s="221">
        <v>12</v>
      </c>
      <c r="E3147" s="221">
        <v>79.8</v>
      </c>
    </row>
    <row r="3148" spans="1:5">
      <c r="A3148" s="247">
        <v>41718.959733796299</v>
      </c>
      <c r="B3148" s="221">
        <v>12.5</v>
      </c>
      <c r="E3148" s="221">
        <v>79.2</v>
      </c>
    </row>
    <row r="3149" spans="1:5">
      <c r="A3149" s="247">
        <v>41719.001400462963</v>
      </c>
      <c r="B3149" s="221">
        <v>10.5</v>
      </c>
      <c r="E3149" s="221">
        <v>88.8</v>
      </c>
    </row>
    <row r="3150" spans="1:5">
      <c r="A3150" s="247">
        <v>41719.043067129627</v>
      </c>
      <c r="B3150" s="221">
        <v>11</v>
      </c>
      <c r="E3150" s="221">
        <v>88.8</v>
      </c>
    </row>
    <row r="3151" spans="1:5">
      <c r="A3151" s="247">
        <v>41719.084733796299</v>
      </c>
      <c r="B3151" s="221">
        <v>10.5</v>
      </c>
      <c r="E3151" s="221">
        <v>89.4</v>
      </c>
    </row>
    <row r="3152" spans="1:5">
      <c r="A3152" s="247">
        <v>41719.126400462963</v>
      </c>
      <c r="B3152" s="221">
        <v>11</v>
      </c>
      <c r="E3152" s="221">
        <v>86.4</v>
      </c>
    </row>
    <row r="3153" spans="1:5">
      <c r="A3153" s="247">
        <v>41719.168067129627</v>
      </c>
      <c r="B3153" s="221">
        <v>12</v>
      </c>
      <c r="E3153" s="221">
        <v>81</v>
      </c>
    </row>
    <row r="3154" spans="1:5">
      <c r="A3154" s="247">
        <v>41719.209733796299</v>
      </c>
      <c r="B3154" s="221">
        <v>10</v>
      </c>
      <c r="E3154" s="221">
        <v>88.8</v>
      </c>
    </row>
    <row r="3155" spans="1:5">
      <c r="A3155" s="247">
        <v>41719.251400462963</v>
      </c>
      <c r="B3155" s="221">
        <v>8</v>
      </c>
      <c r="E3155" s="221">
        <v>99.6</v>
      </c>
    </row>
    <row r="3156" spans="1:5">
      <c r="A3156" s="247">
        <v>41719.293067129627</v>
      </c>
      <c r="B3156" s="221">
        <v>8</v>
      </c>
      <c r="E3156" s="221">
        <v>99.6</v>
      </c>
    </row>
    <row r="3157" spans="1:5">
      <c r="A3157" s="247">
        <v>41719.334733796299</v>
      </c>
      <c r="B3157" s="221">
        <v>10.5</v>
      </c>
      <c r="E3157" s="221">
        <v>88.8</v>
      </c>
    </row>
    <row r="3158" spans="1:5">
      <c r="A3158" s="247">
        <v>41719.376400462963</v>
      </c>
      <c r="B3158" s="221">
        <v>11.5</v>
      </c>
      <c r="E3158" s="221">
        <v>81</v>
      </c>
    </row>
    <row r="3159" spans="1:5">
      <c r="A3159" s="247">
        <v>41719.418067129627</v>
      </c>
      <c r="B3159" s="221">
        <v>12</v>
      </c>
      <c r="E3159" s="221">
        <v>79.2</v>
      </c>
    </row>
    <row r="3160" spans="1:5">
      <c r="A3160" s="247">
        <v>41719.459733796299</v>
      </c>
      <c r="B3160" s="221">
        <v>12</v>
      </c>
      <c r="E3160" s="221">
        <v>82.8</v>
      </c>
    </row>
    <row r="3161" spans="1:5">
      <c r="A3161" s="247">
        <v>41719.501400462963</v>
      </c>
      <c r="B3161" s="221">
        <v>12</v>
      </c>
      <c r="E3161" s="221">
        <v>86.4</v>
      </c>
    </row>
    <row r="3162" spans="1:5">
      <c r="A3162" s="247">
        <v>41719.543067129627</v>
      </c>
      <c r="B3162" s="221">
        <v>12.5</v>
      </c>
      <c r="E3162" s="221">
        <v>86.4</v>
      </c>
    </row>
    <row r="3163" spans="1:5">
      <c r="A3163" s="247">
        <v>41719.584733796299</v>
      </c>
      <c r="B3163" s="221">
        <v>13</v>
      </c>
      <c r="E3163" s="221">
        <v>87.6</v>
      </c>
    </row>
    <row r="3164" spans="1:5">
      <c r="A3164" s="247">
        <v>41719.626400462963</v>
      </c>
      <c r="B3164" s="221">
        <v>11.5</v>
      </c>
      <c r="E3164" s="221">
        <v>98.4</v>
      </c>
    </row>
    <row r="3165" spans="1:5">
      <c r="A3165" s="247">
        <v>41719.668067129627</v>
      </c>
      <c r="B3165" s="221">
        <v>11.5</v>
      </c>
      <c r="E3165" s="221">
        <v>98.4</v>
      </c>
    </row>
    <row r="3166" spans="1:5">
      <c r="A3166" s="247">
        <v>41719.709733796299</v>
      </c>
      <c r="B3166" s="221">
        <v>10</v>
      </c>
      <c r="E3166" s="221">
        <v>102</v>
      </c>
    </row>
    <row r="3167" spans="1:5">
      <c r="A3167" s="247">
        <v>41719.751400462963</v>
      </c>
      <c r="B3167" s="221">
        <v>10.5</v>
      </c>
      <c r="E3167" s="221">
        <v>99.6</v>
      </c>
    </row>
    <row r="3168" spans="1:5">
      <c r="A3168" s="247">
        <v>41719.793067129627</v>
      </c>
      <c r="B3168" s="221">
        <v>11</v>
      </c>
      <c r="E3168" s="221">
        <v>97.2</v>
      </c>
    </row>
    <row r="3169" spans="1:5">
      <c r="A3169" s="247">
        <v>41719.834733796299</v>
      </c>
      <c r="B3169" s="221">
        <v>10.5</v>
      </c>
      <c r="E3169" s="221">
        <v>100.2</v>
      </c>
    </row>
    <row r="3170" spans="1:5">
      <c r="A3170" s="247">
        <v>41719.876400462963</v>
      </c>
      <c r="B3170" s="221">
        <v>9</v>
      </c>
      <c r="E3170" s="221">
        <v>102</v>
      </c>
    </row>
    <row r="3171" spans="1:5">
      <c r="A3171" s="247">
        <v>41719.918067129627</v>
      </c>
      <c r="B3171" s="221">
        <v>9</v>
      </c>
      <c r="E3171" s="221">
        <v>103.8</v>
      </c>
    </row>
    <row r="3172" spans="1:5">
      <c r="A3172" s="247">
        <v>41719.959733796299</v>
      </c>
      <c r="B3172" s="221">
        <v>10</v>
      </c>
      <c r="E3172" s="221">
        <v>100.8</v>
      </c>
    </row>
    <row r="3173" spans="1:5">
      <c r="A3173" s="247">
        <v>41720.001400462963</v>
      </c>
      <c r="B3173" s="221">
        <v>10</v>
      </c>
      <c r="E3173" s="221">
        <v>101.4</v>
      </c>
    </row>
    <row r="3174" spans="1:5">
      <c r="A3174" s="247">
        <v>41720.043067129627</v>
      </c>
      <c r="B3174" s="221">
        <v>9.5</v>
      </c>
      <c r="E3174" s="221">
        <v>102.6</v>
      </c>
    </row>
    <row r="3175" spans="1:5">
      <c r="A3175" s="247">
        <v>41720.084733796299</v>
      </c>
      <c r="B3175" s="221">
        <v>9</v>
      </c>
      <c r="E3175" s="221">
        <v>103.2</v>
      </c>
    </row>
    <row r="3176" spans="1:5">
      <c r="A3176" s="247">
        <v>41720.126400462963</v>
      </c>
      <c r="B3176" s="221">
        <v>9</v>
      </c>
      <c r="E3176" s="221">
        <v>101.4</v>
      </c>
    </row>
    <row r="3177" spans="1:5">
      <c r="A3177" s="247">
        <v>41720.168067129627</v>
      </c>
      <c r="B3177" s="221">
        <v>9</v>
      </c>
      <c r="E3177" s="221">
        <v>100.2</v>
      </c>
    </row>
    <row r="3178" spans="1:5">
      <c r="A3178" s="247">
        <v>41720.209733796299</v>
      </c>
      <c r="B3178" s="221">
        <v>8.5</v>
      </c>
      <c r="E3178" s="221">
        <v>98.4</v>
      </c>
    </row>
    <row r="3179" spans="1:5">
      <c r="A3179" s="247">
        <v>41720.251400462963</v>
      </c>
      <c r="B3179" s="221">
        <v>8</v>
      </c>
      <c r="E3179" s="221">
        <v>101.4</v>
      </c>
    </row>
    <row r="3180" spans="1:5">
      <c r="A3180" s="247">
        <v>41720.293067129627</v>
      </c>
      <c r="B3180" s="221">
        <v>8</v>
      </c>
      <c r="E3180" s="221">
        <v>98.4</v>
      </c>
    </row>
    <row r="3181" spans="1:5">
      <c r="A3181" s="247">
        <v>41720.334733796299</v>
      </c>
      <c r="B3181" s="221">
        <v>7.5</v>
      </c>
      <c r="E3181" s="221">
        <v>98.4</v>
      </c>
    </row>
    <row r="3182" spans="1:5">
      <c r="A3182" s="247">
        <v>41720.376400462963</v>
      </c>
      <c r="B3182" s="221">
        <v>7.5</v>
      </c>
      <c r="E3182" s="221">
        <v>95.4</v>
      </c>
    </row>
    <row r="3183" spans="1:5">
      <c r="A3183" s="247">
        <v>41720.418067129627</v>
      </c>
      <c r="B3183" s="221">
        <v>9</v>
      </c>
      <c r="E3183" s="221">
        <v>94.8</v>
      </c>
    </row>
    <row r="3184" spans="1:5">
      <c r="A3184" s="247">
        <v>41720.459733796299</v>
      </c>
      <c r="B3184" s="221">
        <v>9.5</v>
      </c>
      <c r="E3184" s="221">
        <v>94.2</v>
      </c>
    </row>
    <row r="3185" spans="1:5">
      <c r="A3185" s="247">
        <v>41720.501400462963</v>
      </c>
      <c r="B3185" s="221">
        <v>7.5</v>
      </c>
      <c r="E3185" s="221">
        <v>96.6</v>
      </c>
    </row>
    <row r="3186" spans="1:5">
      <c r="A3186" s="247">
        <v>41720.543067129627</v>
      </c>
      <c r="B3186" s="221">
        <v>8.5</v>
      </c>
      <c r="E3186" s="221">
        <v>90</v>
      </c>
    </row>
    <row r="3187" spans="1:5">
      <c r="A3187" s="247">
        <v>41720.584733796299</v>
      </c>
      <c r="B3187" s="221">
        <v>14</v>
      </c>
      <c r="E3187" s="221">
        <v>72</v>
      </c>
    </row>
    <row r="3188" spans="1:5">
      <c r="A3188" s="247">
        <v>41720.626400462963</v>
      </c>
      <c r="B3188" s="221">
        <v>11</v>
      </c>
      <c r="E3188" s="221">
        <v>77.400000000000006</v>
      </c>
    </row>
    <row r="3189" spans="1:5">
      <c r="A3189" s="247">
        <v>41720.668067129627</v>
      </c>
      <c r="B3189" s="221">
        <v>11.5</v>
      </c>
      <c r="E3189" s="221">
        <v>78</v>
      </c>
    </row>
    <row r="3190" spans="1:5">
      <c r="A3190" s="247">
        <v>41720.709733796299</v>
      </c>
      <c r="B3190" s="221">
        <v>10</v>
      </c>
      <c r="E3190" s="221">
        <v>74.400000000000006</v>
      </c>
    </row>
    <row r="3191" spans="1:5">
      <c r="A3191" s="247">
        <v>41720.751400462963</v>
      </c>
      <c r="B3191" s="221">
        <v>9.5</v>
      </c>
      <c r="E3191" s="221">
        <v>79.2</v>
      </c>
    </row>
    <row r="3192" spans="1:5">
      <c r="A3192" s="247">
        <v>41720.793067129627</v>
      </c>
      <c r="B3192" s="221">
        <v>10.5</v>
      </c>
      <c r="E3192" s="221">
        <v>67.8</v>
      </c>
    </row>
    <row r="3193" spans="1:5">
      <c r="A3193" s="247">
        <v>41720.834733796299</v>
      </c>
      <c r="B3193" s="221">
        <v>7.5</v>
      </c>
      <c r="E3193" s="221">
        <v>79.2</v>
      </c>
    </row>
    <row r="3194" spans="1:5">
      <c r="A3194" s="247">
        <v>41720.876400462963</v>
      </c>
      <c r="B3194" s="221">
        <v>6</v>
      </c>
      <c r="E3194" s="221">
        <v>86.4</v>
      </c>
    </row>
    <row r="3195" spans="1:5">
      <c r="A3195" s="247">
        <v>41720.918067129627</v>
      </c>
      <c r="B3195" s="221">
        <v>4.5</v>
      </c>
      <c r="E3195" s="221">
        <v>95.4</v>
      </c>
    </row>
    <row r="3196" spans="1:5">
      <c r="A3196" s="247">
        <v>41720.959733796299</v>
      </c>
      <c r="B3196" s="221">
        <v>4</v>
      </c>
      <c r="E3196" s="221">
        <v>97.2</v>
      </c>
    </row>
    <row r="3197" spans="1:5">
      <c r="A3197" s="247">
        <v>41721.001400462963</v>
      </c>
      <c r="B3197" s="221">
        <v>3</v>
      </c>
      <c r="E3197" s="221">
        <v>100.2</v>
      </c>
    </row>
    <row r="3198" spans="1:5">
      <c r="A3198" s="247">
        <v>41721.043067129627</v>
      </c>
      <c r="B3198" s="221">
        <v>3</v>
      </c>
      <c r="E3198" s="221">
        <v>103.8</v>
      </c>
    </row>
    <row r="3199" spans="1:5">
      <c r="A3199" s="247">
        <v>41721.084733796299</v>
      </c>
      <c r="B3199" s="221">
        <v>4</v>
      </c>
      <c r="E3199" s="221">
        <v>101.4</v>
      </c>
    </row>
    <row r="3200" spans="1:5">
      <c r="A3200" s="247">
        <v>41721.126400462963</v>
      </c>
      <c r="B3200" s="221">
        <v>3.5</v>
      </c>
      <c r="E3200" s="221">
        <v>102</v>
      </c>
    </row>
    <row r="3201" spans="1:5">
      <c r="A3201" s="247">
        <v>41721.168067129627</v>
      </c>
      <c r="B3201" s="221">
        <v>2.5</v>
      </c>
      <c r="E3201" s="221">
        <v>103.8</v>
      </c>
    </row>
    <row r="3202" spans="1:5">
      <c r="A3202" s="247">
        <v>41721.209733796299</v>
      </c>
      <c r="B3202" s="221">
        <v>2.5</v>
      </c>
      <c r="E3202" s="221">
        <v>104.4</v>
      </c>
    </row>
    <row r="3203" spans="1:5">
      <c r="A3203" s="247">
        <v>41721.251400462963</v>
      </c>
      <c r="B3203" s="221">
        <v>2</v>
      </c>
      <c r="E3203" s="221">
        <v>105.6</v>
      </c>
    </row>
    <row r="3204" spans="1:5">
      <c r="A3204" s="247">
        <v>41721.293067129627</v>
      </c>
      <c r="B3204" s="221">
        <v>1.5</v>
      </c>
      <c r="E3204" s="221">
        <v>106.2</v>
      </c>
    </row>
    <row r="3205" spans="1:5">
      <c r="A3205" s="247">
        <v>41721.334733796299</v>
      </c>
      <c r="B3205" s="221">
        <v>2</v>
      </c>
      <c r="E3205" s="221">
        <v>106.2</v>
      </c>
    </row>
    <row r="3206" spans="1:5">
      <c r="A3206" s="247">
        <v>41721.376400462963</v>
      </c>
      <c r="B3206" s="221">
        <v>3</v>
      </c>
      <c r="E3206" s="221">
        <v>105.6</v>
      </c>
    </row>
    <row r="3207" spans="1:5">
      <c r="A3207" s="247">
        <v>41721.418067129627</v>
      </c>
      <c r="B3207" s="221">
        <v>5.5</v>
      </c>
      <c r="E3207" s="221">
        <v>97.2</v>
      </c>
    </row>
    <row r="3208" spans="1:5">
      <c r="A3208" s="247">
        <v>41721.459733796299</v>
      </c>
      <c r="B3208" s="221">
        <v>8</v>
      </c>
      <c r="E3208" s="221">
        <v>85.8</v>
      </c>
    </row>
    <row r="3209" spans="1:5">
      <c r="A3209" s="247">
        <v>41721.501400462963</v>
      </c>
      <c r="B3209" s="221">
        <v>8.5</v>
      </c>
      <c r="E3209" s="221">
        <v>81.599999999999994</v>
      </c>
    </row>
    <row r="3210" spans="1:5">
      <c r="A3210" s="247">
        <v>41721.543067129627</v>
      </c>
      <c r="B3210" s="221">
        <v>13.5</v>
      </c>
      <c r="E3210" s="221">
        <v>66.599999999999994</v>
      </c>
    </row>
    <row r="3211" spans="1:5">
      <c r="A3211" s="247">
        <v>41721.584733796299</v>
      </c>
      <c r="B3211" s="221">
        <v>12.5</v>
      </c>
      <c r="E3211" s="221">
        <v>67.8</v>
      </c>
    </row>
    <row r="3212" spans="1:5">
      <c r="A3212" s="247">
        <v>41721.626400462963</v>
      </c>
      <c r="B3212" s="221">
        <v>12</v>
      </c>
      <c r="E3212" s="221">
        <v>62.4</v>
      </c>
    </row>
    <row r="3213" spans="1:5">
      <c r="A3213" s="247">
        <v>41721.668067129627</v>
      </c>
      <c r="B3213" s="221">
        <v>12.5</v>
      </c>
      <c r="E3213" s="221">
        <v>58.2</v>
      </c>
    </row>
    <row r="3214" spans="1:5">
      <c r="A3214" s="247">
        <v>41721.709733796299</v>
      </c>
      <c r="B3214" s="221">
        <v>9.5</v>
      </c>
      <c r="E3214" s="221">
        <v>71.400000000000006</v>
      </c>
    </row>
    <row r="3215" spans="1:5">
      <c r="A3215" s="247">
        <v>41721.751400462963</v>
      </c>
      <c r="B3215" s="221">
        <v>7.5</v>
      </c>
      <c r="E3215" s="221">
        <v>84.6</v>
      </c>
    </row>
    <row r="3216" spans="1:5">
      <c r="A3216" s="247">
        <v>41721.793067129627</v>
      </c>
      <c r="B3216" s="221">
        <v>8</v>
      </c>
      <c r="E3216" s="221">
        <v>88.2</v>
      </c>
    </row>
    <row r="3217" spans="1:5">
      <c r="A3217" s="247">
        <v>41721.834733796299</v>
      </c>
      <c r="B3217" s="221">
        <v>3</v>
      </c>
      <c r="E3217" s="221">
        <v>98.4</v>
      </c>
    </row>
    <row r="3218" spans="1:5">
      <c r="A3218" s="247">
        <v>41721.876400462963</v>
      </c>
      <c r="B3218" s="221">
        <v>2</v>
      </c>
      <c r="E3218" s="221">
        <v>103.2</v>
      </c>
    </row>
    <row r="3219" spans="1:5">
      <c r="A3219" s="247">
        <v>41721.918067129627</v>
      </c>
      <c r="B3219" s="221">
        <v>3.5</v>
      </c>
      <c r="E3219" s="221">
        <v>106.2</v>
      </c>
    </row>
    <row r="3220" spans="1:5">
      <c r="A3220" s="247">
        <v>41721.959733796299</v>
      </c>
      <c r="B3220" s="221">
        <v>2</v>
      </c>
      <c r="E3220" s="221">
        <v>106.2</v>
      </c>
    </row>
    <row r="3221" spans="1:5">
      <c r="A3221" s="247">
        <v>41722.001400462963</v>
      </c>
      <c r="B3221" s="221">
        <v>1.5</v>
      </c>
      <c r="E3221" s="221">
        <v>106.2</v>
      </c>
    </row>
    <row r="3222" spans="1:5">
      <c r="A3222" s="247">
        <v>41722.043067129627</v>
      </c>
      <c r="B3222" s="221">
        <v>1.5</v>
      </c>
      <c r="E3222" s="221">
        <v>106.8</v>
      </c>
    </row>
    <row r="3223" spans="1:5">
      <c r="A3223" s="247">
        <v>41722.084733796299</v>
      </c>
      <c r="B3223" s="221">
        <v>2</v>
      </c>
      <c r="E3223" s="221">
        <v>106.8</v>
      </c>
    </row>
    <row r="3224" spans="1:5">
      <c r="A3224" s="247">
        <v>41722.126400462963</v>
      </c>
      <c r="B3224" s="221">
        <v>0.5</v>
      </c>
      <c r="E3224" s="221">
        <v>107.4</v>
      </c>
    </row>
    <row r="3225" spans="1:5">
      <c r="A3225" s="247">
        <v>41722.168067129627</v>
      </c>
      <c r="B3225" s="221">
        <v>0</v>
      </c>
      <c r="E3225" s="221">
        <v>107.4</v>
      </c>
    </row>
    <row r="3226" spans="1:5">
      <c r="A3226" s="247">
        <v>41722.209733796299</v>
      </c>
      <c r="B3226" s="221">
        <v>-0.5</v>
      </c>
      <c r="E3226" s="221">
        <v>108</v>
      </c>
    </row>
    <row r="3227" spans="1:5">
      <c r="A3227" s="247">
        <v>41722.251400462963</v>
      </c>
      <c r="B3227" s="221">
        <v>-1</v>
      </c>
      <c r="E3227" s="221">
        <v>108</v>
      </c>
    </row>
    <row r="3228" spans="1:5">
      <c r="A3228" s="247">
        <v>41722.293067129627</v>
      </c>
      <c r="B3228" s="221">
        <v>-0.5</v>
      </c>
      <c r="E3228" s="221">
        <v>108.6</v>
      </c>
    </row>
    <row r="3229" spans="1:5">
      <c r="A3229" s="247">
        <v>41722.334733796299</v>
      </c>
      <c r="B3229" s="221">
        <v>-1</v>
      </c>
      <c r="E3229" s="221">
        <v>108.6</v>
      </c>
    </row>
    <row r="3230" spans="1:5">
      <c r="A3230" s="247">
        <v>41722.376400462963</v>
      </c>
      <c r="B3230" s="221">
        <v>1</v>
      </c>
      <c r="E3230" s="221">
        <v>108.6</v>
      </c>
    </row>
    <row r="3231" spans="1:5">
      <c r="A3231" s="247">
        <v>41722.418067129627</v>
      </c>
      <c r="B3231" s="221">
        <v>3</v>
      </c>
      <c r="E3231" s="221">
        <v>108</v>
      </c>
    </row>
    <row r="3232" spans="1:5">
      <c r="A3232" s="247">
        <v>41722.459733796299</v>
      </c>
      <c r="B3232" s="221">
        <v>9</v>
      </c>
      <c r="E3232" s="221">
        <v>91.8</v>
      </c>
    </row>
    <row r="3233" spans="1:5">
      <c r="A3233" s="247">
        <v>41722.501400462963</v>
      </c>
      <c r="B3233" s="221">
        <v>14.5</v>
      </c>
      <c r="E3233" s="221">
        <v>61.8</v>
      </c>
    </row>
    <row r="3234" spans="1:5">
      <c r="A3234" s="247">
        <v>41722.543067129627</v>
      </c>
      <c r="B3234" s="221">
        <v>16.5</v>
      </c>
      <c r="E3234" s="221">
        <v>49.8</v>
      </c>
    </row>
    <row r="3235" spans="1:5">
      <c r="A3235" s="247">
        <v>41722.584733796299</v>
      </c>
      <c r="B3235" s="221">
        <v>15</v>
      </c>
      <c r="E3235" s="221">
        <v>48</v>
      </c>
    </row>
    <row r="3236" spans="1:5">
      <c r="A3236" s="247">
        <v>41722.626400462963</v>
      </c>
      <c r="B3236" s="221">
        <v>15</v>
      </c>
      <c r="E3236" s="221">
        <v>52.2</v>
      </c>
    </row>
    <row r="3237" spans="1:5">
      <c r="A3237" s="247">
        <v>41722.668067129627</v>
      </c>
      <c r="B3237" s="221">
        <v>12.5</v>
      </c>
      <c r="E3237" s="221">
        <v>55.2</v>
      </c>
    </row>
    <row r="3238" spans="1:5">
      <c r="A3238" s="247">
        <v>41722.709733796299</v>
      </c>
      <c r="B3238" s="221">
        <v>12.5</v>
      </c>
      <c r="E3238" s="221">
        <v>55.2</v>
      </c>
    </row>
    <row r="3239" spans="1:5">
      <c r="A3239" s="247">
        <v>41722.751400462963</v>
      </c>
      <c r="B3239" s="221">
        <v>11.5</v>
      </c>
      <c r="E3239" s="221">
        <v>63</v>
      </c>
    </row>
    <row r="3240" spans="1:5">
      <c r="A3240" s="247">
        <v>41722.793067129627</v>
      </c>
      <c r="B3240" s="221">
        <v>9.5</v>
      </c>
      <c r="E3240" s="221">
        <v>72</v>
      </c>
    </row>
    <row r="3241" spans="1:5">
      <c r="A3241" s="247">
        <v>41722.834733796299</v>
      </c>
      <c r="B3241" s="221">
        <v>7.5</v>
      </c>
      <c r="E3241" s="221">
        <v>80.400000000000006</v>
      </c>
    </row>
    <row r="3242" spans="1:5">
      <c r="A3242" s="247">
        <v>41722.876400462963</v>
      </c>
      <c r="B3242" s="221">
        <v>6.5</v>
      </c>
      <c r="E3242" s="221">
        <v>91.8</v>
      </c>
    </row>
    <row r="3243" spans="1:5">
      <c r="A3243" s="247">
        <v>41722.918067129627</v>
      </c>
      <c r="B3243" s="221">
        <v>6.5</v>
      </c>
      <c r="E3243" s="221">
        <v>89.4</v>
      </c>
    </row>
    <row r="3244" spans="1:5">
      <c r="A3244" s="247">
        <v>41722.959733796299</v>
      </c>
      <c r="B3244" s="221">
        <v>6.5</v>
      </c>
      <c r="E3244" s="221">
        <v>91.8</v>
      </c>
    </row>
    <row r="3245" spans="1:5">
      <c r="A3245" s="247">
        <v>41723.001400462963</v>
      </c>
      <c r="B3245" s="221">
        <v>5.5</v>
      </c>
      <c r="E3245" s="221">
        <v>100.2</v>
      </c>
    </row>
    <row r="3246" spans="1:5">
      <c r="A3246" s="247">
        <v>41723.043067129627</v>
      </c>
      <c r="B3246" s="221">
        <v>5.5</v>
      </c>
      <c r="E3246" s="221">
        <v>102</v>
      </c>
    </row>
    <row r="3247" spans="1:5">
      <c r="A3247" s="247">
        <v>41723.084733796299</v>
      </c>
      <c r="B3247" s="221">
        <v>5.5</v>
      </c>
      <c r="E3247" s="221">
        <v>105</v>
      </c>
    </row>
    <row r="3248" spans="1:5">
      <c r="A3248" s="247">
        <v>41723.126400462963</v>
      </c>
      <c r="B3248" s="221">
        <v>5.5</v>
      </c>
      <c r="E3248" s="221">
        <v>104.4</v>
      </c>
    </row>
    <row r="3249" spans="1:5">
      <c r="A3249" s="247">
        <v>41723.168067129627</v>
      </c>
      <c r="B3249" s="221">
        <v>5</v>
      </c>
      <c r="E3249" s="221">
        <v>104.4</v>
      </c>
    </row>
    <row r="3250" spans="1:5">
      <c r="A3250" s="247">
        <v>41723.209733796299</v>
      </c>
      <c r="B3250" s="221">
        <v>5</v>
      </c>
      <c r="E3250" s="221">
        <v>105</v>
      </c>
    </row>
    <row r="3251" spans="1:5">
      <c r="A3251" s="247">
        <v>41723.251400462963</v>
      </c>
      <c r="B3251" s="221">
        <v>5</v>
      </c>
      <c r="E3251" s="221">
        <v>104.4</v>
      </c>
    </row>
    <row r="3252" spans="1:5">
      <c r="A3252" s="247">
        <v>41723.293067129627</v>
      </c>
      <c r="B3252" s="221">
        <v>4.5</v>
      </c>
      <c r="E3252" s="221">
        <v>105.6</v>
      </c>
    </row>
    <row r="3253" spans="1:5">
      <c r="A3253" s="247">
        <v>41723.334733796299</v>
      </c>
      <c r="B3253" s="221">
        <v>5</v>
      </c>
      <c r="E3253" s="221">
        <v>105.6</v>
      </c>
    </row>
    <row r="3254" spans="1:5">
      <c r="A3254" s="247">
        <v>41723.376400462963</v>
      </c>
      <c r="B3254" s="221">
        <v>5.5</v>
      </c>
      <c r="E3254" s="221">
        <v>105.6</v>
      </c>
    </row>
    <row r="3255" spans="1:5">
      <c r="A3255" s="247">
        <v>41723.418067129627</v>
      </c>
      <c r="B3255" s="221">
        <v>6.5</v>
      </c>
      <c r="E3255" s="221">
        <v>105.6</v>
      </c>
    </row>
    <row r="3256" spans="1:5">
      <c r="A3256" s="247">
        <v>41723.459733796299</v>
      </c>
      <c r="B3256" s="221">
        <v>8</v>
      </c>
      <c r="E3256" s="221">
        <v>100.8</v>
      </c>
    </row>
    <row r="3257" spans="1:5">
      <c r="A3257" s="247">
        <v>41723.501400462963</v>
      </c>
      <c r="B3257" s="221">
        <v>11</v>
      </c>
      <c r="E3257" s="221">
        <v>87.6</v>
      </c>
    </row>
    <row r="3258" spans="1:5">
      <c r="A3258" s="247">
        <v>41723.543067129627</v>
      </c>
      <c r="B3258" s="221">
        <v>13</v>
      </c>
      <c r="E3258" s="221">
        <v>72.599999999999994</v>
      </c>
    </row>
    <row r="3259" spans="1:5">
      <c r="A3259" s="247">
        <v>41723.584733796299</v>
      </c>
      <c r="B3259" s="221">
        <v>13</v>
      </c>
      <c r="E3259" s="221">
        <v>70.8</v>
      </c>
    </row>
    <row r="3260" spans="1:5">
      <c r="A3260" s="247">
        <v>41723.626400462963</v>
      </c>
      <c r="B3260" s="221">
        <v>15.5</v>
      </c>
      <c r="E3260" s="221">
        <v>65.400000000000006</v>
      </c>
    </row>
    <row r="3261" spans="1:5">
      <c r="A3261" s="247">
        <v>41723.668067129627</v>
      </c>
      <c r="B3261" s="221">
        <v>13.5</v>
      </c>
      <c r="E3261" s="221">
        <v>63</v>
      </c>
    </row>
    <row r="3262" spans="1:5">
      <c r="A3262" s="247">
        <v>41723.709733796299</v>
      </c>
      <c r="B3262" s="221">
        <v>16</v>
      </c>
      <c r="E3262" s="221">
        <v>53.4</v>
      </c>
    </row>
    <row r="3263" spans="1:5">
      <c r="A3263" s="247">
        <v>41723.751400462963</v>
      </c>
      <c r="B3263" s="221">
        <v>14</v>
      </c>
      <c r="E3263" s="221">
        <v>59.4</v>
      </c>
    </row>
    <row r="3264" spans="1:5">
      <c r="A3264" s="247">
        <v>41723.793067129627</v>
      </c>
      <c r="B3264" s="221">
        <v>11.5</v>
      </c>
      <c r="E3264" s="221">
        <v>64.8</v>
      </c>
    </row>
    <row r="3265" spans="1:5">
      <c r="A3265" s="247">
        <v>41723.834733796299</v>
      </c>
      <c r="B3265" s="221">
        <v>9</v>
      </c>
      <c r="E3265" s="221">
        <v>91.8</v>
      </c>
    </row>
    <row r="3266" spans="1:5">
      <c r="A3266" s="247">
        <v>41723.876400462963</v>
      </c>
      <c r="B3266" s="221">
        <v>7</v>
      </c>
      <c r="E3266" s="221">
        <v>97.8</v>
      </c>
    </row>
    <row r="3267" spans="1:5">
      <c r="A3267" s="247">
        <v>41723.918067129627</v>
      </c>
      <c r="B3267" s="221">
        <v>6.5</v>
      </c>
      <c r="E3267" s="221">
        <v>100.8</v>
      </c>
    </row>
    <row r="3268" spans="1:5">
      <c r="A3268" s="247">
        <v>41723.959733796299</v>
      </c>
      <c r="B3268" s="221">
        <v>5</v>
      </c>
      <c r="E3268" s="221">
        <v>102.6</v>
      </c>
    </row>
    <row r="3269" spans="1:5">
      <c r="A3269" s="247">
        <v>41724.001400462963</v>
      </c>
      <c r="B3269" s="221">
        <v>4</v>
      </c>
      <c r="E3269" s="221">
        <v>104.4</v>
      </c>
    </row>
    <row r="3270" spans="1:5">
      <c r="A3270" s="247">
        <v>41724.043067129627</v>
      </c>
      <c r="B3270" s="221">
        <v>3.5</v>
      </c>
      <c r="E3270" s="221">
        <v>105.6</v>
      </c>
    </row>
    <row r="3271" spans="1:5">
      <c r="A3271" s="247">
        <v>41724.084733796299</v>
      </c>
      <c r="B3271" s="221">
        <v>5</v>
      </c>
      <c r="E3271" s="221">
        <v>105.6</v>
      </c>
    </row>
    <row r="3272" spans="1:5">
      <c r="A3272" s="247">
        <v>41724.126400462963</v>
      </c>
      <c r="B3272" s="221">
        <v>5.5</v>
      </c>
      <c r="E3272" s="221">
        <v>104.4</v>
      </c>
    </row>
    <row r="3273" spans="1:5">
      <c r="A3273" s="247">
        <v>41724.168067129627</v>
      </c>
      <c r="B3273" s="221">
        <v>5.5</v>
      </c>
      <c r="E3273" s="221">
        <v>104.4</v>
      </c>
    </row>
    <row r="3274" spans="1:5">
      <c r="A3274" s="247">
        <v>41724.209733796299</v>
      </c>
      <c r="B3274" s="221">
        <v>5.5</v>
      </c>
      <c r="E3274" s="221">
        <v>103.2</v>
      </c>
    </row>
    <row r="3275" spans="1:5">
      <c r="A3275" s="247">
        <v>41724.251400462963</v>
      </c>
      <c r="B3275" s="221">
        <v>5</v>
      </c>
      <c r="E3275" s="221">
        <v>101.4</v>
      </c>
    </row>
    <row r="3276" spans="1:5">
      <c r="A3276" s="247">
        <v>41724.293067129627</v>
      </c>
      <c r="B3276" s="221">
        <v>5</v>
      </c>
      <c r="E3276" s="221">
        <v>100.2</v>
      </c>
    </row>
    <row r="3277" spans="1:5">
      <c r="A3277" s="247">
        <v>41724.334733796299</v>
      </c>
      <c r="B3277" s="221">
        <v>3</v>
      </c>
      <c r="E3277" s="221">
        <v>103.8</v>
      </c>
    </row>
    <row r="3278" spans="1:5">
      <c r="A3278" s="247">
        <v>41724.376400462963</v>
      </c>
      <c r="B3278" s="221">
        <v>4</v>
      </c>
      <c r="E3278" s="221">
        <v>100.2</v>
      </c>
    </row>
    <row r="3279" spans="1:5">
      <c r="A3279" s="247">
        <v>41724.418067129627</v>
      </c>
      <c r="B3279" s="221">
        <v>6.5</v>
      </c>
      <c r="E3279" s="221">
        <v>91.8</v>
      </c>
    </row>
    <row r="3280" spans="1:5">
      <c r="A3280" s="247">
        <v>41724.459733796299</v>
      </c>
      <c r="B3280" s="221">
        <v>10.5</v>
      </c>
      <c r="E3280" s="221">
        <v>75.599999999999994</v>
      </c>
    </row>
    <row r="3281" spans="1:5">
      <c r="A3281" s="247">
        <v>41724.501400462963</v>
      </c>
      <c r="B3281" s="221">
        <v>13</v>
      </c>
      <c r="E3281" s="221">
        <v>64.8</v>
      </c>
    </row>
    <row r="3282" spans="1:5">
      <c r="A3282" s="247">
        <v>41724.543067129627</v>
      </c>
      <c r="B3282" s="221">
        <v>15</v>
      </c>
      <c r="E3282" s="221">
        <v>57</v>
      </c>
    </row>
    <row r="3283" spans="1:5">
      <c r="A3283" s="247">
        <v>41724.584733796299</v>
      </c>
      <c r="B3283" s="221">
        <v>16.5</v>
      </c>
      <c r="E3283" s="221">
        <v>52.2</v>
      </c>
    </row>
    <row r="3284" spans="1:5">
      <c r="A3284" s="247">
        <v>41724.626400462963</v>
      </c>
      <c r="B3284" s="221">
        <v>10.5</v>
      </c>
      <c r="E3284" s="221">
        <v>63.6</v>
      </c>
    </row>
    <row r="3285" spans="1:5">
      <c r="A3285" s="247">
        <v>41724.668067129627</v>
      </c>
      <c r="B3285" s="221">
        <v>13.5</v>
      </c>
      <c r="E3285" s="221">
        <v>51</v>
      </c>
    </row>
    <row r="3286" spans="1:5">
      <c r="A3286" s="247">
        <v>41724.709733796299</v>
      </c>
      <c r="B3286" s="221">
        <v>12.5</v>
      </c>
      <c r="E3286" s="221">
        <v>58.8</v>
      </c>
    </row>
    <row r="3287" spans="1:5">
      <c r="A3287" s="247">
        <v>41724.751400462963</v>
      </c>
      <c r="B3287" s="221">
        <v>10</v>
      </c>
      <c r="E3287" s="221">
        <v>68.400000000000006</v>
      </c>
    </row>
    <row r="3288" spans="1:5">
      <c r="A3288" s="247">
        <v>41724.793067129627</v>
      </c>
      <c r="B3288" s="221">
        <v>9.5</v>
      </c>
      <c r="E3288" s="221">
        <v>66.599999999999994</v>
      </c>
    </row>
    <row r="3289" spans="1:5">
      <c r="A3289" s="247">
        <v>41724.834733796299</v>
      </c>
      <c r="B3289" s="221">
        <v>5.5</v>
      </c>
      <c r="E3289" s="221">
        <v>88.8</v>
      </c>
    </row>
    <row r="3290" spans="1:5">
      <c r="A3290" s="247">
        <v>41724.876400462963</v>
      </c>
      <c r="B3290" s="221">
        <v>3</v>
      </c>
      <c r="E3290" s="221">
        <v>98.4</v>
      </c>
    </row>
    <row r="3291" spans="1:5">
      <c r="A3291" s="247">
        <v>41724.918067129627</v>
      </c>
      <c r="B3291" s="221">
        <v>2</v>
      </c>
      <c r="E3291" s="221">
        <v>100.8</v>
      </c>
    </row>
    <row r="3292" spans="1:5">
      <c r="A3292" s="247">
        <v>41724.959733796299</v>
      </c>
      <c r="B3292" s="221">
        <v>3</v>
      </c>
      <c r="E3292" s="221">
        <v>100.2</v>
      </c>
    </row>
    <row r="3293" spans="1:5">
      <c r="A3293" s="247">
        <v>41725.001400462963</v>
      </c>
      <c r="B3293" s="221">
        <v>2</v>
      </c>
      <c r="E3293" s="221">
        <v>103.8</v>
      </c>
    </row>
    <row r="3294" spans="1:5">
      <c r="A3294" s="247">
        <v>41725.043067129627</v>
      </c>
      <c r="B3294" s="221">
        <v>3.5</v>
      </c>
      <c r="E3294" s="221">
        <v>101.4</v>
      </c>
    </row>
    <row r="3295" spans="1:5">
      <c r="A3295" s="247">
        <v>41725.084733796299</v>
      </c>
      <c r="B3295" s="221">
        <v>2</v>
      </c>
      <c r="E3295" s="221">
        <v>103.8</v>
      </c>
    </row>
    <row r="3296" spans="1:5">
      <c r="A3296" s="247">
        <v>41725.126400462963</v>
      </c>
      <c r="B3296" s="221">
        <v>1</v>
      </c>
      <c r="E3296" s="221">
        <v>105.6</v>
      </c>
    </row>
    <row r="3297" spans="1:5">
      <c r="A3297" s="247">
        <v>41725.168067129627</v>
      </c>
      <c r="B3297" s="221">
        <v>1</v>
      </c>
      <c r="E3297" s="221">
        <v>105.6</v>
      </c>
    </row>
    <row r="3298" spans="1:5">
      <c r="A3298" s="247">
        <v>41725.209733796299</v>
      </c>
      <c r="B3298" s="221">
        <v>0.5</v>
      </c>
      <c r="E3298" s="221">
        <v>106.2</v>
      </c>
    </row>
    <row r="3299" spans="1:5">
      <c r="A3299" s="247">
        <v>41725.251400462963</v>
      </c>
      <c r="B3299" s="221">
        <v>0</v>
      </c>
      <c r="E3299" s="221">
        <v>107.4</v>
      </c>
    </row>
    <row r="3300" spans="1:5">
      <c r="A3300" s="247">
        <v>41725.293067129627</v>
      </c>
      <c r="B3300" s="221">
        <v>0</v>
      </c>
      <c r="E3300" s="221">
        <v>107.4</v>
      </c>
    </row>
    <row r="3301" spans="1:5">
      <c r="A3301" s="247">
        <v>41725.334733796299</v>
      </c>
      <c r="B3301" s="221">
        <v>-1</v>
      </c>
      <c r="E3301" s="221">
        <v>108.6</v>
      </c>
    </row>
    <row r="3302" spans="1:5">
      <c r="A3302" s="247">
        <v>41725.376400462963</v>
      </c>
      <c r="B3302" s="221">
        <v>0</v>
      </c>
      <c r="E3302" s="221">
        <v>108.6</v>
      </c>
    </row>
    <row r="3303" spans="1:5">
      <c r="A3303" s="247">
        <v>41725.418067129627</v>
      </c>
      <c r="B3303" s="221">
        <v>5.5</v>
      </c>
      <c r="E3303" s="221">
        <v>92.4</v>
      </c>
    </row>
    <row r="3304" spans="1:5">
      <c r="A3304" s="247">
        <v>41725.459733796299</v>
      </c>
      <c r="B3304" s="221">
        <v>11.5</v>
      </c>
      <c r="E3304" s="221">
        <v>71.400000000000006</v>
      </c>
    </row>
    <row r="3305" spans="1:5">
      <c r="A3305" s="247">
        <v>41725.501400462963</v>
      </c>
      <c r="B3305" s="221">
        <v>15</v>
      </c>
      <c r="E3305" s="221">
        <v>54.6</v>
      </c>
    </row>
    <row r="3306" spans="1:5">
      <c r="A3306" s="247">
        <v>41725.543067129627</v>
      </c>
      <c r="B3306" s="221">
        <v>18</v>
      </c>
      <c r="E3306" s="221">
        <v>46.8</v>
      </c>
    </row>
    <row r="3307" spans="1:5">
      <c r="A3307" s="247">
        <v>41725.584733796299</v>
      </c>
      <c r="B3307" s="221">
        <v>17.5</v>
      </c>
      <c r="E3307" s="221">
        <v>38.4</v>
      </c>
    </row>
    <row r="3308" spans="1:5">
      <c r="A3308" s="247">
        <v>41725.626400462963</v>
      </c>
      <c r="B3308" s="221">
        <v>13.5</v>
      </c>
      <c r="E3308" s="221">
        <v>51.6</v>
      </c>
    </row>
    <row r="3309" spans="1:5">
      <c r="A3309" s="247">
        <v>41725.668067129627</v>
      </c>
      <c r="B3309" s="221">
        <v>13.5</v>
      </c>
      <c r="E3309" s="221">
        <v>51</v>
      </c>
    </row>
    <row r="3310" spans="1:5">
      <c r="A3310" s="247">
        <v>41725.709733796299</v>
      </c>
      <c r="B3310" s="221">
        <v>14</v>
      </c>
      <c r="E3310" s="221">
        <v>51.6</v>
      </c>
    </row>
    <row r="3311" spans="1:5">
      <c r="A3311" s="247">
        <v>41725.751400462963</v>
      </c>
      <c r="B3311" s="221">
        <v>11</v>
      </c>
      <c r="E3311" s="221">
        <v>60.6</v>
      </c>
    </row>
    <row r="3312" spans="1:5">
      <c r="A3312" s="247">
        <v>41725.793067129627</v>
      </c>
      <c r="B3312" s="221">
        <v>11</v>
      </c>
      <c r="E3312" s="221">
        <v>72</v>
      </c>
    </row>
    <row r="3313" spans="1:5">
      <c r="A3313" s="247">
        <v>41725.834733796299</v>
      </c>
      <c r="B3313" s="221">
        <v>8.5</v>
      </c>
      <c r="E3313" s="221">
        <v>88.8</v>
      </c>
    </row>
    <row r="3314" spans="1:5">
      <c r="A3314" s="247">
        <v>41725.876400462963</v>
      </c>
      <c r="B3314" s="221">
        <v>7.5</v>
      </c>
      <c r="E3314" s="221">
        <v>90.6</v>
      </c>
    </row>
    <row r="3315" spans="1:5">
      <c r="A3315" s="247">
        <v>41725.918067129627</v>
      </c>
      <c r="B3315" s="221">
        <v>7</v>
      </c>
      <c r="E3315" s="221">
        <v>87</v>
      </c>
    </row>
    <row r="3316" spans="1:5">
      <c r="A3316" s="247">
        <v>41725.959733796299</v>
      </c>
      <c r="B3316" s="221">
        <v>6</v>
      </c>
      <c r="E3316" s="221">
        <v>93.6</v>
      </c>
    </row>
    <row r="3317" spans="1:5">
      <c r="A3317" s="247">
        <v>41726.001400462963</v>
      </c>
      <c r="B3317" s="221">
        <v>5.5</v>
      </c>
      <c r="E3317" s="221">
        <v>94.8</v>
      </c>
    </row>
    <row r="3318" spans="1:5">
      <c r="A3318" s="247">
        <v>41726.043067129627</v>
      </c>
      <c r="B3318" s="221">
        <v>3.5</v>
      </c>
      <c r="E3318" s="221">
        <v>101.4</v>
      </c>
    </row>
    <row r="3319" spans="1:5">
      <c r="A3319" s="247">
        <v>41726.084733796299</v>
      </c>
      <c r="B3319" s="221">
        <v>3</v>
      </c>
      <c r="E3319" s="221">
        <v>105</v>
      </c>
    </row>
    <row r="3320" spans="1:5">
      <c r="A3320" s="247">
        <v>41726.126400462963</v>
      </c>
      <c r="B3320" s="221">
        <v>2.5</v>
      </c>
      <c r="E3320" s="221">
        <v>104.4</v>
      </c>
    </row>
    <row r="3321" spans="1:5">
      <c r="A3321" s="247">
        <v>41726.168067129627</v>
      </c>
      <c r="B3321" s="221">
        <v>0.5</v>
      </c>
      <c r="E3321" s="221">
        <v>106.2</v>
      </c>
    </row>
    <row r="3322" spans="1:5">
      <c r="A3322" s="247">
        <v>41726.209733796299</v>
      </c>
      <c r="B3322" s="221">
        <v>0.5</v>
      </c>
      <c r="E3322" s="221">
        <v>106.8</v>
      </c>
    </row>
    <row r="3323" spans="1:5">
      <c r="A3323" s="247">
        <v>41726.251400462963</v>
      </c>
      <c r="B3323" s="221">
        <v>1.5</v>
      </c>
      <c r="E3323" s="221">
        <v>106.2</v>
      </c>
    </row>
    <row r="3324" spans="1:5">
      <c r="A3324" s="247">
        <v>41726.293067129627</v>
      </c>
      <c r="B3324" s="221">
        <v>2</v>
      </c>
      <c r="E3324" s="221">
        <v>106.2</v>
      </c>
    </row>
    <row r="3325" spans="1:5">
      <c r="A3325" s="247">
        <v>41726.334733796299</v>
      </c>
      <c r="B3325" s="221">
        <v>2</v>
      </c>
      <c r="E3325" s="221">
        <v>104.4</v>
      </c>
    </row>
    <row r="3326" spans="1:5">
      <c r="A3326" s="247">
        <v>41726.376400462963</v>
      </c>
      <c r="B3326" s="221">
        <v>3.5</v>
      </c>
      <c r="E3326" s="221">
        <v>97.8</v>
      </c>
    </row>
    <row r="3327" spans="1:5">
      <c r="A3327" s="247">
        <v>41726.418067129627</v>
      </c>
      <c r="B3327" s="221">
        <v>7</v>
      </c>
      <c r="E3327" s="221">
        <v>90.6</v>
      </c>
    </row>
    <row r="3328" spans="1:5">
      <c r="A3328" s="247">
        <v>41726.459733796299</v>
      </c>
      <c r="B3328" s="221">
        <v>11.5</v>
      </c>
      <c r="E3328" s="221">
        <v>64.2</v>
      </c>
    </row>
    <row r="3329" spans="1:5">
      <c r="A3329" s="247">
        <v>41726.501400462963</v>
      </c>
      <c r="B3329" s="221">
        <v>14</v>
      </c>
      <c r="E3329" s="221">
        <v>60</v>
      </c>
    </row>
    <row r="3330" spans="1:5">
      <c r="A3330" s="247">
        <v>41726.543067129627</v>
      </c>
      <c r="B3330" s="221">
        <v>20.5</v>
      </c>
      <c r="E3330" s="221">
        <v>40.200000000000003</v>
      </c>
    </row>
    <row r="3331" spans="1:5">
      <c r="A3331" s="247">
        <v>41726.584733796299</v>
      </c>
      <c r="B3331" s="221">
        <v>24</v>
      </c>
      <c r="E3331" s="221">
        <v>32.4</v>
      </c>
    </row>
    <row r="3332" spans="1:5">
      <c r="A3332" s="247">
        <v>41726.626400462963</v>
      </c>
      <c r="B3332" s="221">
        <v>20.5</v>
      </c>
      <c r="E3332" s="221">
        <v>40.200000000000003</v>
      </c>
    </row>
    <row r="3333" spans="1:5">
      <c r="A3333" s="247">
        <v>41726.668067129627</v>
      </c>
      <c r="B3333" s="221">
        <v>20</v>
      </c>
      <c r="E3333" s="221">
        <v>42</v>
      </c>
    </row>
    <row r="3334" spans="1:5">
      <c r="A3334" s="247">
        <v>41726.709733796299</v>
      </c>
      <c r="B3334" s="221">
        <v>18</v>
      </c>
      <c r="E3334" s="221">
        <v>46.2</v>
      </c>
    </row>
    <row r="3335" spans="1:5">
      <c r="A3335" s="247">
        <v>41726.751400462963</v>
      </c>
      <c r="B3335" s="221">
        <v>17</v>
      </c>
      <c r="E3335" s="221">
        <v>45.6</v>
      </c>
    </row>
    <row r="3336" spans="1:5">
      <c r="A3336" s="247">
        <v>41726.793067129627</v>
      </c>
      <c r="B3336" s="221">
        <v>17</v>
      </c>
      <c r="E3336" s="221">
        <v>46.2</v>
      </c>
    </row>
    <row r="3337" spans="1:5">
      <c r="A3337" s="247">
        <v>41726.834733796299</v>
      </c>
      <c r="B3337" s="221">
        <v>12.5</v>
      </c>
      <c r="E3337" s="221">
        <v>61.2</v>
      </c>
    </row>
    <row r="3338" spans="1:5">
      <c r="A3338" s="247">
        <v>41726.876400462963</v>
      </c>
      <c r="B3338" s="221">
        <v>10</v>
      </c>
      <c r="E3338" s="221">
        <v>69.599999999999994</v>
      </c>
    </row>
    <row r="3339" spans="1:5">
      <c r="A3339" s="247">
        <v>41726.918067129627</v>
      </c>
      <c r="B3339" s="221">
        <v>6</v>
      </c>
      <c r="E3339" s="221">
        <v>88.8</v>
      </c>
    </row>
    <row r="3340" spans="1:5">
      <c r="A3340" s="247">
        <v>41726.959733796299</v>
      </c>
      <c r="B3340" s="221">
        <v>8</v>
      </c>
      <c r="E3340" s="221">
        <v>76.8</v>
      </c>
    </row>
    <row r="3341" spans="1:5">
      <c r="A3341" s="247">
        <v>41727.001400462963</v>
      </c>
      <c r="B3341" s="221">
        <v>7.5</v>
      </c>
      <c r="E3341" s="221">
        <v>78.599999999999994</v>
      </c>
    </row>
    <row r="3342" spans="1:5">
      <c r="A3342" s="247">
        <v>41727.043067129627</v>
      </c>
      <c r="B3342" s="221">
        <v>5.5</v>
      </c>
      <c r="E3342" s="221">
        <v>87.6</v>
      </c>
    </row>
    <row r="3343" spans="1:5">
      <c r="A3343" s="247">
        <v>41727.084733796299</v>
      </c>
      <c r="B3343" s="221">
        <v>5.5</v>
      </c>
      <c r="E3343" s="221">
        <v>90.6</v>
      </c>
    </row>
    <row r="3344" spans="1:5">
      <c r="A3344" s="247">
        <v>41727.126400462963</v>
      </c>
      <c r="B3344" s="221">
        <v>5</v>
      </c>
      <c r="E3344" s="221">
        <v>90</v>
      </c>
    </row>
    <row r="3345" spans="1:5">
      <c r="A3345" s="247">
        <v>41727.168067129627</v>
      </c>
      <c r="B3345" s="221">
        <v>4.5</v>
      </c>
      <c r="E3345" s="221">
        <v>91.8</v>
      </c>
    </row>
    <row r="3346" spans="1:5">
      <c r="A3346" s="247">
        <v>41727.209733796299</v>
      </c>
      <c r="B3346" s="221">
        <v>4.5</v>
      </c>
      <c r="E3346" s="221">
        <v>91.8</v>
      </c>
    </row>
    <row r="3347" spans="1:5">
      <c r="A3347" s="247">
        <v>41727.251400462963</v>
      </c>
      <c r="B3347" s="221">
        <v>3</v>
      </c>
      <c r="E3347" s="221">
        <v>96.6</v>
      </c>
    </row>
    <row r="3348" spans="1:5">
      <c r="A3348" s="247">
        <v>41727.293067129627</v>
      </c>
      <c r="B3348" s="221">
        <v>3</v>
      </c>
      <c r="E3348" s="221">
        <v>95.4</v>
      </c>
    </row>
    <row r="3349" spans="1:5">
      <c r="A3349" s="247">
        <v>41727.334733796299</v>
      </c>
      <c r="B3349" s="221">
        <v>3</v>
      </c>
      <c r="E3349" s="221">
        <v>93</v>
      </c>
    </row>
    <row r="3350" spans="1:5">
      <c r="A3350" s="247">
        <v>41727.376400462963</v>
      </c>
      <c r="B3350" s="221">
        <v>4.5</v>
      </c>
      <c r="E3350" s="221">
        <v>87</v>
      </c>
    </row>
    <row r="3351" spans="1:5">
      <c r="A3351" s="247">
        <v>41727.418067129627</v>
      </c>
      <c r="B3351" s="221">
        <v>12</v>
      </c>
      <c r="E3351" s="221">
        <v>65.400000000000006</v>
      </c>
    </row>
    <row r="3352" spans="1:5">
      <c r="A3352" s="247">
        <v>41727.459733796299</v>
      </c>
      <c r="B3352" s="221">
        <v>16.5</v>
      </c>
      <c r="E3352" s="221">
        <v>51</v>
      </c>
    </row>
    <row r="3353" spans="1:5">
      <c r="A3353" s="247">
        <v>41727.501400462963</v>
      </c>
      <c r="B3353" s="221">
        <v>22.5</v>
      </c>
      <c r="E3353" s="221">
        <v>34.799999999999997</v>
      </c>
    </row>
    <row r="3354" spans="1:5">
      <c r="A3354" s="247">
        <v>41727.543067129627</v>
      </c>
      <c r="B3354" s="221">
        <v>25</v>
      </c>
      <c r="E3354" s="221">
        <v>31.2</v>
      </c>
    </row>
    <row r="3355" spans="1:5">
      <c r="A3355" s="247">
        <v>41727.584733796299</v>
      </c>
      <c r="B3355" s="221">
        <v>28.5</v>
      </c>
      <c r="E3355" s="221">
        <v>29.4</v>
      </c>
    </row>
    <row r="3356" spans="1:5">
      <c r="A3356" s="247">
        <v>41727.626400462963</v>
      </c>
      <c r="B3356" s="221">
        <v>24</v>
      </c>
      <c r="E3356" s="221">
        <v>35.4</v>
      </c>
    </row>
    <row r="3357" spans="1:5">
      <c r="A3357" s="247">
        <v>41727.668067129627</v>
      </c>
      <c r="B3357" s="221">
        <v>23.5</v>
      </c>
      <c r="E3357" s="221">
        <v>36.6</v>
      </c>
    </row>
    <row r="3358" spans="1:5">
      <c r="A3358" s="247">
        <v>41727.709733796299</v>
      </c>
      <c r="B3358" s="221">
        <v>23</v>
      </c>
      <c r="E3358" s="221">
        <v>44.4</v>
      </c>
    </row>
    <row r="3359" spans="1:5">
      <c r="A3359" s="247">
        <v>41727.751400462963</v>
      </c>
      <c r="B3359" s="221">
        <v>20.5</v>
      </c>
      <c r="E3359" s="221">
        <v>44.4</v>
      </c>
    </row>
    <row r="3360" spans="1:5">
      <c r="A3360" s="247">
        <v>41727.793067129627</v>
      </c>
      <c r="B3360" s="221">
        <v>18</v>
      </c>
      <c r="E3360" s="221">
        <v>53.4</v>
      </c>
    </row>
    <row r="3361" spans="1:5">
      <c r="A3361" s="247">
        <v>41727.834733796299</v>
      </c>
      <c r="B3361" s="221">
        <v>14.5</v>
      </c>
      <c r="E3361" s="221">
        <v>63</v>
      </c>
    </row>
    <row r="3362" spans="1:5">
      <c r="A3362" s="247">
        <v>41727.876400462963</v>
      </c>
      <c r="B3362" s="221">
        <v>13.5</v>
      </c>
      <c r="E3362" s="221">
        <v>69</v>
      </c>
    </row>
    <row r="3363" spans="1:5">
      <c r="A3363" s="247">
        <v>41727.918067129627</v>
      </c>
      <c r="B3363" s="221">
        <v>12.5</v>
      </c>
      <c r="E3363" s="221">
        <v>78.599999999999994</v>
      </c>
    </row>
    <row r="3364" spans="1:5">
      <c r="A3364" s="247">
        <v>41727.959733796299</v>
      </c>
      <c r="B3364" s="221">
        <v>13</v>
      </c>
      <c r="E3364" s="221">
        <v>63</v>
      </c>
    </row>
    <row r="3365" spans="1:5">
      <c r="A3365" s="247">
        <v>41728.001400462963</v>
      </c>
      <c r="B3365" s="221">
        <v>9</v>
      </c>
      <c r="E3365" s="221">
        <v>84.6</v>
      </c>
    </row>
    <row r="3366" spans="1:5">
      <c r="A3366" s="247">
        <v>41728.043067129627</v>
      </c>
      <c r="B3366" s="221">
        <v>11.5</v>
      </c>
      <c r="E3366" s="221">
        <v>70.8</v>
      </c>
    </row>
    <row r="3367" spans="1:5">
      <c r="A3367" s="247">
        <v>41728.126400462963</v>
      </c>
      <c r="B3367" s="221">
        <v>10</v>
      </c>
      <c r="E3367" s="221">
        <v>79.2</v>
      </c>
    </row>
    <row r="3368" spans="1:5">
      <c r="A3368" s="247">
        <v>41728.168067129627</v>
      </c>
      <c r="B3368" s="221">
        <v>9</v>
      </c>
      <c r="E3368" s="221">
        <v>85.8</v>
      </c>
    </row>
    <row r="3369" spans="1:5">
      <c r="A3369" s="247">
        <v>41728.209733796299</v>
      </c>
      <c r="B3369" s="221">
        <v>9.5</v>
      </c>
      <c r="E3369" s="221">
        <v>82.8</v>
      </c>
    </row>
    <row r="3370" spans="1:5">
      <c r="A3370" s="247">
        <v>41728.251400462963</v>
      </c>
      <c r="B3370" s="221">
        <v>9.5</v>
      </c>
      <c r="E3370" s="221">
        <v>81.599999999999994</v>
      </c>
    </row>
    <row r="3371" spans="1:5">
      <c r="A3371" s="247">
        <v>41728.293067129627</v>
      </c>
      <c r="B3371" s="221">
        <v>9</v>
      </c>
      <c r="E3371" s="221">
        <v>85.8</v>
      </c>
    </row>
    <row r="3372" spans="1:5">
      <c r="A3372" s="247">
        <v>41728.334733796299</v>
      </c>
      <c r="B3372" s="221">
        <v>8</v>
      </c>
      <c r="E3372" s="221">
        <v>88.8</v>
      </c>
    </row>
    <row r="3373" spans="1:5">
      <c r="A3373" s="247">
        <v>41728.376400462963</v>
      </c>
      <c r="B3373" s="221">
        <v>5.5</v>
      </c>
      <c r="E3373" s="221">
        <v>97.8</v>
      </c>
    </row>
    <row r="3374" spans="1:5">
      <c r="A3374" s="247">
        <v>41728.418067129627</v>
      </c>
      <c r="B3374" s="221">
        <v>9</v>
      </c>
      <c r="E3374" s="221">
        <v>85.8</v>
      </c>
    </row>
    <row r="3375" spans="1:5">
      <c r="A3375" s="247">
        <v>41728.459733796299</v>
      </c>
      <c r="B3375" s="221">
        <v>11.5</v>
      </c>
      <c r="E3375" s="221">
        <v>79.2</v>
      </c>
    </row>
    <row r="3376" spans="1:5">
      <c r="A3376" s="247">
        <v>41728.501400462963</v>
      </c>
      <c r="B3376" s="221">
        <v>14</v>
      </c>
      <c r="E3376" s="221">
        <v>72</v>
      </c>
    </row>
    <row r="3377" spans="1:5">
      <c r="A3377" s="247">
        <v>41728.543067129627</v>
      </c>
      <c r="B3377" s="221">
        <v>18</v>
      </c>
      <c r="E3377" s="221">
        <v>60</v>
      </c>
    </row>
    <row r="3378" spans="1:5">
      <c r="A3378" s="247">
        <v>41728.584733796299</v>
      </c>
      <c r="B3378" s="221">
        <v>23.5</v>
      </c>
      <c r="E3378" s="221">
        <v>49.2</v>
      </c>
    </row>
    <row r="3379" spans="1:5">
      <c r="A3379" s="247">
        <v>41728.626400462963</v>
      </c>
      <c r="B3379" s="221">
        <v>21</v>
      </c>
      <c r="E3379" s="221">
        <v>51.6</v>
      </c>
    </row>
    <row r="3380" spans="1:5">
      <c r="A3380" s="247">
        <v>41728.668067129627</v>
      </c>
      <c r="B3380" s="221">
        <v>18</v>
      </c>
      <c r="E3380" s="221">
        <v>54.6</v>
      </c>
    </row>
    <row r="3381" spans="1:5">
      <c r="A3381" s="247">
        <v>41728.709733796299</v>
      </c>
      <c r="B3381" s="221">
        <v>17.5</v>
      </c>
      <c r="E3381" s="221">
        <v>60</v>
      </c>
    </row>
    <row r="3382" spans="1:5">
      <c r="A3382" s="247">
        <v>41728.751400462963</v>
      </c>
      <c r="B3382" s="221">
        <v>13.5</v>
      </c>
      <c r="E3382" s="221">
        <v>87</v>
      </c>
    </row>
    <row r="3383" spans="1:5">
      <c r="A3383" s="247">
        <v>41728.793067129627</v>
      </c>
      <c r="B3383" s="221">
        <v>16</v>
      </c>
      <c r="E3383" s="221">
        <v>80.400000000000006</v>
      </c>
    </row>
    <row r="3384" spans="1:5">
      <c r="A3384" s="247">
        <v>41728.834733796299</v>
      </c>
      <c r="B3384" s="221">
        <v>14.5</v>
      </c>
      <c r="E3384" s="221">
        <v>90</v>
      </c>
    </row>
    <row r="3385" spans="1:5">
      <c r="A3385" s="247">
        <v>41728.876400462963</v>
      </c>
      <c r="B3385" s="221">
        <v>12.5</v>
      </c>
      <c r="E3385" s="221">
        <v>91.8</v>
      </c>
    </row>
    <row r="3386" spans="1:5">
      <c r="A3386" s="247">
        <v>41728.918067129627</v>
      </c>
      <c r="B3386" s="221">
        <v>11</v>
      </c>
      <c r="E3386" s="221">
        <v>93</v>
      </c>
    </row>
    <row r="3387" spans="1:5">
      <c r="A3387" s="247">
        <v>41728.959733796299</v>
      </c>
      <c r="B3387" s="221">
        <v>9.5</v>
      </c>
      <c r="E3387" s="221">
        <v>93</v>
      </c>
    </row>
    <row r="3388" spans="1:5">
      <c r="A3388" s="247">
        <v>41729.001400462963</v>
      </c>
      <c r="B3388" s="221">
        <v>9</v>
      </c>
      <c r="E3388" s="221">
        <v>94.2</v>
      </c>
    </row>
    <row r="3389" spans="1:5">
      <c r="A3389" s="247">
        <v>41729.043067129627</v>
      </c>
      <c r="B3389" s="221">
        <v>8</v>
      </c>
      <c r="E3389" s="221">
        <v>100.2</v>
      </c>
    </row>
    <row r="3390" spans="1:5">
      <c r="A3390" s="247">
        <v>41729.084733796299</v>
      </c>
      <c r="B3390" s="221">
        <v>10</v>
      </c>
      <c r="E3390" s="221">
        <v>87</v>
      </c>
    </row>
    <row r="3391" spans="1:5">
      <c r="A3391" s="247">
        <v>41729.126400462963</v>
      </c>
      <c r="B3391" s="221">
        <v>9.5</v>
      </c>
      <c r="E3391" s="221">
        <v>92.4</v>
      </c>
    </row>
    <row r="3392" spans="1:5">
      <c r="A3392" s="247">
        <v>41729.168067129627</v>
      </c>
      <c r="B3392" s="221">
        <v>7.5</v>
      </c>
      <c r="E3392" s="221">
        <v>99.6</v>
      </c>
    </row>
    <row r="3393" spans="1:5">
      <c r="A3393" s="247">
        <v>41729.209733796299</v>
      </c>
      <c r="B3393" s="221">
        <v>5.5</v>
      </c>
      <c r="E3393" s="221">
        <v>102</v>
      </c>
    </row>
    <row r="3394" spans="1:5">
      <c r="A3394" s="247">
        <v>41729.251400462963</v>
      </c>
      <c r="B3394" s="221">
        <v>4.5</v>
      </c>
      <c r="E3394" s="221">
        <v>105</v>
      </c>
    </row>
    <row r="3395" spans="1:5">
      <c r="A3395" s="247">
        <v>41729.293067129627</v>
      </c>
      <c r="B3395" s="221">
        <v>4.5</v>
      </c>
      <c r="E3395" s="221">
        <v>105.6</v>
      </c>
    </row>
    <row r="3396" spans="1:5">
      <c r="A3396" s="247">
        <v>41729.334733796299</v>
      </c>
      <c r="B3396" s="221">
        <v>5</v>
      </c>
      <c r="E3396" s="221">
        <v>105.6</v>
      </c>
    </row>
    <row r="3397" spans="1:5">
      <c r="A3397" s="247">
        <v>41729.376400462963</v>
      </c>
      <c r="B3397" s="221">
        <v>6</v>
      </c>
      <c r="E3397" s="221">
        <v>103.8</v>
      </c>
    </row>
    <row r="3398" spans="1:5">
      <c r="A3398" s="247">
        <v>41729.418067129627</v>
      </c>
      <c r="B3398" s="221">
        <v>8</v>
      </c>
      <c r="E3398" s="221">
        <v>98.4</v>
      </c>
    </row>
    <row r="3399" spans="1:5">
      <c r="A3399" s="247">
        <v>41729.459733796299</v>
      </c>
      <c r="B3399" s="221">
        <v>15.5</v>
      </c>
      <c r="E3399" s="221">
        <v>74.400000000000006</v>
      </c>
    </row>
    <row r="3400" spans="1:5">
      <c r="A3400" s="247">
        <v>41729.501400462963</v>
      </c>
      <c r="B3400" s="221">
        <v>15</v>
      </c>
      <c r="E3400" s="221">
        <v>72.599999999999994</v>
      </c>
    </row>
    <row r="3401" spans="1:5">
      <c r="A3401" s="247">
        <v>41729.543067129627</v>
      </c>
      <c r="B3401" s="221">
        <v>16</v>
      </c>
      <c r="E3401" s="221">
        <v>72</v>
      </c>
    </row>
    <row r="3402" spans="1:5">
      <c r="A3402" s="247">
        <v>41729.584733796299</v>
      </c>
      <c r="B3402" s="221">
        <v>17</v>
      </c>
      <c r="E3402" s="221">
        <v>67.8</v>
      </c>
    </row>
    <row r="3403" spans="1:5">
      <c r="A3403" s="247">
        <v>41729.626400462963</v>
      </c>
      <c r="B3403" s="221">
        <v>18</v>
      </c>
      <c r="E3403" s="221">
        <v>64.8</v>
      </c>
    </row>
    <row r="3404" spans="1:5">
      <c r="A3404" s="247">
        <v>41729.668067129627</v>
      </c>
      <c r="B3404" s="221">
        <v>20.5</v>
      </c>
      <c r="E3404" s="221">
        <v>58.8</v>
      </c>
    </row>
    <row r="3405" spans="1:5">
      <c r="A3405" s="247">
        <v>41729.709733796299</v>
      </c>
      <c r="B3405" s="221">
        <v>21</v>
      </c>
      <c r="E3405" s="221">
        <v>55.2</v>
      </c>
    </row>
    <row r="3406" spans="1:5">
      <c r="A3406" s="247">
        <v>41729.751400462963</v>
      </c>
      <c r="B3406" s="221">
        <v>20.5</v>
      </c>
      <c r="E3406" s="221">
        <v>62.4</v>
      </c>
    </row>
    <row r="3407" spans="1:5">
      <c r="A3407" s="247">
        <v>41729.793067129627</v>
      </c>
      <c r="B3407" s="221">
        <v>21</v>
      </c>
      <c r="E3407" s="221">
        <v>56.4</v>
      </c>
    </row>
    <row r="3408" spans="1:5">
      <c r="A3408" s="247">
        <v>41729.834733796299</v>
      </c>
      <c r="B3408" s="221">
        <v>17.5</v>
      </c>
      <c r="E3408" s="221">
        <v>70.8</v>
      </c>
    </row>
    <row r="3409" spans="1:5">
      <c r="A3409" s="247">
        <v>41729.876400462963</v>
      </c>
      <c r="B3409" s="221">
        <v>15</v>
      </c>
      <c r="E3409" s="221">
        <v>76.8</v>
      </c>
    </row>
    <row r="3410" spans="1:5">
      <c r="A3410" s="247">
        <v>41729.918067129627</v>
      </c>
      <c r="B3410" s="221">
        <v>13</v>
      </c>
      <c r="E3410" s="221">
        <v>87.6</v>
      </c>
    </row>
    <row r="3411" spans="1:5">
      <c r="A3411" s="247">
        <v>41729.959733796299</v>
      </c>
      <c r="B3411" s="221">
        <v>10</v>
      </c>
      <c r="E3411" s="221">
        <v>96.6</v>
      </c>
    </row>
    <row r="3412" spans="1:5">
      <c r="A3412" s="247">
        <v>41730.001400462963</v>
      </c>
      <c r="B3412" s="221">
        <v>9.5</v>
      </c>
      <c r="E3412" s="221">
        <v>96</v>
      </c>
    </row>
    <row r="3413" spans="1:5">
      <c r="A3413" s="247">
        <v>41730.043067129627</v>
      </c>
      <c r="B3413" s="221">
        <v>9.5</v>
      </c>
      <c r="E3413" s="221">
        <v>96.6</v>
      </c>
    </row>
    <row r="3414" spans="1:5">
      <c r="A3414" s="247">
        <v>41730.084733796299</v>
      </c>
      <c r="B3414" s="221">
        <v>9</v>
      </c>
      <c r="E3414" s="221">
        <v>98.4</v>
      </c>
    </row>
    <row r="3415" spans="1:5">
      <c r="A3415" s="247">
        <v>41730.126400462963</v>
      </c>
      <c r="B3415" s="221">
        <v>8</v>
      </c>
      <c r="E3415" s="221">
        <v>101.4</v>
      </c>
    </row>
    <row r="3416" spans="1:5">
      <c r="A3416" s="247">
        <v>41730.168067129627</v>
      </c>
      <c r="B3416" s="221">
        <v>8</v>
      </c>
      <c r="E3416" s="221">
        <v>101.4</v>
      </c>
    </row>
    <row r="3417" spans="1:5">
      <c r="A3417" s="247">
        <v>41730.209733796299</v>
      </c>
      <c r="B3417" s="221">
        <v>7.5</v>
      </c>
      <c r="E3417" s="221">
        <v>103.8</v>
      </c>
    </row>
    <row r="3418" spans="1:5">
      <c r="A3418" s="247">
        <v>41730.251400462963</v>
      </c>
      <c r="B3418" s="221">
        <v>9</v>
      </c>
      <c r="E3418" s="221">
        <v>102</v>
      </c>
    </row>
    <row r="3419" spans="1:5">
      <c r="A3419" s="247">
        <v>41730.293067129627</v>
      </c>
      <c r="B3419" s="221">
        <v>8</v>
      </c>
      <c r="E3419" s="221">
        <v>102</v>
      </c>
    </row>
    <row r="3420" spans="1:5">
      <c r="A3420" s="247">
        <v>41730.334733796299</v>
      </c>
      <c r="B3420" s="221">
        <v>7.5</v>
      </c>
      <c r="E3420" s="221">
        <v>101.4</v>
      </c>
    </row>
    <row r="3421" spans="1:5">
      <c r="A3421" s="247">
        <v>41730.376400462963</v>
      </c>
      <c r="B3421" s="221">
        <v>6.5</v>
      </c>
      <c r="E3421" s="221">
        <v>103.8</v>
      </c>
    </row>
    <row r="3422" spans="1:5">
      <c r="A3422" s="247">
        <v>41730.418067129627</v>
      </c>
      <c r="B3422" s="221">
        <v>9</v>
      </c>
      <c r="E3422" s="221">
        <v>97.8</v>
      </c>
    </row>
    <row r="3423" spans="1:5">
      <c r="A3423" s="247">
        <v>41730.459733796299</v>
      </c>
      <c r="B3423" s="221">
        <v>17.5</v>
      </c>
      <c r="E3423" s="221">
        <v>69.599999999999994</v>
      </c>
    </row>
    <row r="3424" spans="1:5">
      <c r="A3424" s="247">
        <v>41730.501400462963</v>
      </c>
      <c r="B3424" s="221">
        <v>21</v>
      </c>
      <c r="E3424" s="221">
        <v>58.2</v>
      </c>
    </row>
    <row r="3425" spans="1:5">
      <c r="A3425" s="247">
        <v>41730.543067129627</v>
      </c>
      <c r="B3425" s="221">
        <v>22.5</v>
      </c>
      <c r="E3425" s="221">
        <v>48.6</v>
      </c>
    </row>
    <row r="3426" spans="1:5">
      <c r="A3426" s="247">
        <v>41730.584733796299</v>
      </c>
      <c r="B3426" s="221">
        <v>27</v>
      </c>
      <c r="E3426" s="221">
        <v>42.6</v>
      </c>
    </row>
    <row r="3427" spans="1:5">
      <c r="A3427" s="247">
        <v>41730.626400462963</v>
      </c>
      <c r="B3427" s="221">
        <v>26</v>
      </c>
      <c r="E3427" s="221">
        <v>43.2</v>
      </c>
    </row>
    <row r="3428" spans="1:5">
      <c r="A3428" s="247">
        <v>41730.668067129627</v>
      </c>
      <c r="B3428" s="221">
        <v>23.5</v>
      </c>
      <c r="E3428" s="221">
        <v>46.2</v>
      </c>
    </row>
    <row r="3429" spans="1:5">
      <c r="A3429" s="247">
        <v>41730.709733796299</v>
      </c>
      <c r="B3429" s="221">
        <v>23.5</v>
      </c>
      <c r="E3429" s="221">
        <v>48</v>
      </c>
    </row>
    <row r="3430" spans="1:5">
      <c r="A3430" s="247">
        <v>41730.751400462963</v>
      </c>
      <c r="B3430" s="221">
        <v>24</v>
      </c>
      <c r="E3430" s="221">
        <v>48</v>
      </c>
    </row>
    <row r="3431" spans="1:5">
      <c r="A3431" s="247">
        <v>41730.793067129627</v>
      </c>
      <c r="B3431" s="221">
        <v>22</v>
      </c>
      <c r="E3431" s="221">
        <v>60.6</v>
      </c>
    </row>
    <row r="3432" spans="1:5">
      <c r="A3432" s="247">
        <v>41730.834733796299</v>
      </c>
      <c r="B3432" s="221">
        <v>19</v>
      </c>
      <c r="E3432" s="221">
        <v>71.400000000000006</v>
      </c>
    </row>
    <row r="3433" spans="1:5">
      <c r="A3433" s="247">
        <v>41730.876400462963</v>
      </c>
      <c r="B3433" s="221">
        <v>16.5</v>
      </c>
      <c r="E3433" s="221">
        <v>73.2</v>
      </c>
    </row>
    <row r="3434" spans="1:5">
      <c r="A3434" s="247">
        <v>41730.918067129627</v>
      </c>
      <c r="B3434" s="221">
        <v>13.5</v>
      </c>
      <c r="E3434" s="221">
        <v>82.2</v>
      </c>
    </row>
    <row r="3435" spans="1:5">
      <c r="A3435" s="247">
        <v>41730.959733796299</v>
      </c>
      <c r="B3435" s="221">
        <v>12.5</v>
      </c>
      <c r="E3435" s="221">
        <v>87</v>
      </c>
    </row>
    <row r="3436" spans="1:5">
      <c r="A3436" s="247">
        <v>41731.001400462963</v>
      </c>
      <c r="B3436" s="221">
        <v>12.5</v>
      </c>
      <c r="E3436" s="221">
        <v>84.6</v>
      </c>
    </row>
    <row r="3437" spans="1:5">
      <c r="A3437" s="247">
        <v>41731.043067129627</v>
      </c>
      <c r="B3437" s="221">
        <v>11.5</v>
      </c>
      <c r="E3437" s="221">
        <v>94.2</v>
      </c>
    </row>
    <row r="3438" spans="1:5">
      <c r="A3438" s="247">
        <v>41731.084733796299</v>
      </c>
      <c r="B3438" s="221">
        <v>10</v>
      </c>
      <c r="E3438" s="221">
        <v>98.4</v>
      </c>
    </row>
    <row r="3439" spans="1:5">
      <c r="A3439" s="247">
        <v>41731.126400462963</v>
      </c>
      <c r="B3439" s="221">
        <v>8.5</v>
      </c>
      <c r="E3439" s="221">
        <v>102</v>
      </c>
    </row>
    <row r="3440" spans="1:5">
      <c r="A3440" s="247">
        <v>41731.168067129627</v>
      </c>
      <c r="B3440" s="221">
        <v>8</v>
      </c>
      <c r="E3440" s="221">
        <v>100.8</v>
      </c>
    </row>
    <row r="3441" spans="1:5">
      <c r="A3441" s="247">
        <v>41731.209733796299</v>
      </c>
      <c r="B3441" s="221">
        <v>7.5</v>
      </c>
      <c r="E3441" s="221">
        <v>102</v>
      </c>
    </row>
    <row r="3442" spans="1:5">
      <c r="A3442" s="247">
        <v>41731.251400462963</v>
      </c>
      <c r="B3442" s="221">
        <v>7</v>
      </c>
      <c r="E3442" s="221">
        <v>102</v>
      </c>
    </row>
    <row r="3443" spans="1:5">
      <c r="A3443" s="247">
        <v>41731.293067129627</v>
      </c>
      <c r="B3443" s="221">
        <v>8</v>
      </c>
      <c r="E3443" s="221">
        <v>102</v>
      </c>
    </row>
    <row r="3444" spans="1:5">
      <c r="A3444" s="247">
        <v>41731.334733796299</v>
      </c>
      <c r="B3444" s="221">
        <v>8.5</v>
      </c>
      <c r="E3444" s="221">
        <v>99.6</v>
      </c>
    </row>
    <row r="3445" spans="1:5">
      <c r="A3445" s="247">
        <v>41731.376400462963</v>
      </c>
      <c r="B3445" s="221">
        <v>8</v>
      </c>
      <c r="E3445" s="221">
        <v>98.4</v>
      </c>
    </row>
    <row r="3446" spans="1:5">
      <c r="A3446" s="247">
        <v>41731.418067129627</v>
      </c>
      <c r="B3446" s="221">
        <v>10.5</v>
      </c>
      <c r="E3446" s="221">
        <v>89.4</v>
      </c>
    </row>
    <row r="3447" spans="1:5">
      <c r="A3447" s="247">
        <v>41731.459733796299</v>
      </c>
      <c r="B3447" s="221">
        <v>11.5</v>
      </c>
      <c r="E3447" s="221">
        <v>87</v>
      </c>
    </row>
    <row r="3448" spans="1:5">
      <c r="A3448" s="247">
        <v>41731.501400462963</v>
      </c>
      <c r="B3448" s="221">
        <v>13</v>
      </c>
      <c r="E3448" s="221">
        <v>82.2</v>
      </c>
    </row>
    <row r="3449" spans="1:5">
      <c r="A3449" s="247">
        <v>41731.543067129627</v>
      </c>
      <c r="B3449" s="221">
        <v>18.5</v>
      </c>
      <c r="E3449" s="221">
        <v>62.4</v>
      </c>
    </row>
    <row r="3450" spans="1:5">
      <c r="A3450" s="247">
        <v>41731.584733796299</v>
      </c>
      <c r="B3450" s="221">
        <v>22</v>
      </c>
      <c r="E3450" s="221">
        <v>52.2</v>
      </c>
    </row>
    <row r="3451" spans="1:5">
      <c r="A3451" s="247">
        <v>41731.626400462963</v>
      </c>
      <c r="B3451" s="221">
        <v>28.5</v>
      </c>
      <c r="E3451" s="221">
        <v>40.200000000000003</v>
      </c>
    </row>
    <row r="3452" spans="1:5">
      <c r="A3452" s="247">
        <v>41731.668067129627</v>
      </c>
      <c r="B3452" s="221">
        <v>23.5</v>
      </c>
      <c r="E3452" s="221">
        <v>48.6</v>
      </c>
    </row>
    <row r="3453" spans="1:5">
      <c r="A3453" s="247">
        <v>41731.709733796299</v>
      </c>
      <c r="B3453" s="221">
        <v>22.5</v>
      </c>
      <c r="E3453" s="221">
        <v>52.8</v>
      </c>
    </row>
    <row r="3454" spans="1:5">
      <c r="A3454" s="247">
        <v>41731.751400462963</v>
      </c>
      <c r="B3454" s="221">
        <v>23.5</v>
      </c>
      <c r="E3454" s="221">
        <v>55.2</v>
      </c>
    </row>
    <row r="3455" spans="1:5">
      <c r="A3455" s="247">
        <v>41731.793067129627</v>
      </c>
      <c r="B3455" s="221">
        <v>22.5</v>
      </c>
      <c r="E3455" s="221">
        <v>58.2</v>
      </c>
    </row>
    <row r="3456" spans="1:5">
      <c r="A3456" s="247">
        <v>41731.834733796299</v>
      </c>
      <c r="B3456" s="221">
        <v>22</v>
      </c>
      <c r="E3456" s="221">
        <v>54.6</v>
      </c>
    </row>
    <row r="3457" spans="1:5">
      <c r="A3457" s="247">
        <v>41731.876400462963</v>
      </c>
      <c r="B3457" s="221">
        <v>17.5</v>
      </c>
      <c r="E3457" s="221">
        <v>72</v>
      </c>
    </row>
    <row r="3458" spans="1:5">
      <c r="A3458" s="247">
        <v>41731.918067129627</v>
      </c>
      <c r="B3458" s="221">
        <v>14.5</v>
      </c>
      <c r="E3458" s="221">
        <v>80.400000000000006</v>
      </c>
    </row>
    <row r="3459" spans="1:5">
      <c r="A3459" s="247">
        <v>41731.959733796299</v>
      </c>
      <c r="B3459" s="221">
        <v>14.5</v>
      </c>
      <c r="E3459" s="221">
        <v>76.8</v>
      </c>
    </row>
    <row r="3460" spans="1:5">
      <c r="A3460" s="247">
        <v>41732.001400462963</v>
      </c>
      <c r="B3460" s="221">
        <v>14</v>
      </c>
      <c r="E3460" s="221">
        <v>79.2</v>
      </c>
    </row>
    <row r="3461" spans="1:5">
      <c r="A3461" s="247">
        <v>41732.043067129627</v>
      </c>
      <c r="B3461" s="221">
        <v>12</v>
      </c>
      <c r="E3461" s="221">
        <v>87</v>
      </c>
    </row>
    <row r="3462" spans="1:5">
      <c r="A3462" s="247">
        <v>41732.084733796299</v>
      </c>
      <c r="B3462" s="221">
        <v>14.5</v>
      </c>
      <c r="E3462" s="221">
        <v>70.8</v>
      </c>
    </row>
    <row r="3463" spans="1:5">
      <c r="A3463" s="247">
        <v>41732.126400462963</v>
      </c>
      <c r="B3463" s="221">
        <v>12.5</v>
      </c>
      <c r="E3463" s="221">
        <v>78</v>
      </c>
    </row>
    <row r="3464" spans="1:5">
      <c r="A3464" s="247">
        <v>41732.168067129627</v>
      </c>
      <c r="B3464" s="221">
        <v>12</v>
      </c>
      <c r="E3464" s="221">
        <v>86.4</v>
      </c>
    </row>
    <row r="3465" spans="1:5">
      <c r="A3465" s="247">
        <v>41732.209733796299</v>
      </c>
      <c r="B3465" s="221">
        <v>11.5</v>
      </c>
      <c r="E3465" s="221">
        <v>88.8</v>
      </c>
    </row>
    <row r="3466" spans="1:5">
      <c r="A3466" s="247">
        <v>41732.251400462963</v>
      </c>
      <c r="B3466" s="221">
        <v>10.5</v>
      </c>
      <c r="E3466" s="221">
        <v>100.2</v>
      </c>
    </row>
    <row r="3467" spans="1:5">
      <c r="A3467" s="247">
        <v>41732.293067129627</v>
      </c>
      <c r="B3467" s="221">
        <v>10.5</v>
      </c>
      <c r="E3467" s="221">
        <v>98.4</v>
      </c>
    </row>
    <row r="3468" spans="1:5">
      <c r="A3468" s="247">
        <v>41732.334733796299</v>
      </c>
      <c r="B3468" s="221">
        <v>11</v>
      </c>
      <c r="E3468" s="221">
        <v>97.8</v>
      </c>
    </row>
    <row r="3469" spans="1:5">
      <c r="A3469" s="247">
        <v>41732.376400462963</v>
      </c>
      <c r="B3469" s="221">
        <v>11</v>
      </c>
      <c r="E3469" s="221">
        <v>94.8</v>
      </c>
    </row>
    <row r="3470" spans="1:5">
      <c r="A3470" s="247">
        <v>41732.418067129627</v>
      </c>
      <c r="B3470" s="221">
        <v>12.5</v>
      </c>
      <c r="E3470" s="221">
        <v>94.2</v>
      </c>
    </row>
    <row r="3471" spans="1:5">
      <c r="A3471" s="247">
        <v>41732.459733796299</v>
      </c>
      <c r="B3471" s="221">
        <v>14.5</v>
      </c>
      <c r="E3471" s="221">
        <v>85.8</v>
      </c>
    </row>
    <row r="3472" spans="1:5">
      <c r="A3472" s="247">
        <v>41732.501400462963</v>
      </c>
      <c r="B3472" s="221">
        <v>14.5</v>
      </c>
      <c r="E3472" s="221">
        <v>85.8</v>
      </c>
    </row>
    <row r="3473" spans="1:5">
      <c r="A3473" s="247">
        <v>41732.543067129627</v>
      </c>
      <c r="B3473" s="221">
        <v>15</v>
      </c>
      <c r="E3473" s="221">
        <v>87</v>
      </c>
    </row>
    <row r="3474" spans="1:5">
      <c r="A3474" s="247">
        <v>41732.584733796299</v>
      </c>
      <c r="B3474" s="221">
        <v>15</v>
      </c>
      <c r="E3474" s="221">
        <v>87</v>
      </c>
    </row>
    <row r="3475" spans="1:5">
      <c r="A3475" s="247">
        <v>41732.626400462963</v>
      </c>
      <c r="B3475" s="221">
        <v>16</v>
      </c>
      <c r="E3475" s="221">
        <v>82.2</v>
      </c>
    </row>
    <row r="3476" spans="1:5">
      <c r="A3476" s="247">
        <v>41732.668067129627</v>
      </c>
      <c r="B3476" s="221">
        <v>16</v>
      </c>
      <c r="E3476" s="221">
        <v>82.2</v>
      </c>
    </row>
    <row r="3477" spans="1:5">
      <c r="A3477" s="247">
        <v>41732.709733796299</v>
      </c>
      <c r="B3477" s="221">
        <v>15</v>
      </c>
      <c r="E3477" s="221">
        <v>83.4</v>
      </c>
    </row>
    <row r="3478" spans="1:5">
      <c r="A3478" s="247">
        <v>41732.751400462963</v>
      </c>
      <c r="B3478" s="221">
        <v>15</v>
      </c>
      <c r="E3478" s="221">
        <v>89.4</v>
      </c>
    </row>
    <row r="3479" spans="1:5">
      <c r="A3479" s="247">
        <v>41732.793067129627</v>
      </c>
      <c r="B3479" s="221">
        <v>15</v>
      </c>
      <c r="E3479" s="221">
        <v>93</v>
      </c>
    </row>
    <row r="3480" spans="1:5">
      <c r="A3480" s="247">
        <v>41732.834733796299</v>
      </c>
      <c r="B3480" s="221">
        <v>15</v>
      </c>
      <c r="E3480" s="221">
        <v>93.6</v>
      </c>
    </row>
    <row r="3481" spans="1:5">
      <c r="A3481" s="247">
        <v>41732.876400462963</v>
      </c>
      <c r="B3481" s="221">
        <v>13.5</v>
      </c>
      <c r="E3481" s="221">
        <v>96.6</v>
      </c>
    </row>
    <row r="3482" spans="1:5">
      <c r="A3482" s="247">
        <v>41732.918067129627</v>
      </c>
      <c r="B3482" s="221">
        <v>12.5</v>
      </c>
      <c r="E3482" s="221">
        <v>99</v>
      </c>
    </row>
    <row r="3483" spans="1:5">
      <c r="A3483" s="247">
        <v>41732.959733796299</v>
      </c>
      <c r="B3483" s="221">
        <v>12.5</v>
      </c>
      <c r="E3483" s="221">
        <v>100.8</v>
      </c>
    </row>
    <row r="3484" spans="1:5">
      <c r="A3484" s="247">
        <v>41733.001400462963</v>
      </c>
      <c r="B3484" s="221">
        <v>12</v>
      </c>
      <c r="E3484" s="221">
        <v>103.2</v>
      </c>
    </row>
    <row r="3485" spans="1:5">
      <c r="A3485" s="247">
        <v>41733.043067129627</v>
      </c>
      <c r="B3485" s="221">
        <v>12</v>
      </c>
      <c r="E3485" s="221">
        <v>103.8</v>
      </c>
    </row>
    <row r="3486" spans="1:5">
      <c r="A3486" s="247">
        <v>41733.084733796299</v>
      </c>
      <c r="B3486" s="221">
        <v>11.5</v>
      </c>
      <c r="E3486" s="221">
        <v>105</v>
      </c>
    </row>
    <row r="3487" spans="1:5">
      <c r="A3487" s="247">
        <v>41733.126400462963</v>
      </c>
      <c r="B3487" s="221">
        <v>11.5</v>
      </c>
      <c r="E3487" s="221">
        <v>104.4</v>
      </c>
    </row>
    <row r="3488" spans="1:5">
      <c r="A3488" s="247">
        <v>41733.168067129627</v>
      </c>
      <c r="B3488" s="221">
        <v>11</v>
      </c>
      <c r="E3488" s="221">
        <v>105.6</v>
      </c>
    </row>
    <row r="3489" spans="1:5">
      <c r="A3489" s="247">
        <v>41733.209733796299</v>
      </c>
      <c r="B3489" s="221">
        <v>11</v>
      </c>
      <c r="E3489" s="221">
        <v>105.6</v>
      </c>
    </row>
    <row r="3490" spans="1:5">
      <c r="A3490" s="247">
        <v>41733.251400462963</v>
      </c>
      <c r="B3490" s="221">
        <v>11.5</v>
      </c>
      <c r="E3490" s="221">
        <v>105.6</v>
      </c>
    </row>
    <row r="3491" spans="1:5">
      <c r="A3491" s="247">
        <v>41733.293067129627</v>
      </c>
      <c r="B3491" s="221">
        <v>11</v>
      </c>
      <c r="E3491" s="221">
        <v>106.8</v>
      </c>
    </row>
    <row r="3492" spans="1:5">
      <c r="A3492" s="247">
        <v>41733.334733796299</v>
      </c>
      <c r="B3492" s="221">
        <v>10.5</v>
      </c>
      <c r="E3492" s="221">
        <v>105.6</v>
      </c>
    </row>
    <row r="3493" spans="1:5">
      <c r="A3493" s="247">
        <v>41733.376400462963</v>
      </c>
      <c r="B3493" s="221">
        <v>11</v>
      </c>
      <c r="E3493" s="221">
        <v>106.2</v>
      </c>
    </row>
    <row r="3494" spans="1:5">
      <c r="A3494" s="247">
        <v>41733.418067129627</v>
      </c>
      <c r="B3494" s="221">
        <v>11.5</v>
      </c>
      <c r="E3494" s="221">
        <v>106.2</v>
      </c>
    </row>
    <row r="3495" spans="1:5">
      <c r="A3495" s="247">
        <v>41733.459733796299</v>
      </c>
      <c r="B3495" s="221">
        <v>10.5</v>
      </c>
      <c r="E3495" s="221">
        <v>106.2</v>
      </c>
    </row>
    <row r="3496" spans="1:5">
      <c r="A3496" s="247">
        <v>41733.501400462963</v>
      </c>
      <c r="B3496" s="221">
        <v>10.5</v>
      </c>
      <c r="E3496" s="221">
        <v>106.2</v>
      </c>
    </row>
    <row r="3497" spans="1:5">
      <c r="A3497" s="247">
        <v>41733.543067129627</v>
      </c>
      <c r="B3497" s="221">
        <v>10</v>
      </c>
      <c r="E3497" s="221">
        <v>106.2</v>
      </c>
    </row>
    <row r="3498" spans="1:5">
      <c r="A3498" s="247">
        <v>41733.584733796299</v>
      </c>
      <c r="B3498" s="221">
        <v>10.5</v>
      </c>
      <c r="E3498" s="221">
        <v>105</v>
      </c>
    </row>
    <row r="3499" spans="1:5">
      <c r="A3499" s="247">
        <v>41733.626400462963</v>
      </c>
      <c r="B3499" s="221">
        <v>11</v>
      </c>
      <c r="E3499" s="221">
        <v>102</v>
      </c>
    </row>
    <row r="3500" spans="1:5">
      <c r="A3500" s="247">
        <v>41733.668067129627</v>
      </c>
      <c r="B3500" s="221">
        <v>11.5</v>
      </c>
      <c r="E3500" s="221">
        <v>100.2</v>
      </c>
    </row>
    <row r="3501" spans="1:5">
      <c r="A3501" s="247">
        <v>41733.709733796299</v>
      </c>
      <c r="B3501" s="221">
        <v>12</v>
      </c>
      <c r="E3501" s="221">
        <v>99.6</v>
      </c>
    </row>
    <row r="3502" spans="1:5">
      <c r="A3502" s="247">
        <v>41733.751400462963</v>
      </c>
      <c r="B3502" s="221">
        <v>12</v>
      </c>
      <c r="E3502" s="221">
        <v>97.2</v>
      </c>
    </row>
    <row r="3503" spans="1:5">
      <c r="A3503" s="247">
        <v>41733.793067129627</v>
      </c>
      <c r="B3503" s="221">
        <v>13.5</v>
      </c>
      <c r="E3503" s="221">
        <v>91.8</v>
      </c>
    </row>
    <row r="3504" spans="1:5">
      <c r="A3504" s="247">
        <v>41733.834733796299</v>
      </c>
      <c r="B3504" s="221">
        <v>12.5</v>
      </c>
      <c r="E3504" s="221">
        <v>94.8</v>
      </c>
    </row>
    <row r="3505" spans="1:5">
      <c r="A3505" s="247">
        <v>41733.876400462963</v>
      </c>
      <c r="B3505" s="221">
        <v>11.5</v>
      </c>
      <c r="E3505" s="221">
        <v>101.4</v>
      </c>
    </row>
    <row r="3506" spans="1:5">
      <c r="A3506" s="247">
        <v>41733.918067129627</v>
      </c>
      <c r="B3506" s="221">
        <v>11</v>
      </c>
      <c r="E3506" s="221">
        <v>103.8</v>
      </c>
    </row>
    <row r="3507" spans="1:5">
      <c r="A3507" s="247">
        <v>41733.959733796299</v>
      </c>
      <c r="B3507" s="221">
        <v>10.5</v>
      </c>
      <c r="E3507" s="221">
        <v>105.6</v>
      </c>
    </row>
    <row r="3508" spans="1:5">
      <c r="A3508" s="247">
        <v>41734.001400462963</v>
      </c>
      <c r="B3508" s="221">
        <v>9.5</v>
      </c>
      <c r="E3508" s="221">
        <v>105.6</v>
      </c>
    </row>
    <row r="3509" spans="1:5">
      <c r="A3509" s="247">
        <v>41734.043067129627</v>
      </c>
      <c r="B3509" s="221">
        <v>9</v>
      </c>
      <c r="E3509" s="221">
        <v>105.6</v>
      </c>
    </row>
    <row r="3510" spans="1:5">
      <c r="A3510" s="247">
        <v>41734.084733796299</v>
      </c>
      <c r="B3510" s="221">
        <v>7</v>
      </c>
      <c r="E3510" s="221">
        <v>106.8</v>
      </c>
    </row>
    <row r="3511" spans="1:5">
      <c r="A3511" s="247">
        <v>41734.126400462963</v>
      </c>
      <c r="B3511" s="221">
        <v>6.5</v>
      </c>
      <c r="E3511" s="221">
        <v>106.8</v>
      </c>
    </row>
    <row r="3512" spans="1:5">
      <c r="A3512" s="247">
        <v>41734.168067129627</v>
      </c>
      <c r="B3512" s="221">
        <v>7</v>
      </c>
      <c r="E3512" s="221">
        <v>106.8</v>
      </c>
    </row>
    <row r="3513" spans="1:5">
      <c r="A3513" s="247">
        <v>41734.209733796299</v>
      </c>
      <c r="B3513" s="221">
        <v>7</v>
      </c>
      <c r="E3513" s="221">
        <v>106.8</v>
      </c>
    </row>
    <row r="3514" spans="1:5">
      <c r="A3514" s="247">
        <v>41734.251400462963</v>
      </c>
      <c r="B3514" s="221">
        <v>8</v>
      </c>
      <c r="E3514" s="221">
        <v>106.8</v>
      </c>
    </row>
    <row r="3515" spans="1:5">
      <c r="A3515" s="247">
        <v>41734.293067129627</v>
      </c>
      <c r="B3515" s="221">
        <v>6.5</v>
      </c>
      <c r="E3515" s="221">
        <v>107.4</v>
      </c>
    </row>
    <row r="3516" spans="1:5">
      <c r="A3516" s="247">
        <v>41734.334733796299</v>
      </c>
      <c r="B3516" s="221">
        <v>6</v>
      </c>
      <c r="E3516" s="221">
        <v>107.4</v>
      </c>
    </row>
    <row r="3517" spans="1:5">
      <c r="A3517" s="247">
        <v>41734.376400462963</v>
      </c>
      <c r="B3517" s="221">
        <v>6</v>
      </c>
      <c r="E3517" s="221">
        <v>108</v>
      </c>
    </row>
    <row r="3518" spans="1:5">
      <c r="A3518" s="247">
        <v>41734.418067129627</v>
      </c>
      <c r="B3518" s="221">
        <v>7</v>
      </c>
      <c r="E3518" s="221">
        <v>107.4</v>
      </c>
    </row>
    <row r="3519" spans="1:5">
      <c r="A3519" s="247">
        <v>41734.459733796299</v>
      </c>
      <c r="B3519" s="221">
        <v>9.5</v>
      </c>
      <c r="E3519" s="221">
        <v>106.2</v>
      </c>
    </row>
    <row r="3520" spans="1:5">
      <c r="A3520" s="247">
        <v>41734.501400462963</v>
      </c>
      <c r="B3520" s="221">
        <v>12</v>
      </c>
      <c r="E3520" s="221">
        <v>95.4</v>
      </c>
    </row>
    <row r="3521" spans="1:5">
      <c r="A3521" s="247">
        <v>41734.543067129627</v>
      </c>
      <c r="B3521" s="221">
        <v>19.5</v>
      </c>
      <c r="E3521" s="221">
        <v>70.2</v>
      </c>
    </row>
    <row r="3522" spans="1:5">
      <c r="A3522" s="247">
        <v>41734.584733796299</v>
      </c>
      <c r="B3522" s="221">
        <v>22</v>
      </c>
      <c r="E3522" s="221">
        <v>52.2</v>
      </c>
    </row>
    <row r="3523" spans="1:5">
      <c r="A3523" s="247">
        <v>41734.626400462963</v>
      </c>
      <c r="B3523" s="221">
        <v>23.5</v>
      </c>
      <c r="E3523" s="221">
        <v>53.4</v>
      </c>
    </row>
    <row r="3524" spans="1:5">
      <c r="A3524" s="247">
        <v>41734.668067129627</v>
      </c>
      <c r="B3524" s="221">
        <v>18.5</v>
      </c>
      <c r="E3524" s="221">
        <v>61.8</v>
      </c>
    </row>
    <row r="3525" spans="1:5">
      <c r="A3525" s="247">
        <v>41734.709733796299</v>
      </c>
      <c r="B3525" s="221">
        <v>18.5</v>
      </c>
      <c r="E3525" s="221">
        <v>62.4</v>
      </c>
    </row>
    <row r="3526" spans="1:5">
      <c r="A3526" s="247">
        <v>41734.751400462963</v>
      </c>
      <c r="B3526" s="221">
        <v>19</v>
      </c>
      <c r="E3526" s="221">
        <v>63</v>
      </c>
    </row>
    <row r="3527" spans="1:5">
      <c r="A3527" s="247">
        <v>41734.793067129627</v>
      </c>
      <c r="B3527" s="221">
        <v>18</v>
      </c>
      <c r="E3527" s="221">
        <v>67.2</v>
      </c>
    </row>
    <row r="3528" spans="1:5">
      <c r="A3528" s="247">
        <v>41734.834733796299</v>
      </c>
      <c r="B3528" s="221">
        <v>16</v>
      </c>
      <c r="E3528" s="221">
        <v>72.599999999999994</v>
      </c>
    </row>
    <row r="3529" spans="1:5">
      <c r="A3529" s="247">
        <v>41734.876400462963</v>
      </c>
      <c r="B3529" s="221">
        <v>15</v>
      </c>
      <c r="E3529" s="221">
        <v>82.2</v>
      </c>
    </row>
    <row r="3530" spans="1:5">
      <c r="A3530" s="247">
        <v>41734.918067129627</v>
      </c>
      <c r="B3530" s="221">
        <v>13.5</v>
      </c>
      <c r="E3530" s="221">
        <v>88.8</v>
      </c>
    </row>
    <row r="3531" spans="1:5">
      <c r="A3531" s="247">
        <v>41734.959733796299</v>
      </c>
      <c r="B3531" s="221">
        <v>13</v>
      </c>
      <c r="E3531" s="221">
        <v>93.6</v>
      </c>
    </row>
    <row r="3532" spans="1:5">
      <c r="A3532" s="247">
        <v>41735.001400462963</v>
      </c>
      <c r="B3532" s="221">
        <v>12.5</v>
      </c>
      <c r="E3532" s="221">
        <v>95.4</v>
      </c>
    </row>
    <row r="3533" spans="1:5">
      <c r="A3533" s="247">
        <v>41735.043067129627</v>
      </c>
      <c r="B3533" s="221">
        <v>12.5</v>
      </c>
      <c r="E3533" s="221">
        <v>97.8</v>
      </c>
    </row>
    <row r="3534" spans="1:5">
      <c r="A3534" s="247">
        <v>41735.084733796299</v>
      </c>
      <c r="B3534" s="221">
        <v>12.5</v>
      </c>
      <c r="E3534" s="221">
        <v>98.4</v>
      </c>
    </row>
    <row r="3535" spans="1:5">
      <c r="A3535" s="247">
        <v>41735.126400462963</v>
      </c>
      <c r="B3535" s="221">
        <v>12</v>
      </c>
      <c r="E3535" s="221">
        <v>98.4</v>
      </c>
    </row>
    <row r="3536" spans="1:5">
      <c r="A3536" s="247">
        <v>41735.168067129627</v>
      </c>
      <c r="B3536" s="221">
        <v>11</v>
      </c>
      <c r="E3536" s="221">
        <v>102</v>
      </c>
    </row>
    <row r="3537" spans="1:5">
      <c r="A3537" s="247">
        <v>41735.209733796299</v>
      </c>
      <c r="B3537" s="221">
        <v>12.5</v>
      </c>
      <c r="E3537" s="221">
        <v>101.4</v>
      </c>
    </row>
    <row r="3538" spans="1:5">
      <c r="A3538" s="247">
        <v>41735.251400462963</v>
      </c>
      <c r="B3538" s="221">
        <v>12</v>
      </c>
      <c r="E3538" s="221">
        <v>102.6</v>
      </c>
    </row>
    <row r="3539" spans="1:5">
      <c r="A3539" s="247">
        <v>41735.293067129627</v>
      </c>
      <c r="B3539" s="221">
        <v>11.5</v>
      </c>
      <c r="E3539" s="221">
        <v>103.8</v>
      </c>
    </row>
    <row r="3540" spans="1:5">
      <c r="A3540" s="247">
        <v>41735.334733796299</v>
      </c>
      <c r="B3540" s="221">
        <v>11</v>
      </c>
      <c r="E3540" s="221">
        <v>105</v>
      </c>
    </row>
    <row r="3541" spans="1:5">
      <c r="A3541" s="247">
        <v>41735.376400462963</v>
      </c>
      <c r="B3541" s="221">
        <v>12</v>
      </c>
      <c r="E3541" s="221">
        <v>104.4</v>
      </c>
    </row>
    <row r="3542" spans="1:5">
      <c r="A3542" s="247">
        <v>41735.418067129627</v>
      </c>
      <c r="B3542" s="221">
        <v>13.5</v>
      </c>
      <c r="E3542" s="221">
        <v>100.2</v>
      </c>
    </row>
    <row r="3543" spans="1:5">
      <c r="A3543" s="247">
        <v>41735.459733796299</v>
      </c>
      <c r="B3543" s="221">
        <v>14</v>
      </c>
      <c r="E3543" s="221">
        <v>98.4</v>
      </c>
    </row>
    <row r="3544" spans="1:5">
      <c r="A3544" s="247">
        <v>41735.501400462963</v>
      </c>
      <c r="B3544" s="221">
        <v>14.5</v>
      </c>
      <c r="E3544" s="221">
        <v>97.2</v>
      </c>
    </row>
    <row r="3545" spans="1:5">
      <c r="A3545" s="247">
        <v>41735.543067129627</v>
      </c>
      <c r="B3545" s="221">
        <v>17.5</v>
      </c>
      <c r="E3545" s="221">
        <v>90</v>
      </c>
    </row>
    <row r="3546" spans="1:5">
      <c r="A3546" s="247">
        <v>41735.584733796299</v>
      </c>
      <c r="B3546" s="221">
        <v>21</v>
      </c>
      <c r="E3546" s="221">
        <v>78</v>
      </c>
    </row>
    <row r="3547" spans="1:5">
      <c r="A3547" s="247">
        <v>41735.626400462963</v>
      </c>
      <c r="B3547" s="221">
        <v>20.5</v>
      </c>
      <c r="E3547" s="221">
        <v>75</v>
      </c>
    </row>
    <row r="3548" spans="1:5">
      <c r="A3548" s="247">
        <v>41735.668067129627</v>
      </c>
      <c r="B3548" s="221">
        <v>17</v>
      </c>
      <c r="E3548" s="221">
        <v>88.8</v>
      </c>
    </row>
    <row r="3549" spans="1:5">
      <c r="A3549" s="247">
        <v>41735.709733796299</v>
      </c>
      <c r="B3549" s="221">
        <v>19</v>
      </c>
      <c r="E3549" s="221">
        <v>84</v>
      </c>
    </row>
    <row r="3550" spans="1:5">
      <c r="A3550" s="247">
        <v>41735.751400462963</v>
      </c>
      <c r="B3550" s="221">
        <v>16.5</v>
      </c>
      <c r="E3550" s="221">
        <v>91.2</v>
      </c>
    </row>
    <row r="3551" spans="1:5">
      <c r="A3551" s="247">
        <v>41735.793067129627</v>
      </c>
      <c r="B3551" s="221">
        <v>17.5</v>
      </c>
      <c r="E3551" s="221">
        <v>88.8</v>
      </c>
    </row>
    <row r="3552" spans="1:5">
      <c r="A3552" s="247">
        <v>41735.834733796299</v>
      </c>
      <c r="B3552" s="221">
        <v>17</v>
      </c>
      <c r="E3552" s="221">
        <v>89.4</v>
      </c>
    </row>
    <row r="3553" spans="1:5">
      <c r="A3553" s="247">
        <v>41735.876400462963</v>
      </c>
      <c r="B3553" s="221">
        <v>16.5</v>
      </c>
      <c r="E3553" s="221">
        <v>90</v>
      </c>
    </row>
    <row r="3554" spans="1:5">
      <c r="A3554" s="247">
        <v>41735.918067129627</v>
      </c>
      <c r="B3554" s="221">
        <v>11</v>
      </c>
      <c r="E3554" s="221">
        <v>102.6</v>
      </c>
    </row>
    <row r="3555" spans="1:5">
      <c r="A3555" s="247">
        <v>41735.959733796299</v>
      </c>
      <c r="B3555" s="221">
        <v>9.5</v>
      </c>
      <c r="E3555" s="221">
        <v>105</v>
      </c>
    </row>
    <row r="3556" spans="1:5">
      <c r="A3556" s="247">
        <v>41736.001400462963</v>
      </c>
      <c r="B3556" s="221">
        <v>8.5</v>
      </c>
      <c r="E3556" s="221">
        <v>105.6</v>
      </c>
    </row>
    <row r="3557" spans="1:5">
      <c r="A3557" s="247">
        <v>41736.043067129627</v>
      </c>
      <c r="B3557" s="221">
        <v>8.5</v>
      </c>
      <c r="E3557" s="221">
        <v>105.6</v>
      </c>
    </row>
    <row r="3558" spans="1:5">
      <c r="A3558" s="247">
        <v>41736.084733796299</v>
      </c>
      <c r="B3558" s="221">
        <v>8.5</v>
      </c>
      <c r="E3558" s="221">
        <v>105.6</v>
      </c>
    </row>
    <row r="3559" spans="1:5">
      <c r="A3559" s="247">
        <v>41736.126400462963</v>
      </c>
      <c r="B3559" s="221">
        <v>9</v>
      </c>
      <c r="E3559" s="221">
        <v>106.8</v>
      </c>
    </row>
    <row r="3560" spans="1:5">
      <c r="A3560" s="247">
        <v>41736.168067129627</v>
      </c>
      <c r="B3560" s="221">
        <v>7.5</v>
      </c>
      <c r="E3560" s="221">
        <v>106.8</v>
      </c>
    </row>
    <row r="3561" spans="1:5">
      <c r="A3561" s="247">
        <v>41736.209733796299</v>
      </c>
      <c r="B3561" s="221">
        <v>8</v>
      </c>
      <c r="E3561" s="221">
        <v>106.8</v>
      </c>
    </row>
    <row r="3562" spans="1:5">
      <c r="A3562" s="247">
        <v>41736.251400462963</v>
      </c>
      <c r="B3562" s="221">
        <v>8</v>
      </c>
      <c r="E3562" s="221">
        <v>106.8</v>
      </c>
    </row>
    <row r="3563" spans="1:5">
      <c r="A3563" s="247">
        <v>41736.293067129627</v>
      </c>
      <c r="B3563" s="221">
        <v>8</v>
      </c>
      <c r="E3563" s="221">
        <v>106.8</v>
      </c>
    </row>
    <row r="3564" spans="1:5">
      <c r="A3564" s="247">
        <v>41736.334733796299</v>
      </c>
      <c r="B3564" s="221">
        <v>8.5</v>
      </c>
      <c r="E3564" s="221">
        <v>106.8</v>
      </c>
    </row>
    <row r="3565" spans="1:5">
      <c r="A3565" s="247">
        <v>41736.376400462963</v>
      </c>
      <c r="B3565" s="221">
        <v>9</v>
      </c>
      <c r="E3565" s="221">
        <v>107.4</v>
      </c>
    </row>
    <row r="3566" spans="1:5">
      <c r="A3566" s="247">
        <v>41736.418067129627</v>
      </c>
      <c r="B3566" s="221">
        <v>11</v>
      </c>
      <c r="E3566" s="221">
        <v>106.2</v>
      </c>
    </row>
    <row r="3567" spans="1:5">
      <c r="A3567" s="247">
        <v>41736.459733796299</v>
      </c>
      <c r="B3567" s="221">
        <v>15</v>
      </c>
      <c r="E3567" s="221">
        <v>94.2</v>
      </c>
    </row>
    <row r="3568" spans="1:5">
      <c r="A3568" s="247">
        <v>41736.501400462963</v>
      </c>
      <c r="B3568" s="221">
        <v>19</v>
      </c>
      <c r="E3568" s="221">
        <v>81</v>
      </c>
    </row>
    <row r="3569" spans="1:5">
      <c r="A3569" s="247">
        <v>41736.543067129627</v>
      </c>
      <c r="B3569" s="221">
        <v>25.5</v>
      </c>
      <c r="E3569" s="221">
        <v>51.6</v>
      </c>
    </row>
    <row r="3570" spans="1:5">
      <c r="A3570" s="247">
        <v>41736.584733796299</v>
      </c>
      <c r="B3570" s="221">
        <v>29.5</v>
      </c>
      <c r="E3570" s="221">
        <v>47.4</v>
      </c>
    </row>
    <row r="3571" spans="1:5">
      <c r="A3571" s="247">
        <v>41736.626400462963</v>
      </c>
      <c r="B3571" s="221">
        <v>29</v>
      </c>
      <c r="E3571" s="221">
        <v>47.4</v>
      </c>
    </row>
    <row r="3572" spans="1:5">
      <c r="A3572" s="247">
        <v>41736.668067129627</v>
      </c>
      <c r="B3572" s="221">
        <v>26</v>
      </c>
      <c r="E3572" s="221">
        <v>52.8</v>
      </c>
    </row>
    <row r="3573" spans="1:5">
      <c r="A3573" s="247">
        <v>41736.709733796299</v>
      </c>
      <c r="B3573" s="221">
        <v>25.5</v>
      </c>
      <c r="E3573" s="221">
        <v>53.4</v>
      </c>
    </row>
    <row r="3574" spans="1:5">
      <c r="A3574" s="247">
        <v>41736.751400462963</v>
      </c>
      <c r="B3574" s="221">
        <v>24</v>
      </c>
      <c r="E3574" s="221">
        <v>58.2</v>
      </c>
    </row>
    <row r="3575" spans="1:5">
      <c r="A3575" s="247">
        <v>41736.793067129627</v>
      </c>
      <c r="B3575" s="221">
        <v>23</v>
      </c>
      <c r="E3575" s="221">
        <v>63.6</v>
      </c>
    </row>
    <row r="3576" spans="1:5">
      <c r="A3576" s="247">
        <v>41736.834733796299</v>
      </c>
      <c r="B3576" s="221">
        <v>20.5</v>
      </c>
      <c r="E3576" s="221">
        <v>66.599999999999994</v>
      </c>
    </row>
    <row r="3577" spans="1:5">
      <c r="A3577" s="247">
        <v>41736.876400462963</v>
      </c>
      <c r="B3577" s="221">
        <v>18</v>
      </c>
      <c r="E3577" s="221">
        <v>76.2</v>
      </c>
    </row>
    <row r="3578" spans="1:5">
      <c r="A3578" s="247">
        <v>41736.918067129627</v>
      </c>
      <c r="B3578" s="221">
        <v>16</v>
      </c>
      <c r="E3578" s="221">
        <v>85.2</v>
      </c>
    </row>
    <row r="3579" spans="1:5">
      <c r="A3579" s="247">
        <v>41736.959733796299</v>
      </c>
      <c r="B3579" s="221">
        <v>14</v>
      </c>
      <c r="E3579" s="221">
        <v>91.8</v>
      </c>
    </row>
    <row r="3580" spans="1:5">
      <c r="A3580" s="247">
        <v>41737.001400462963</v>
      </c>
      <c r="B3580" s="221">
        <v>13</v>
      </c>
      <c r="E3580" s="221">
        <v>94.2</v>
      </c>
    </row>
    <row r="3581" spans="1:5">
      <c r="A3581" s="247">
        <v>41737.043067129627</v>
      </c>
      <c r="B3581" s="221">
        <v>13</v>
      </c>
      <c r="E3581" s="221">
        <v>96</v>
      </c>
    </row>
    <row r="3582" spans="1:5">
      <c r="A3582" s="247">
        <v>41737.084733796299</v>
      </c>
      <c r="B3582" s="221">
        <v>13.5</v>
      </c>
      <c r="E3582" s="221">
        <v>93</v>
      </c>
    </row>
    <row r="3583" spans="1:5">
      <c r="A3583" s="247">
        <v>41737.126400462963</v>
      </c>
      <c r="B3583" s="221">
        <v>12.5</v>
      </c>
      <c r="E3583" s="221">
        <v>93.6</v>
      </c>
    </row>
    <row r="3584" spans="1:5">
      <c r="A3584" s="247">
        <v>41737.168067129627</v>
      </c>
      <c r="B3584" s="221">
        <v>10.5</v>
      </c>
      <c r="E3584" s="221">
        <v>91.2</v>
      </c>
    </row>
    <row r="3585" spans="1:5">
      <c r="A3585" s="247">
        <v>41737.209733796299</v>
      </c>
      <c r="B3585" s="221">
        <v>8.5</v>
      </c>
      <c r="E3585" s="221">
        <v>98.4</v>
      </c>
    </row>
    <row r="3586" spans="1:5">
      <c r="A3586" s="247">
        <v>41737.251400462963</v>
      </c>
      <c r="B3586" s="221">
        <v>9</v>
      </c>
      <c r="E3586" s="221">
        <v>97.8</v>
      </c>
    </row>
    <row r="3587" spans="1:5">
      <c r="A3587" s="247">
        <v>41737.293067129627</v>
      </c>
      <c r="B3587" s="221">
        <v>9</v>
      </c>
      <c r="E3587" s="221">
        <v>96.6</v>
      </c>
    </row>
    <row r="3588" spans="1:5">
      <c r="A3588" s="247">
        <v>41737.334733796299</v>
      </c>
      <c r="B3588" s="221">
        <v>6</v>
      </c>
      <c r="E3588" s="221">
        <v>103.8</v>
      </c>
    </row>
    <row r="3589" spans="1:5">
      <c r="A3589" s="247">
        <v>41737.376400462963</v>
      </c>
      <c r="B3589" s="221">
        <v>6</v>
      </c>
      <c r="E3589" s="221">
        <v>105.6</v>
      </c>
    </row>
    <row r="3590" spans="1:5">
      <c r="A3590" s="247">
        <v>41737.418067129627</v>
      </c>
      <c r="B3590" s="221">
        <v>9.5</v>
      </c>
      <c r="E3590" s="221">
        <v>98.4</v>
      </c>
    </row>
    <row r="3591" spans="1:5">
      <c r="A3591" s="247">
        <v>41737.459733796299</v>
      </c>
      <c r="B3591" s="221">
        <v>11</v>
      </c>
      <c r="E3591" s="221">
        <v>90</v>
      </c>
    </row>
    <row r="3592" spans="1:5">
      <c r="A3592" s="247">
        <v>41737.501400462963</v>
      </c>
      <c r="B3592" s="221">
        <v>14.5</v>
      </c>
      <c r="E3592" s="221">
        <v>78</v>
      </c>
    </row>
    <row r="3593" spans="1:5">
      <c r="A3593" s="247">
        <v>41737.543067129627</v>
      </c>
      <c r="B3593" s="221">
        <v>14</v>
      </c>
      <c r="E3593" s="221">
        <v>71.400000000000006</v>
      </c>
    </row>
    <row r="3594" spans="1:5">
      <c r="A3594" s="247">
        <v>41737.584733796299</v>
      </c>
      <c r="B3594" s="221">
        <v>19.5</v>
      </c>
      <c r="E3594" s="221">
        <v>55.2</v>
      </c>
    </row>
    <row r="3595" spans="1:5">
      <c r="A3595" s="247">
        <v>41737.626400462963</v>
      </c>
      <c r="B3595" s="221">
        <v>21.5</v>
      </c>
      <c r="E3595" s="221">
        <v>46.2</v>
      </c>
    </row>
    <row r="3596" spans="1:5">
      <c r="A3596" s="247">
        <v>41737.668067129627</v>
      </c>
      <c r="B3596" s="221">
        <v>16</v>
      </c>
      <c r="E3596" s="221">
        <v>56.4</v>
      </c>
    </row>
    <row r="3597" spans="1:5">
      <c r="A3597" s="247">
        <v>41737.709733796299</v>
      </c>
      <c r="B3597" s="221">
        <v>15.5</v>
      </c>
      <c r="E3597" s="221">
        <v>56.4</v>
      </c>
    </row>
    <row r="3598" spans="1:5">
      <c r="A3598" s="247">
        <v>41737.751400462963</v>
      </c>
      <c r="B3598" s="221">
        <v>16.5</v>
      </c>
      <c r="E3598" s="221">
        <v>55.2</v>
      </c>
    </row>
    <row r="3599" spans="1:5">
      <c r="A3599" s="247">
        <v>41737.793067129627</v>
      </c>
      <c r="B3599" s="221">
        <v>15</v>
      </c>
      <c r="E3599" s="221">
        <v>55.2</v>
      </c>
    </row>
    <row r="3600" spans="1:5">
      <c r="A3600" s="247">
        <v>41737.834733796299</v>
      </c>
      <c r="B3600" s="221">
        <v>12.5</v>
      </c>
      <c r="E3600" s="221">
        <v>63.6</v>
      </c>
    </row>
    <row r="3601" spans="1:5">
      <c r="A3601" s="247">
        <v>41737.876400462963</v>
      </c>
      <c r="B3601" s="221">
        <v>11.5</v>
      </c>
      <c r="E3601" s="221">
        <v>72</v>
      </c>
    </row>
    <row r="3602" spans="1:5">
      <c r="A3602" s="247">
        <v>41737.918067129627</v>
      </c>
      <c r="B3602" s="221">
        <v>10</v>
      </c>
      <c r="E3602" s="221">
        <v>80.400000000000006</v>
      </c>
    </row>
    <row r="3603" spans="1:5">
      <c r="A3603" s="247">
        <v>41737.959733796299</v>
      </c>
      <c r="B3603" s="221">
        <v>9</v>
      </c>
      <c r="E3603" s="221">
        <v>88.8</v>
      </c>
    </row>
    <row r="3604" spans="1:5">
      <c r="A3604" s="247">
        <v>41738.001400462963</v>
      </c>
      <c r="B3604" s="221">
        <v>8.5</v>
      </c>
      <c r="E3604" s="221">
        <v>94.2</v>
      </c>
    </row>
    <row r="3605" spans="1:5">
      <c r="A3605" s="247">
        <v>41738.043067129627</v>
      </c>
      <c r="B3605" s="221">
        <v>8</v>
      </c>
      <c r="E3605" s="221">
        <v>98.4</v>
      </c>
    </row>
    <row r="3606" spans="1:5">
      <c r="A3606" s="247">
        <v>41738.084733796299</v>
      </c>
      <c r="B3606" s="221">
        <v>4.5</v>
      </c>
      <c r="E3606" s="221">
        <v>103.2</v>
      </c>
    </row>
    <row r="3607" spans="1:5">
      <c r="A3607" s="247">
        <v>41738.126400462963</v>
      </c>
      <c r="B3607" s="221">
        <v>3.5</v>
      </c>
      <c r="E3607" s="221">
        <v>105.6</v>
      </c>
    </row>
    <row r="3608" spans="1:5">
      <c r="A3608" s="247">
        <v>41738.168067129627</v>
      </c>
      <c r="B3608" s="221">
        <v>3</v>
      </c>
      <c r="E3608" s="221">
        <v>103.8</v>
      </c>
    </row>
    <row r="3609" spans="1:5">
      <c r="A3609" s="247">
        <v>41738.209733796299</v>
      </c>
      <c r="B3609" s="221">
        <v>2</v>
      </c>
      <c r="E3609" s="221">
        <v>105.6</v>
      </c>
    </row>
    <row r="3610" spans="1:5">
      <c r="A3610" s="247">
        <v>41738.251400462963</v>
      </c>
      <c r="B3610" s="221">
        <v>2</v>
      </c>
      <c r="E3610" s="221">
        <v>106.2</v>
      </c>
    </row>
    <row r="3611" spans="1:5">
      <c r="A3611" s="247">
        <v>41738.293067129627</v>
      </c>
      <c r="B3611" s="221">
        <v>2</v>
      </c>
      <c r="E3611" s="221">
        <v>106.8</v>
      </c>
    </row>
    <row r="3612" spans="1:5">
      <c r="A3612" s="247">
        <v>41738.334733796299</v>
      </c>
      <c r="B3612" s="221">
        <v>2.5</v>
      </c>
      <c r="E3612" s="221">
        <v>106.8</v>
      </c>
    </row>
    <row r="3613" spans="1:5">
      <c r="A3613" s="247">
        <v>41738.376400462963</v>
      </c>
      <c r="B3613" s="221">
        <v>3.5</v>
      </c>
      <c r="E3613" s="221">
        <v>105.6</v>
      </c>
    </row>
    <row r="3614" spans="1:5">
      <c r="A3614" s="247">
        <v>41738.418067129627</v>
      </c>
      <c r="B3614" s="221">
        <v>7.5</v>
      </c>
      <c r="E3614" s="221">
        <v>94.2</v>
      </c>
    </row>
    <row r="3615" spans="1:5">
      <c r="A3615" s="247">
        <v>41738.459733796299</v>
      </c>
      <c r="B3615" s="221">
        <v>13.5</v>
      </c>
      <c r="E3615" s="221">
        <v>69</v>
      </c>
    </row>
    <row r="3616" spans="1:5">
      <c r="A3616" s="247">
        <v>41738.501400462963</v>
      </c>
      <c r="B3616" s="221">
        <v>18</v>
      </c>
      <c r="E3616" s="221">
        <v>56.4</v>
      </c>
    </row>
    <row r="3617" spans="1:5">
      <c r="A3617" s="247">
        <v>41738.543067129627</v>
      </c>
      <c r="B3617" s="221">
        <v>20.5</v>
      </c>
      <c r="E3617" s="221">
        <v>51</v>
      </c>
    </row>
    <row r="3618" spans="1:5">
      <c r="A3618" s="247">
        <v>41738.584733796299</v>
      </c>
      <c r="B3618" s="221">
        <v>22</v>
      </c>
      <c r="E3618" s="221">
        <v>42.6</v>
      </c>
    </row>
    <row r="3619" spans="1:5">
      <c r="A3619" s="247">
        <v>41738.626400462963</v>
      </c>
      <c r="B3619" s="221">
        <v>19.5</v>
      </c>
      <c r="E3619" s="221">
        <v>43.2</v>
      </c>
    </row>
    <row r="3620" spans="1:5">
      <c r="A3620" s="247">
        <v>41738.668067129627</v>
      </c>
      <c r="B3620" s="221">
        <v>17.5</v>
      </c>
      <c r="E3620" s="221">
        <v>54.6</v>
      </c>
    </row>
    <row r="3621" spans="1:5">
      <c r="A3621" s="247">
        <v>41738.709733796299</v>
      </c>
      <c r="B3621" s="221">
        <v>18.5</v>
      </c>
      <c r="E3621" s="221">
        <v>48.6</v>
      </c>
    </row>
    <row r="3622" spans="1:5">
      <c r="A3622" s="247">
        <v>41738.751400462963</v>
      </c>
      <c r="B3622" s="221">
        <v>18</v>
      </c>
      <c r="E3622" s="221">
        <v>49.8</v>
      </c>
    </row>
    <row r="3623" spans="1:5">
      <c r="A3623" s="247">
        <v>41738.793067129627</v>
      </c>
      <c r="B3623" s="221">
        <v>17</v>
      </c>
      <c r="E3623" s="221">
        <v>52.2</v>
      </c>
    </row>
    <row r="3624" spans="1:5">
      <c r="A3624" s="247">
        <v>41738.834733796299</v>
      </c>
      <c r="B3624" s="221">
        <v>16</v>
      </c>
      <c r="E3624" s="221">
        <v>57.6</v>
      </c>
    </row>
    <row r="3625" spans="1:5">
      <c r="A3625" s="247">
        <v>41738.876400462963</v>
      </c>
      <c r="B3625" s="221">
        <v>15</v>
      </c>
      <c r="E3625" s="221">
        <v>61.2</v>
      </c>
    </row>
    <row r="3626" spans="1:5">
      <c r="A3626" s="247">
        <v>41738.918067129627</v>
      </c>
      <c r="B3626" s="221">
        <v>8</v>
      </c>
      <c r="E3626" s="221">
        <v>93.6</v>
      </c>
    </row>
    <row r="3627" spans="1:5">
      <c r="A3627" s="247">
        <v>41738.959733796299</v>
      </c>
      <c r="B3627" s="221">
        <v>7.5</v>
      </c>
      <c r="E3627" s="221">
        <v>93</v>
      </c>
    </row>
    <row r="3628" spans="1:5">
      <c r="A3628" s="247">
        <v>41739.001400462963</v>
      </c>
      <c r="B3628" s="221">
        <v>7.5</v>
      </c>
      <c r="E3628" s="221">
        <v>88.8</v>
      </c>
    </row>
    <row r="3629" spans="1:5">
      <c r="A3629" s="247">
        <v>41739.043067129627</v>
      </c>
      <c r="B3629" s="221">
        <v>5.5</v>
      </c>
      <c r="E3629" s="221">
        <v>95.4</v>
      </c>
    </row>
    <row r="3630" spans="1:5">
      <c r="A3630" s="247">
        <v>41739.084733796299</v>
      </c>
      <c r="B3630" s="221">
        <v>4.5</v>
      </c>
      <c r="E3630" s="221">
        <v>98.4</v>
      </c>
    </row>
    <row r="3631" spans="1:5">
      <c r="A3631" s="247">
        <v>41739.126400462963</v>
      </c>
      <c r="B3631" s="221">
        <v>4.5</v>
      </c>
      <c r="E3631" s="221">
        <v>99</v>
      </c>
    </row>
    <row r="3632" spans="1:5">
      <c r="A3632" s="247">
        <v>41739.168067129627</v>
      </c>
      <c r="B3632" s="221">
        <v>4</v>
      </c>
      <c r="E3632" s="221">
        <v>100.2</v>
      </c>
    </row>
    <row r="3633" spans="1:5">
      <c r="A3633" s="247">
        <v>41739.209733796299</v>
      </c>
      <c r="B3633" s="221">
        <v>4.5</v>
      </c>
      <c r="E3633" s="221">
        <v>96.6</v>
      </c>
    </row>
    <row r="3634" spans="1:5">
      <c r="A3634" s="247">
        <v>41739.251400462963</v>
      </c>
      <c r="B3634" s="221">
        <v>4.5</v>
      </c>
      <c r="E3634" s="221">
        <v>96</v>
      </c>
    </row>
    <row r="3635" spans="1:5">
      <c r="A3635" s="247">
        <v>41739.293067129627</v>
      </c>
      <c r="B3635" s="221">
        <v>4</v>
      </c>
      <c r="E3635" s="221">
        <v>98.4</v>
      </c>
    </row>
    <row r="3636" spans="1:5">
      <c r="A3636" s="247">
        <v>41739.334733796299</v>
      </c>
      <c r="B3636" s="221">
        <v>3.5</v>
      </c>
      <c r="E3636" s="221">
        <v>99</v>
      </c>
    </row>
    <row r="3637" spans="1:5">
      <c r="A3637" s="247">
        <v>41739.376400462963</v>
      </c>
      <c r="B3637" s="221">
        <v>4</v>
      </c>
      <c r="E3637" s="221">
        <v>98.4</v>
      </c>
    </row>
    <row r="3638" spans="1:5">
      <c r="A3638" s="247">
        <v>41739.418067129627</v>
      </c>
      <c r="B3638" s="221">
        <v>8</v>
      </c>
      <c r="E3638" s="221">
        <v>87</v>
      </c>
    </row>
    <row r="3639" spans="1:5">
      <c r="A3639" s="247">
        <v>41739.459733796299</v>
      </c>
      <c r="B3639" s="221">
        <v>16</v>
      </c>
      <c r="E3639" s="221">
        <v>61.2</v>
      </c>
    </row>
    <row r="3640" spans="1:5">
      <c r="A3640" s="247">
        <v>41739.501400462963</v>
      </c>
      <c r="B3640" s="221">
        <v>20.5</v>
      </c>
      <c r="E3640" s="221">
        <v>46.8</v>
      </c>
    </row>
    <row r="3641" spans="1:5">
      <c r="A3641" s="247">
        <v>41739.543067129627</v>
      </c>
      <c r="B3641" s="221">
        <v>24.5</v>
      </c>
      <c r="E3641" s="221">
        <v>38.4</v>
      </c>
    </row>
    <row r="3642" spans="1:5">
      <c r="A3642" s="247">
        <v>41739.584733796299</v>
      </c>
      <c r="B3642" s="221">
        <v>24</v>
      </c>
      <c r="E3642" s="221">
        <v>33.6</v>
      </c>
    </row>
    <row r="3643" spans="1:5">
      <c r="A3643" s="247">
        <v>41739.626400462963</v>
      </c>
      <c r="B3643" s="221">
        <v>26</v>
      </c>
      <c r="E3643" s="221">
        <v>30.6</v>
      </c>
    </row>
    <row r="3644" spans="1:5">
      <c r="A3644" s="247">
        <v>41739.668067129627</v>
      </c>
      <c r="B3644" s="221">
        <v>22</v>
      </c>
      <c r="E3644" s="221">
        <v>37.799999999999997</v>
      </c>
    </row>
    <row r="3645" spans="1:5">
      <c r="A3645" s="247">
        <v>41739.709733796299</v>
      </c>
      <c r="B3645" s="221">
        <v>23</v>
      </c>
      <c r="E3645" s="221">
        <v>35.4</v>
      </c>
    </row>
    <row r="3646" spans="1:5">
      <c r="A3646" s="247">
        <v>41739.751400462963</v>
      </c>
      <c r="B3646" s="221">
        <v>23</v>
      </c>
      <c r="E3646" s="221">
        <v>34.799999999999997</v>
      </c>
    </row>
    <row r="3647" spans="1:5">
      <c r="A3647" s="247">
        <v>41739.793067129627</v>
      </c>
      <c r="B3647" s="221">
        <v>18.5</v>
      </c>
      <c r="E3647" s="221">
        <v>51</v>
      </c>
    </row>
    <row r="3648" spans="1:5">
      <c r="A3648" s="247">
        <v>41739.834733796299</v>
      </c>
      <c r="B3648" s="221">
        <v>20.5</v>
      </c>
      <c r="E3648" s="221">
        <v>47.4</v>
      </c>
    </row>
    <row r="3649" spans="1:5">
      <c r="A3649" s="247">
        <v>41739.876400462963</v>
      </c>
      <c r="B3649" s="221">
        <v>15.5</v>
      </c>
      <c r="E3649" s="221">
        <v>74.400000000000006</v>
      </c>
    </row>
    <row r="3650" spans="1:5">
      <c r="A3650" s="247">
        <v>41739.918067129627</v>
      </c>
      <c r="B3650" s="221">
        <v>10.5</v>
      </c>
      <c r="E3650" s="221">
        <v>86.4</v>
      </c>
    </row>
    <row r="3651" spans="1:5">
      <c r="A3651" s="247">
        <v>41739.959733796299</v>
      </c>
      <c r="B3651" s="221">
        <v>9.5</v>
      </c>
      <c r="E3651" s="221">
        <v>85.8</v>
      </c>
    </row>
    <row r="3652" spans="1:5">
      <c r="A3652" s="247">
        <v>41740.001400462963</v>
      </c>
      <c r="B3652" s="221">
        <v>10</v>
      </c>
      <c r="E3652" s="221">
        <v>80.400000000000006</v>
      </c>
    </row>
    <row r="3653" spans="1:5">
      <c r="A3653" s="247">
        <v>41740.043067129627</v>
      </c>
      <c r="B3653" s="221">
        <v>9.5</v>
      </c>
      <c r="E3653" s="221">
        <v>84.6</v>
      </c>
    </row>
    <row r="3654" spans="1:5">
      <c r="A3654" s="247">
        <v>41740.084733796299</v>
      </c>
      <c r="B3654" s="221">
        <v>10.5</v>
      </c>
      <c r="E3654" s="221">
        <v>76.2</v>
      </c>
    </row>
    <row r="3655" spans="1:5">
      <c r="A3655" s="247">
        <v>41740.126400462963</v>
      </c>
      <c r="B3655" s="221">
        <v>9</v>
      </c>
      <c r="E3655" s="221">
        <v>85.2</v>
      </c>
    </row>
    <row r="3656" spans="1:5">
      <c r="A3656" s="247">
        <v>41740.168067129627</v>
      </c>
      <c r="B3656" s="221">
        <v>6.5</v>
      </c>
      <c r="E3656" s="221">
        <v>95.4</v>
      </c>
    </row>
    <row r="3657" spans="1:5">
      <c r="A3657" s="247">
        <v>41740.209733796299</v>
      </c>
      <c r="B3657" s="221">
        <v>6.5</v>
      </c>
      <c r="E3657" s="221">
        <v>95.4</v>
      </c>
    </row>
    <row r="3658" spans="1:5">
      <c r="A3658" s="247">
        <v>41740.251400462963</v>
      </c>
      <c r="B3658" s="221">
        <v>4.5</v>
      </c>
      <c r="E3658" s="221">
        <v>102</v>
      </c>
    </row>
    <row r="3659" spans="1:5">
      <c r="A3659" s="247">
        <v>41740.293067129627</v>
      </c>
      <c r="B3659" s="221">
        <v>4.5</v>
      </c>
      <c r="E3659" s="221">
        <v>103.8</v>
      </c>
    </row>
    <row r="3660" spans="1:5">
      <c r="A3660" s="247">
        <v>41740.334733796299</v>
      </c>
      <c r="B3660" s="221">
        <v>7</v>
      </c>
      <c r="E3660" s="221">
        <v>99.6</v>
      </c>
    </row>
    <row r="3661" spans="1:5">
      <c r="A3661" s="247">
        <v>41740.376400462963</v>
      </c>
      <c r="B3661" s="221">
        <v>6.5</v>
      </c>
      <c r="E3661" s="221">
        <v>99.6</v>
      </c>
    </row>
    <row r="3662" spans="1:5">
      <c r="A3662" s="247">
        <v>41740.418067129627</v>
      </c>
      <c r="B3662" s="221">
        <v>9</v>
      </c>
      <c r="E3662" s="221">
        <v>92.4</v>
      </c>
    </row>
    <row r="3663" spans="1:5">
      <c r="A3663" s="247">
        <v>41740.459733796299</v>
      </c>
      <c r="B3663" s="221">
        <v>13.5</v>
      </c>
      <c r="E3663" s="221">
        <v>76.8</v>
      </c>
    </row>
    <row r="3664" spans="1:5">
      <c r="A3664" s="247">
        <v>41740.501400462963</v>
      </c>
      <c r="B3664" s="221">
        <v>15</v>
      </c>
      <c r="E3664" s="221">
        <v>73.2</v>
      </c>
    </row>
    <row r="3665" spans="1:5">
      <c r="A3665" s="247">
        <v>41740.543067129627</v>
      </c>
      <c r="B3665" s="221">
        <v>20</v>
      </c>
      <c r="E3665" s="221">
        <v>60</v>
      </c>
    </row>
    <row r="3666" spans="1:5">
      <c r="A3666" s="247">
        <v>41740.584733796299</v>
      </c>
      <c r="B3666" s="221">
        <v>23.5</v>
      </c>
      <c r="E3666" s="221">
        <v>53.4</v>
      </c>
    </row>
    <row r="3667" spans="1:5">
      <c r="A3667" s="247">
        <v>41740.626400462963</v>
      </c>
      <c r="B3667" s="221">
        <v>23.5</v>
      </c>
      <c r="E3667" s="221">
        <v>49.8</v>
      </c>
    </row>
    <row r="3668" spans="1:5">
      <c r="A3668" s="247">
        <v>41740.668067129627</v>
      </c>
      <c r="B3668" s="221">
        <v>18.5</v>
      </c>
      <c r="E3668" s="221">
        <v>64.8</v>
      </c>
    </row>
    <row r="3669" spans="1:5">
      <c r="A3669" s="247">
        <v>41740.709733796299</v>
      </c>
      <c r="B3669" s="221">
        <v>13</v>
      </c>
      <c r="E3669" s="221">
        <v>96</v>
      </c>
    </row>
    <row r="3670" spans="1:5">
      <c r="A3670" s="247">
        <v>41740.751400462963</v>
      </c>
      <c r="B3670" s="221">
        <v>14.5</v>
      </c>
      <c r="E3670" s="221">
        <v>94.2</v>
      </c>
    </row>
    <row r="3671" spans="1:5">
      <c r="A3671" s="247">
        <v>41740.793067129627</v>
      </c>
      <c r="B3671" s="221">
        <v>18</v>
      </c>
      <c r="E3671" s="221">
        <v>77.400000000000006</v>
      </c>
    </row>
    <row r="3672" spans="1:5">
      <c r="A3672" s="247">
        <v>41740.834733796299</v>
      </c>
      <c r="B3672" s="221">
        <v>17.5</v>
      </c>
      <c r="E3672" s="221">
        <v>80.400000000000006</v>
      </c>
    </row>
    <row r="3673" spans="1:5">
      <c r="A3673" s="247">
        <v>41740.876400462963</v>
      </c>
      <c r="B3673" s="221">
        <v>15.5</v>
      </c>
      <c r="E3673" s="221">
        <v>89.4</v>
      </c>
    </row>
    <row r="3674" spans="1:5">
      <c r="A3674" s="247">
        <v>41740.918067129627</v>
      </c>
      <c r="B3674" s="221">
        <v>11.5</v>
      </c>
      <c r="E3674" s="221">
        <v>98.4</v>
      </c>
    </row>
    <row r="3675" spans="1:5">
      <c r="A3675" s="247">
        <v>41740.959733796299</v>
      </c>
      <c r="B3675" s="221">
        <v>11.5</v>
      </c>
      <c r="E3675" s="221">
        <v>91.8</v>
      </c>
    </row>
    <row r="3676" spans="1:5">
      <c r="A3676" s="247">
        <v>41741.001400462963</v>
      </c>
      <c r="B3676" s="221">
        <v>11</v>
      </c>
      <c r="E3676" s="221">
        <v>94.2</v>
      </c>
    </row>
    <row r="3677" spans="1:5">
      <c r="A3677" s="247">
        <v>41741.043067129627</v>
      </c>
      <c r="B3677" s="221">
        <v>11.5</v>
      </c>
      <c r="E3677" s="221">
        <v>91.2</v>
      </c>
    </row>
    <row r="3678" spans="1:5">
      <c r="A3678" s="247">
        <v>41741.084733796299</v>
      </c>
      <c r="B3678" s="221">
        <v>10</v>
      </c>
      <c r="E3678" s="221">
        <v>94.2</v>
      </c>
    </row>
    <row r="3679" spans="1:5">
      <c r="A3679" s="247">
        <v>41741.126400462963</v>
      </c>
      <c r="B3679" s="221">
        <v>7.5</v>
      </c>
      <c r="E3679" s="221">
        <v>103.2</v>
      </c>
    </row>
    <row r="3680" spans="1:5">
      <c r="A3680" s="247">
        <v>41741.168067129627</v>
      </c>
      <c r="B3680" s="221">
        <v>7.5</v>
      </c>
      <c r="E3680" s="221">
        <v>102</v>
      </c>
    </row>
    <row r="3681" spans="1:5">
      <c r="A3681" s="247">
        <v>41741.209733796299</v>
      </c>
      <c r="B3681" s="221">
        <v>6.5</v>
      </c>
      <c r="E3681" s="221">
        <v>102.6</v>
      </c>
    </row>
    <row r="3682" spans="1:5">
      <c r="A3682" s="247">
        <v>41741.251400462963</v>
      </c>
      <c r="B3682" s="221">
        <v>6</v>
      </c>
      <c r="E3682" s="221">
        <v>103.8</v>
      </c>
    </row>
    <row r="3683" spans="1:5">
      <c r="A3683" s="247">
        <v>41741.293067129627</v>
      </c>
      <c r="B3683" s="221">
        <v>4.5</v>
      </c>
      <c r="E3683" s="221">
        <v>105.6</v>
      </c>
    </row>
    <row r="3684" spans="1:5">
      <c r="A3684" s="247">
        <v>41741.334733796299</v>
      </c>
      <c r="B3684" s="221">
        <v>4</v>
      </c>
      <c r="E3684" s="221">
        <v>106.2</v>
      </c>
    </row>
    <row r="3685" spans="1:5">
      <c r="A3685" s="247">
        <v>41741.376400462963</v>
      </c>
      <c r="B3685" s="221">
        <v>5</v>
      </c>
      <c r="E3685" s="221">
        <v>106.2</v>
      </c>
    </row>
    <row r="3686" spans="1:5">
      <c r="A3686" s="247">
        <v>41741.418067129627</v>
      </c>
      <c r="B3686" s="221">
        <v>9</v>
      </c>
      <c r="E3686" s="221">
        <v>98.4</v>
      </c>
    </row>
    <row r="3687" spans="1:5">
      <c r="A3687" s="247">
        <v>41741.459733796299</v>
      </c>
      <c r="B3687" s="221">
        <v>14</v>
      </c>
      <c r="E3687" s="221">
        <v>79.2</v>
      </c>
    </row>
    <row r="3688" spans="1:5">
      <c r="A3688" s="247">
        <v>41741.501400462963</v>
      </c>
      <c r="B3688" s="221">
        <v>18</v>
      </c>
      <c r="E3688" s="221">
        <v>68.400000000000006</v>
      </c>
    </row>
    <row r="3689" spans="1:5">
      <c r="A3689" s="247">
        <v>41741.543067129627</v>
      </c>
      <c r="B3689" s="221">
        <v>21</v>
      </c>
      <c r="E3689" s="221">
        <v>57.6</v>
      </c>
    </row>
    <row r="3690" spans="1:5">
      <c r="A3690" s="247">
        <v>41741.584733796299</v>
      </c>
      <c r="B3690" s="221">
        <v>22.5</v>
      </c>
      <c r="E3690" s="221">
        <v>48.6</v>
      </c>
    </row>
    <row r="3691" spans="1:5">
      <c r="A3691" s="247">
        <v>41741.626400462963</v>
      </c>
      <c r="B3691" s="221">
        <v>22.5</v>
      </c>
      <c r="E3691" s="221">
        <v>49.2</v>
      </c>
    </row>
    <row r="3692" spans="1:5">
      <c r="A3692" s="247">
        <v>41741.668067129627</v>
      </c>
      <c r="B3692" s="221">
        <v>21</v>
      </c>
      <c r="E3692" s="221">
        <v>57</v>
      </c>
    </row>
    <row r="3693" spans="1:5">
      <c r="A3693" s="247">
        <v>41741.709733796299</v>
      </c>
      <c r="B3693" s="221">
        <v>20.5</v>
      </c>
      <c r="E3693" s="221">
        <v>51</v>
      </c>
    </row>
    <row r="3694" spans="1:5">
      <c r="A3694" s="247">
        <v>41741.751400462963</v>
      </c>
      <c r="B3694" s="221">
        <v>20.5</v>
      </c>
      <c r="E3694" s="221">
        <v>46.8</v>
      </c>
    </row>
    <row r="3695" spans="1:5">
      <c r="A3695" s="247">
        <v>41741.793067129627</v>
      </c>
      <c r="B3695" s="221">
        <v>19.5</v>
      </c>
      <c r="E3695" s="221">
        <v>51.6</v>
      </c>
    </row>
    <row r="3696" spans="1:5">
      <c r="A3696" s="247">
        <v>41741.834733796299</v>
      </c>
      <c r="B3696" s="221">
        <v>17.5</v>
      </c>
      <c r="E3696" s="221">
        <v>74.400000000000006</v>
      </c>
    </row>
    <row r="3697" spans="1:5">
      <c r="A3697" s="247">
        <v>41741.876400462963</v>
      </c>
      <c r="B3697" s="221">
        <v>14.5</v>
      </c>
      <c r="E3697" s="221">
        <v>77.400000000000006</v>
      </c>
    </row>
    <row r="3698" spans="1:5">
      <c r="A3698" s="247">
        <v>41741.918067129627</v>
      </c>
      <c r="B3698" s="221">
        <v>11.5</v>
      </c>
      <c r="E3698" s="221">
        <v>96.6</v>
      </c>
    </row>
    <row r="3699" spans="1:5">
      <c r="A3699" s="247">
        <v>41741.959733796299</v>
      </c>
      <c r="B3699" s="221">
        <v>10.5</v>
      </c>
      <c r="E3699" s="221">
        <v>98.4</v>
      </c>
    </row>
    <row r="3700" spans="1:5">
      <c r="A3700" s="247">
        <v>41742.001400462963</v>
      </c>
      <c r="B3700" s="221">
        <v>8.5</v>
      </c>
      <c r="E3700" s="221">
        <v>101.4</v>
      </c>
    </row>
    <row r="3701" spans="1:5">
      <c r="A3701" s="247">
        <v>41742.043067129627</v>
      </c>
      <c r="B3701" s="221">
        <v>7.5</v>
      </c>
      <c r="E3701" s="221">
        <v>102.6</v>
      </c>
    </row>
    <row r="3702" spans="1:5">
      <c r="A3702" s="247">
        <v>41742.084733796299</v>
      </c>
      <c r="B3702" s="221">
        <v>7</v>
      </c>
      <c r="E3702" s="221">
        <v>102.6</v>
      </c>
    </row>
    <row r="3703" spans="1:5">
      <c r="A3703" s="247">
        <v>41742.126400462963</v>
      </c>
      <c r="B3703" s="221">
        <v>8</v>
      </c>
      <c r="E3703" s="221">
        <v>100.8</v>
      </c>
    </row>
    <row r="3704" spans="1:5">
      <c r="A3704" s="247">
        <v>41742.168067129627</v>
      </c>
      <c r="B3704" s="221">
        <v>6</v>
      </c>
      <c r="E3704" s="221">
        <v>103.8</v>
      </c>
    </row>
    <row r="3705" spans="1:5">
      <c r="A3705" s="247">
        <v>41742.209733796299</v>
      </c>
      <c r="B3705" s="221">
        <v>7</v>
      </c>
      <c r="E3705" s="221">
        <v>103.2</v>
      </c>
    </row>
    <row r="3706" spans="1:5">
      <c r="A3706" s="247">
        <v>41742.251400462963</v>
      </c>
      <c r="B3706" s="221">
        <v>7</v>
      </c>
      <c r="E3706" s="221">
        <v>103.8</v>
      </c>
    </row>
    <row r="3707" spans="1:5">
      <c r="A3707" s="247">
        <v>41742.293067129627</v>
      </c>
      <c r="B3707" s="221">
        <v>7.5</v>
      </c>
      <c r="E3707" s="221">
        <v>103.8</v>
      </c>
    </row>
    <row r="3708" spans="1:5">
      <c r="A3708" s="247">
        <v>41742.334733796299</v>
      </c>
      <c r="B3708" s="221">
        <v>6.5</v>
      </c>
      <c r="E3708" s="221">
        <v>103.8</v>
      </c>
    </row>
    <row r="3709" spans="1:5">
      <c r="A3709" s="247">
        <v>41742.376400462963</v>
      </c>
      <c r="B3709" s="221">
        <v>6</v>
      </c>
      <c r="E3709" s="221">
        <v>105</v>
      </c>
    </row>
    <row r="3710" spans="1:5">
      <c r="A3710" s="247">
        <v>41742.418067129627</v>
      </c>
      <c r="B3710" s="221">
        <v>9.5</v>
      </c>
      <c r="E3710" s="221">
        <v>96.6</v>
      </c>
    </row>
    <row r="3711" spans="1:5">
      <c r="A3711" s="247">
        <v>41742.459733796299</v>
      </c>
      <c r="B3711" s="221">
        <v>14.5</v>
      </c>
      <c r="E3711" s="221">
        <v>79.2</v>
      </c>
    </row>
    <row r="3712" spans="1:5">
      <c r="A3712" s="247">
        <v>41742.501400462963</v>
      </c>
      <c r="B3712" s="221">
        <v>17</v>
      </c>
      <c r="E3712" s="221">
        <v>68.400000000000006</v>
      </c>
    </row>
    <row r="3713" spans="1:5">
      <c r="A3713" s="247">
        <v>41742.543067129627</v>
      </c>
      <c r="B3713" s="221">
        <v>19.5</v>
      </c>
      <c r="E3713" s="221">
        <v>59.4</v>
      </c>
    </row>
    <row r="3714" spans="1:5">
      <c r="A3714" s="247">
        <v>41742.584733796299</v>
      </c>
      <c r="B3714" s="221">
        <v>24</v>
      </c>
      <c r="E3714" s="221">
        <v>47.4</v>
      </c>
    </row>
    <row r="3715" spans="1:5">
      <c r="A3715" s="247">
        <v>41742.626400462963</v>
      </c>
      <c r="B3715" s="221">
        <v>19</v>
      </c>
      <c r="E3715" s="221">
        <v>56.4</v>
      </c>
    </row>
    <row r="3716" spans="1:5">
      <c r="A3716" s="247">
        <v>41742.668067129627</v>
      </c>
      <c r="B3716" s="221">
        <v>18.5</v>
      </c>
      <c r="E3716" s="221">
        <v>57</v>
      </c>
    </row>
    <row r="3717" spans="1:5">
      <c r="A3717" s="247">
        <v>41742.709733796299</v>
      </c>
      <c r="B3717" s="221">
        <v>19.5</v>
      </c>
      <c r="E3717" s="221">
        <v>51.6</v>
      </c>
    </row>
    <row r="3718" spans="1:5">
      <c r="A3718" s="247">
        <v>41742.751400462963</v>
      </c>
      <c r="B3718" s="221">
        <v>18.5</v>
      </c>
      <c r="E3718" s="221">
        <v>54</v>
      </c>
    </row>
    <row r="3719" spans="1:5">
      <c r="A3719" s="247">
        <v>41742.793067129627</v>
      </c>
      <c r="B3719" s="221">
        <v>17.5</v>
      </c>
      <c r="E3719" s="221">
        <v>56.4</v>
      </c>
    </row>
    <row r="3720" spans="1:5">
      <c r="A3720" s="247">
        <v>41742.834733796299</v>
      </c>
      <c r="B3720" s="221">
        <v>17</v>
      </c>
      <c r="E3720" s="221">
        <v>57.6</v>
      </c>
    </row>
    <row r="3721" spans="1:5">
      <c r="A3721" s="247">
        <v>41742.876400462963</v>
      </c>
      <c r="B3721" s="221">
        <v>14</v>
      </c>
      <c r="E3721" s="221">
        <v>69.599999999999994</v>
      </c>
    </row>
    <row r="3722" spans="1:5">
      <c r="A3722" s="247">
        <v>41742.918067129627</v>
      </c>
      <c r="B3722" s="221">
        <v>8.5</v>
      </c>
      <c r="E3722" s="221">
        <v>96</v>
      </c>
    </row>
    <row r="3723" spans="1:5">
      <c r="A3723" s="247">
        <v>41742.959733796299</v>
      </c>
      <c r="B3723" s="221">
        <v>7.5</v>
      </c>
      <c r="E3723" s="221">
        <v>100.2</v>
      </c>
    </row>
    <row r="3724" spans="1:5">
      <c r="A3724" s="247">
        <v>41743.001400462963</v>
      </c>
      <c r="B3724" s="221">
        <v>7</v>
      </c>
      <c r="E3724" s="221">
        <v>101.4</v>
      </c>
    </row>
    <row r="3725" spans="1:5">
      <c r="A3725" s="247">
        <v>41743.043067129627</v>
      </c>
      <c r="B3725" s="221">
        <v>6</v>
      </c>
      <c r="E3725" s="221">
        <v>103.8</v>
      </c>
    </row>
    <row r="3726" spans="1:5">
      <c r="A3726" s="247">
        <v>41743.084733796299</v>
      </c>
      <c r="B3726" s="221">
        <v>4</v>
      </c>
      <c r="E3726" s="221">
        <v>105</v>
      </c>
    </row>
    <row r="3727" spans="1:5">
      <c r="A3727" s="247">
        <v>41743.126400462963</v>
      </c>
      <c r="B3727" s="221">
        <v>3.5</v>
      </c>
      <c r="E3727" s="221">
        <v>106.2</v>
      </c>
    </row>
    <row r="3728" spans="1:5">
      <c r="A3728" s="247">
        <v>41743.168067129627</v>
      </c>
      <c r="B3728" s="221">
        <v>3.5</v>
      </c>
      <c r="E3728" s="221">
        <v>106.2</v>
      </c>
    </row>
    <row r="3729" spans="1:5">
      <c r="A3729" s="247">
        <v>41743.209733796299</v>
      </c>
      <c r="B3729" s="221">
        <v>2.5</v>
      </c>
      <c r="E3729" s="221">
        <v>106.2</v>
      </c>
    </row>
    <row r="3730" spans="1:5">
      <c r="A3730" s="247">
        <v>41743.251400462963</v>
      </c>
      <c r="B3730" s="221">
        <v>2</v>
      </c>
      <c r="E3730" s="221">
        <v>106.8</v>
      </c>
    </row>
    <row r="3731" spans="1:5">
      <c r="A3731" s="247">
        <v>41743.293067129627</v>
      </c>
      <c r="B3731" s="221">
        <v>1.5</v>
      </c>
      <c r="E3731" s="221">
        <v>106.8</v>
      </c>
    </row>
    <row r="3732" spans="1:5">
      <c r="A3732" s="247">
        <v>41743.334733796299</v>
      </c>
      <c r="B3732" s="221">
        <v>1.5</v>
      </c>
      <c r="E3732" s="221">
        <v>106.8</v>
      </c>
    </row>
    <row r="3733" spans="1:5">
      <c r="A3733" s="247">
        <v>41743.376400462963</v>
      </c>
      <c r="B3733" s="221">
        <v>2.5</v>
      </c>
      <c r="E3733" s="221">
        <v>107.4</v>
      </c>
    </row>
    <row r="3734" spans="1:5">
      <c r="A3734" s="247">
        <v>41743.418067129627</v>
      </c>
      <c r="B3734" s="221">
        <v>8</v>
      </c>
      <c r="E3734" s="221">
        <v>105.6</v>
      </c>
    </row>
    <row r="3735" spans="1:5">
      <c r="A3735" s="247">
        <v>41743.459733796299</v>
      </c>
      <c r="B3735" s="221">
        <v>13</v>
      </c>
      <c r="E3735" s="221">
        <v>75.599999999999994</v>
      </c>
    </row>
    <row r="3736" spans="1:5">
      <c r="A3736" s="247">
        <v>41743.501400462963</v>
      </c>
      <c r="B3736" s="221">
        <v>17.5</v>
      </c>
      <c r="E3736" s="221">
        <v>63</v>
      </c>
    </row>
    <row r="3737" spans="1:5">
      <c r="A3737" s="247">
        <v>41743.543067129627</v>
      </c>
      <c r="B3737" s="221">
        <v>21.5</v>
      </c>
      <c r="E3737" s="221">
        <v>52.8</v>
      </c>
    </row>
    <row r="3738" spans="1:5">
      <c r="A3738" s="247">
        <v>41743.584733796299</v>
      </c>
      <c r="B3738" s="221">
        <v>22</v>
      </c>
      <c r="E3738" s="221">
        <v>48</v>
      </c>
    </row>
    <row r="3739" spans="1:5">
      <c r="A3739" s="247">
        <v>41743.626400462963</v>
      </c>
      <c r="B3739" s="221">
        <v>21</v>
      </c>
      <c r="E3739" s="221">
        <v>50.4</v>
      </c>
    </row>
    <row r="3740" spans="1:5">
      <c r="A3740" s="247">
        <v>41743.668067129627</v>
      </c>
      <c r="B3740" s="221">
        <v>19.5</v>
      </c>
      <c r="E3740" s="221">
        <v>52.8</v>
      </c>
    </row>
    <row r="3741" spans="1:5">
      <c r="A3741" s="247">
        <v>41743.709733796299</v>
      </c>
      <c r="B3741" s="221">
        <v>20</v>
      </c>
      <c r="E3741" s="221">
        <v>52.8</v>
      </c>
    </row>
    <row r="3742" spans="1:5">
      <c r="A3742" s="247">
        <v>41743.751400462963</v>
      </c>
      <c r="B3742" s="221">
        <v>20</v>
      </c>
      <c r="E3742" s="221">
        <v>52.2</v>
      </c>
    </row>
    <row r="3743" spans="1:5">
      <c r="A3743" s="247">
        <v>41743.793067129627</v>
      </c>
      <c r="B3743" s="221">
        <v>19.5</v>
      </c>
      <c r="E3743" s="221">
        <v>52.2</v>
      </c>
    </row>
    <row r="3744" spans="1:5">
      <c r="A3744" s="247">
        <v>41743.834733796299</v>
      </c>
      <c r="B3744" s="221">
        <v>18.5</v>
      </c>
      <c r="E3744" s="221">
        <v>55.2</v>
      </c>
    </row>
    <row r="3745" spans="1:5">
      <c r="A3745" s="247">
        <v>41743.876400462963</v>
      </c>
      <c r="B3745" s="221">
        <v>14.5</v>
      </c>
      <c r="E3745" s="221">
        <v>70.2</v>
      </c>
    </row>
    <row r="3746" spans="1:5">
      <c r="A3746" s="247">
        <v>41743.918067129627</v>
      </c>
      <c r="B3746" s="221">
        <v>10</v>
      </c>
      <c r="E3746" s="221">
        <v>84</v>
      </c>
    </row>
    <row r="3747" spans="1:5">
      <c r="A3747" s="247">
        <v>41743.959733796299</v>
      </c>
      <c r="B3747" s="221">
        <v>9</v>
      </c>
      <c r="E3747" s="221">
        <v>87</v>
      </c>
    </row>
    <row r="3748" spans="1:5">
      <c r="A3748" s="247">
        <v>41744.001400462963</v>
      </c>
      <c r="B3748" s="221">
        <v>8</v>
      </c>
      <c r="E3748" s="221">
        <v>91.8</v>
      </c>
    </row>
    <row r="3749" spans="1:5">
      <c r="A3749" s="247">
        <v>41744.043067129627</v>
      </c>
      <c r="B3749" s="221">
        <v>7</v>
      </c>
      <c r="E3749" s="221">
        <v>93</v>
      </c>
    </row>
    <row r="3750" spans="1:5">
      <c r="A3750" s="247">
        <v>41744.084733796299</v>
      </c>
      <c r="B3750" s="221">
        <v>8.5</v>
      </c>
      <c r="E3750" s="221">
        <v>78.599999999999994</v>
      </c>
    </row>
    <row r="3751" spans="1:5">
      <c r="A3751" s="247">
        <v>41744.126400462963</v>
      </c>
      <c r="B3751" s="221">
        <v>7.5</v>
      </c>
      <c r="E3751" s="221">
        <v>80.400000000000006</v>
      </c>
    </row>
    <row r="3752" spans="1:5">
      <c r="A3752" s="247">
        <v>41744.168067129627</v>
      </c>
      <c r="B3752" s="221">
        <v>6</v>
      </c>
      <c r="E3752" s="221">
        <v>85.8</v>
      </c>
    </row>
    <row r="3753" spans="1:5">
      <c r="A3753" s="247">
        <v>41744.209733796299</v>
      </c>
      <c r="B3753" s="221">
        <v>6</v>
      </c>
      <c r="E3753" s="221">
        <v>85.2</v>
      </c>
    </row>
    <row r="3754" spans="1:5">
      <c r="A3754" s="247">
        <v>41744.251400462963</v>
      </c>
      <c r="B3754" s="221">
        <v>4</v>
      </c>
      <c r="E3754" s="221">
        <v>91.2</v>
      </c>
    </row>
    <row r="3755" spans="1:5">
      <c r="A3755" s="247">
        <v>41744.293067129627</v>
      </c>
      <c r="B3755" s="221">
        <v>3</v>
      </c>
      <c r="E3755" s="221">
        <v>92.4</v>
      </c>
    </row>
    <row r="3756" spans="1:5">
      <c r="A3756" s="247">
        <v>41744.334733796299</v>
      </c>
      <c r="B3756" s="221">
        <v>3</v>
      </c>
      <c r="E3756" s="221">
        <v>91.2</v>
      </c>
    </row>
    <row r="3757" spans="1:5">
      <c r="A3757" s="247">
        <v>41744.376400462963</v>
      </c>
      <c r="B3757" s="221">
        <v>3</v>
      </c>
      <c r="E3757" s="221">
        <v>93</v>
      </c>
    </row>
    <row r="3758" spans="1:5">
      <c r="A3758" s="247">
        <v>41744.418067129627</v>
      </c>
      <c r="B3758" s="221">
        <v>6</v>
      </c>
      <c r="E3758" s="221">
        <v>83.4</v>
      </c>
    </row>
    <row r="3759" spans="1:5">
      <c r="A3759" s="247">
        <v>41744.459733796299</v>
      </c>
      <c r="B3759" s="221">
        <v>11.5</v>
      </c>
      <c r="E3759" s="221">
        <v>64.2</v>
      </c>
    </row>
    <row r="3760" spans="1:5">
      <c r="A3760" s="247">
        <v>41744.501400462963</v>
      </c>
      <c r="B3760" s="221">
        <v>14.5</v>
      </c>
      <c r="E3760" s="221">
        <v>52.8</v>
      </c>
    </row>
    <row r="3761" spans="1:5">
      <c r="A3761" s="247">
        <v>41744.543067129627</v>
      </c>
      <c r="B3761" s="221">
        <v>16</v>
      </c>
      <c r="E3761" s="221">
        <v>47.4</v>
      </c>
    </row>
    <row r="3762" spans="1:5">
      <c r="A3762" s="247">
        <v>41744.584733796299</v>
      </c>
      <c r="B3762" s="221">
        <v>19.5</v>
      </c>
      <c r="E3762" s="221">
        <v>40.200000000000003</v>
      </c>
    </row>
    <row r="3763" spans="1:5">
      <c r="A3763" s="247">
        <v>41744.626400462963</v>
      </c>
      <c r="B3763" s="221">
        <v>16.5</v>
      </c>
      <c r="E3763" s="221">
        <v>44.4</v>
      </c>
    </row>
    <row r="3764" spans="1:5">
      <c r="A3764" s="247">
        <v>41744.668067129627</v>
      </c>
      <c r="B3764" s="221">
        <v>16</v>
      </c>
      <c r="E3764" s="221">
        <v>46.2</v>
      </c>
    </row>
    <row r="3765" spans="1:5">
      <c r="A3765" s="247">
        <v>41744.709733796299</v>
      </c>
      <c r="B3765" s="221">
        <v>17</v>
      </c>
      <c r="E3765" s="221">
        <v>39.6</v>
      </c>
    </row>
    <row r="3766" spans="1:5">
      <c r="A3766" s="247">
        <v>41744.751400462963</v>
      </c>
      <c r="B3766" s="221">
        <v>17</v>
      </c>
      <c r="E3766" s="221">
        <v>40.799999999999997</v>
      </c>
    </row>
    <row r="3767" spans="1:5">
      <c r="A3767" s="247">
        <v>41744.793067129627</v>
      </c>
      <c r="B3767" s="221">
        <v>16</v>
      </c>
      <c r="E3767" s="221">
        <v>40.200000000000003</v>
      </c>
    </row>
    <row r="3768" spans="1:5">
      <c r="A3768" s="247">
        <v>41744.834733796299</v>
      </c>
      <c r="B3768" s="221">
        <v>16</v>
      </c>
      <c r="E3768" s="221">
        <v>45</v>
      </c>
    </row>
    <row r="3769" spans="1:5">
      <c r="A3769" s="247">
        <v>41744.876400462963</v>
      </c>
      <c r="B3769" s="221">
        <v>13</v>
      </c>
      <c r="E3769" s="221">
        <v>51.6</v>
      </c>
    </row>
    <row r="3770" spans="1:5">
      <c r="A3770" s="247">
        <v>41744.918067129627</v>
      </c>
      <c r="B3770" s="221">
        <v>9.5</v>
      </c>
      <c r="E3770" s="221">
        <v>61.8</v>
      </c>
    </row>
    <row r="3771" spans="1:5">
      <c r="A3771" s="247">
        <v>41744.959733796299</v>
      </c>
      <c r="B3771" s="221">
        <v>6.5</v>
      </c>
      <c r="E3771" s="221">
        <v>78</v>
      </c>
    </row>
    <row r="3772" spans="1:5">
      <c r="A3772" s="247">
        <v>41745.001400462963</v>
      </c>
      <c r="B3772" s="221">
        <v>5.5</v>
      </c>
      <c r="E3772" s="221">
        <v>80.400000000000006</v>
      </c>
    </row>
    <row r="3773" spans="1:5">
      <c r="A3773" s="247">
        <v>41745.043067129627</v>
      </c>
      <c r="B3773" s="221">
        <v>5</v>
      </c>
      <c r="E3773" s="221">
        <v>85.8</v>
      </c>
    </row>
    <row r="3774" spans="1:5">
      <c r="A3774" s="247">
        <v>41745.084733796299</v>
      </c>
      <c r="B3774" s="221">
        <v>4</v>
      </c>
      <c r="E3774" s="221">
        <v>88.2</v>
      </c>
    </row>
    <row r="3775" spans="1:5">
      <c r="A3775" s="247">
        <v>41745.126400462963</v>
      </c>
      <c r="B3775" s="221">
        <v>4</v>
      </c>
      <c r="E3775" s="221">
        <v>86.4</v>
      </c>
    </row>
    <row r="3776" spans="1:5">
      <c r="A3776" s="247">
        <v>41745.168067129627</v>
      </c>
      <c r="B3776" s="221">
        <v>2.5</v>
      </c>
      <c r="E3776" s="221">
        <v>95.4</v>
      </c>
    </row>
    <row r="3777" spans="1:5">
      <c r="A3777" s="247">
        <v>41745.209733796299</v>
      </c>
      <c r="B3777" s="221">
        <v>3</v>
      </c>
      <c r="E3777" s="221">
        <v>91.8</v>
      </c>
    </row>
    <row r="3778" spans="1:5">
      <c r="A3778" s="247">
        <v>41745.251400462963</v>
      </c>
      <c r="B3778" s="221">
        <v>2</v>
      </c>
      <c r="E3778" s="221">
        <v>97.2</v>
      </c>
    </row>
    <row r="3779" spans="1:5">
      <c r="A3779" s="247">
        <v>41745.293067129627</v>
      </c>
      <c r="B3779" s="221">
        <v>1</v>
      </c>
      <c r="E3779" s="221">
        <v>99</v>
      </c>
    </row>
    <row r="3780" spans="1:5">
      <c r="A3780" s="247">
        <v>41745.334733796299</v>
      </c>
      <c r="B3780" s="221">
        <v>0.5</v>
      </c>
      <c r="E3780" s="221">
        <v>101.4</v>
      </c>
    </row>
    <row r="3781" spans="1:5">
      <c r="A3781" s="247">
        <v>41745.376400462963</v>
      </c>
      <c r="B3781" s="221">
        <v>1.5</v>
      </c>
      <c r="E3781" s="221">
        <v>98.4</v>
      </c>
    </row>
    <row r="3782" spans="1:5">
      <c r="A3782" s="247">
        <v>41745.418067129627</v>
      </c>
      <c r="B3782" s="221">
        <v>5</v>
      </c>
      <c r="E3782" s="221">
        <v>87</v>
      </c>
    </row>
    <row r="3783" spans="1:5">
      <c r="A3783" s="247">
        <v>41745.459733796299</v>
      </c>
      <c r="B3783" s="221">
        <v>13</v>
      </c>
      <c r="E3783" s="221">
        <v>55.2</v>
      </c>
    </row>
    <row r="3784" spans="1:5">
      <c r="A3784" s="247">
        <v>41745.501400462963</v>
      </c>
      <c r="B3784" s="221">
        <v>16</v>
      </c>
      <c r="E3784" s="221">
        <v>45.6</v>
      </c>
    </row>
    <row r="3785" spans="1:5">
      <c r="A3785" s="247">
        <v>41745.543067129627</v>
      </c>
      <c r="B3785" s="221">
        <v>17</v>
      </c>
      <c r="E3785" s="221">
        <v>40.799999999999997</v>
      </c>
    </row>
    <row r="3786" spans="1:5">
      <c r="A3786" s="247">
        <v>41745.584733796299</v>
      </c>
      <c r="B3786" s="221">
        <v>21</v>
      </c>
      <c r="E3786" s="221">
        <v>33.6</v>
      </c>
    </row>
    <row r="3787" spans="1:5">
      <c r="A3787" s="247">
        <v>41745.626400462963</v>
      </c>
      <c r="B3787" s="221">
        <v>19</v>
      </c>
      <c r="E3787" s="221">
        <v>35.4</v>
      </c>
    </row>
    <row r="3788" spans="1:5">
      <c r="A3788" s="247">
        <v>41745.668067129627</v>
      </c>
      <c r="B3788" s="221">
        <v>17.5</v>
      </c>
      <c r="E3788" s="221">
        <v>36.6</v>
      </c>
    </row>
    <row r="3789" spans="1:5">
      <c r="A3789" s="247">
        <v>41745.709733796299</v>
      </c>
      <c r="B3789" s="221">
        <v>19</v>
      </c>
      <c r="E3789" s="221">
        <v>36</v>
      </c>
    </row>
    <row r="3790" spans="1:5">
      <c r="A3790" s="247">
        <v>41745.751400462963</v>
      </c>
      <c r="B3790" s="221">
        <v>18.5</v>
      </c>
      <c r="E3790" s="221">
        <v>33</v>
      </c>
    </row>
    <row r="3791" spans="1:5">
      <c r="A3791" s="247">
        <v>41745.793067129627</v>
      </c>
      <c r="B3791" s="221">
        <v>18.5</v>
      </c>
      <c r="E3791" s="221">
        <v>36</v>
      </c>
    </row>
    <row r="3792" spans="1:5">
      <c r="A3792" s="247">
        <v>41745.834733796299</v>
      </c>
      <c r="B3792" s="221">
        <v>18</v>
      </c>
      <c r="E3792" s="221">
        <v>37.799999999999997</v>
      </c>
    </row>
    <row r="3793" spans="1:5">
      <c r="A3793" s="247">
        <v>41745.876400462963</v>
      </c>
      <c r="B3793" s="221">
        <v>14.5</v>
      </c>
      <c r="E3793" s="221">
        <v>47.4</v>
      </c>
    </row>
    <row r="3794" spans="1:5">
      <c r="A3794" s="247">
        <v>41745.918067129627</v>
      </c>
      <c r="B3794" s="221">
        <v>9</v>
      </c>
      <c r="E3794" s="221">
        <v>71.400000000000006</v>
      </c>
    </row>
    <row r="3795" spans="1:5">
      <c r="A3795" s="247">
        <v>41745.959733796299</v>
      </c>
      <c r="B3795" s="221">
        <v>7</v>
      </c>
      <c r="E3795" s="221">
        <v>78</v>
      </c>
    </row>
    <row r="3796" spans="1:5">
      <c r="A3796" s="247">
        <v>41746.001400462963</v>
      </c>
      <c r="B3796" s="221">
        <v>7.5</v>
      </c>
      <c r="E3796" s="221">
        <v>72</v>
      </c>
    </row>
    <row r="3797" spans="1:5">
      <c r="A3797" s="247">
        <v>41746.043067129627</v>
      </c>
      <c r="B3797" s="221">
        <v>3.5</v>
      </c>
      <c r="E3797" s="221">
        <v>92.4</v>
      </c>
    </row>
    <row r="3798" spans="1:5">
      <c r="A3798" s="247">
        <v>41746.084733796299</v>
      </c>
      <c r="B3798" s="221">
        <v>3</v>
      </c>
      <c r="E3798" s="221">
        <v>92.4</v>
      </c>
    </row>
    <row r="3799" spans="1:5">
      <c r="A3799" s="247">
        <v>41746.126400462963</v>
      </c>
      <c r="B3799" s="221">
        <v>4</v>
      </c>
      <c r="E3799" s="221">
        <v>85.2</v>
      </c>
    </row>
    <row r="3800" spans="1:5">
      <c r="A3800" s="247">
        <v>41746.168067129627</v>
      </c>
      <c r="B3800" s="221">
        <v>2</v>
      </c>
      <c r="E3800" s="221">
        <v>94.2</v>
      </c>
    </row>
    <row r="3801" spans="1:5">
      <c r="A3801" s="247">
        <v>41746.209733796299</v>
      </c>
      <c r="B3801" s="221">
        <v>1.5</v>
      </c>
      <c r="E3801" s="221">
        <v>97.2</v>
      </c>
    </row>
    <row r="3802" spans="1:5">
      <c r="A3802" s="247">
        <v>41746.251400462963</v>
      </c>
      <c r="B3802" s="221">
        <v>1</v>
      </c>
      <c r="E3802" s="221">
        <v>97.2</v>
      </c>
    </row>
    <row r="3803" spans="1:5">
      <c r="A3803" s="247">
        <v>41746.293067129627</v>
      </c>
      <c r="B3803" s="221">
        <v>0</v>
      </c>
      <c r="E3803" s="221">
        <v>100.8</v>
      </c>
    </row>
    <row r="3804" spans="1:5">
      <c r="A3804" s="247">
        <v>41746.334733796299</v>
      </c>
      <c r="B3804" s="221">
        <v>0.5</v>
      </c>
      <c r="E3804" s="221">
        <v>99</v>
      </c>
    </row>
    <row r="3805" spans="1:5">
      <c r="A3805" s="247">
        <v>41746.376400462963</v>
      </c>
      <c r="B3805" s="221">
        <v>2</v>
      </c>
      <c r="E3805" s="221">
        <v>96</v>
      </c>
    </row>
    <row r="3806" spans="1:5">
      <c r="A3806" s="247">
        <v>41746.418067129627</v>
      </c>
      <c r="B3806" s="221">
        <v>7</v>
      </c>
      <c r="E3806" s="221">
        <v>76.8</v>
      </c>
    </row>
    <row r="3807" spans="1:5">
      <c r="A3807" s="247">
        <v>41746.459733796299</v>
      </c>
      <c r="B3807" s="221">
        <v>15</v>
      </c>
      <c r="E3807" s="221">
        <v>52.8</v>
      </c>
    </row>
    <row r="3808" spans="1:5">
      <c r="A3808" s="247">
        <v>41746.501400462963</v>
      </c>
      <c r="B3808" s="221">
        <v>19.5</v>
      </c>
      <c r="E3808" s="221">
        <v>39.6</v>
      </c>
    </row>
    <row r="3809" spans="1:5">
      <c r="A3809" s="247">
        <v>41746.543067129627</v>
      </c>
      <c r="B3809" s="221">
        <v>19.5</v>
      </c>
      <c r="E3809" s="221">
        <v>36</v>
      </c>
    </row>
    <row r="3810" spans="1:5">
      <c r="A3810" s="247">
        <v>41746.584733796299</v>
      </c>
      <c r="B3810" s="221">
        <v>23</v>
      </c>
      <c r="E3810" s="221">
        <v>31.8</v>
      </c>
    </row>
    <row r="3811" spans="1:5">
      <c r="A3811" s="247">
        <v>41746.626400462963</v>
      </c>
      <c r="B3811" s="221">
        <v>21</v>
      </c>
      <c r="E3811" s="221">
        <v>36.6</v>
      </c>
    </row>
    <row r="3812" spans="1:5">
      <c r="A3812" s="247">
        <v>41746.668067129627</v>
      </c>
      <c r="B3812" s="221">
        <v>20.5</v>
      </c>
      <c r="E3812" s="221">
        <v>33.6</v>
      </c>
    </row>
    <row r="3813" spans="1:5">
      <c r="A3813" s="247">
        <v>41746.709733796299</v>
      </c>
      <c r="B3813" s="221">
        <v>22</v>
      </c>
      <c r="E3813" s="221">
        <v>31.2</v>
      </c>
    </row>
    <row r="3814" spans="1:5">
      <c r="A3814" s="247">
        <v>41746.751400462963</v>
      </c>
      <c r="B3814" s="221">
        <v>21.5</v>
      </c>
      <c r="E3814" s="221">
        <v>29.4</v>
      </c>
    </row>
    <row r="3815" spans="1:5">
      <c r="A3815" s="247">
        <v>41746.793067129627</v>
      </c>
      <c r="B3815" s="221">
        <v>21</v>
      </c>
      <c r="E3815" s="221">
        <v>36.6</v>
      </c>
    </row>
    <row r="3816" spans="1:5">
      <c r="A3816" s="247">
        <v>41746.834733796299</v>
      </c>
      <c r="B3816" s="221">
        <v>21.5</v>
      </c>
      <c r="E3816" s="221">
        <v>39.6</v>
      </c>
    </row>
    <row r="3817" spans="1:5">
      <c r="A3817" s="247">
        <v>41746.876400462963</v>
      </c>
      <c r="B3817" s="221">
        <v>16</v>
      </c>
      <c r="E3817" s="221">
        <v>68.400000000000006</v>
      </c>
    </row>
    <row r="3818" spans="1:5">
      <c r="A3818" s="247">
        <v>41746.918067129627</v>
      </c>
      <c r="B3818" s="221">
        <v>9</v>
      </c>
      <c r="E3818" s="221">
        <v>90</v>
      </c>
    </row>
    <row r="3819" spans="1:5">
      <c r="A3819" s="247">
        <v>41746.959733796299</v>
      </c>
      <c r="B3819" s="221">
        <v>7</v>
      </c>
      <c r="E3819" s="221">
        <v>95.4</v>
      </c>
    </row>
    <row r="3820" spans="1:5">
      <c r="A3820" s="247">
        <v>41747.001400462963</v>
      </c>
      <c r="B3820" s="221">
        <v>5.5</v>
      </c>
      <c r="E3820" s="221">
        <v>96.6</v>
      </c>
    </row>
    <row r="3821" spans="1:5">
      <c r="A3821" s="247">
        <v>41747.043067129627</v>
      </c>
      <c r="B3821" s="221">
        <v>5</v>
      </c>
      <c r="E3821" s="221">
        <v>96.6</v>
      </c>
    </row>
    <row r="3822" spans="1:5">
      <c r="A3822" s="247">
        <v>41747.084733796299</v>
      </c>
      <c r="B3822" s="221">
        <v>5</v>
      </c>
      <c r="E3822" s="221">
        <v>96.6</v>
      </c>
    </row>
    <row r="3823" spans="1:5">
      <c r="A3823" s="247">
        <v>41747.126400462963</v>
      </c>
      <c r="B3823" s="221">
        <v>4.5</v>
      </c>
      <c r="E3823" s="221">
        <v>99</v>
      </c>
    </row>
    <row r="3824" spans="1:5">
      <c r="A3824" s="247">
        <v>41747.168067129627</v>
      </c>
      <c r="B3824" s="221">
        <v>6</v>
      </c>
      <c r="E3824" s="221">
        <v>96.6</v>
      </c>
    </row>
    <row r="3825" spans="1:5">
      <c r="A3825" s="247">
        <v>41747.209733796299</v>
      </c>
      <c r="B3825" s="221">
        <v>6.5</v>
      </c>
      <c r="E3825" s="221">
        <v>94.2</v>
      </c>
    </row>
    <row r="3826" spans="1:5">
      <c r="A3826" s="247">
        <v>41747.251400462963</v>
      </c>
      <c r="B3826" s="221">
        <v>6.5</v>
      </c>
      <c r="E3826" s="221">
        <v>96.6</v>
      </c>
    </row>
    <row r="3827" spans="1:5">
      <c r="A3827" s="247">
        <v>41747.293067129627</v>
      </c>
      <c r="B3827" s="221">
        <v>7</v>
      </c>
      <c r="E3827" s="221">
        <v>99</v>
      </c>
    </row>
    <row r="3828" spans="1:5">
      <c r="A3828" s="247">
        <v>41747.334733796299</v>
      </c>
      <c r="B3828" s="221">
        <v>8</v>
      </c>
      <c r="E3828" s="221">
        <v>96.6</v>
      </c>
    </row>
    <row r="3829" spans="1:5">
      <c r="A3829" s="247">
        <v>41747.376400462963</v>
      </c>
      <c r="B3829" s="221">
        <v>8.5</v>
      </c>
      <c r="E3829" s="221">
        <v>96</v>
      </c>
    </row>
    <row r="3830" spans="1:5">
      <c r="A3830" s="247">
        <v>41747.418067129627</v>
      </c>
      <c r="B3830" s="221">
        <v>10.5</v>
      </c>
      <c r="E3830" s="221">
        <v>88.2</v>
      </c>
    </row>
    <row r="3831" spans="1:5">
      <c r="A3831" s="247">
        <v>41747.459733796299</v>
      </c>
      <c r="B3831" s="221">
        <v>12.5</v>
      </c>
      <c r="E3831" s="221">
        <v>84.6</v>
      </c>
    </row>
    <row r="3832" spans="1:5">
      <c r="A3832" s="247">
        <v>41747.501400462963</v>
      </c>
      <c r="B3832" s="221">
        <v>17</v>
      </c>
      <c r="E3832" s="221">
        <v>67.8</v>
      </c>
    </row>
    <row r="3833" spans="1:5">
      <c r="A3833" s="247">
        <v>41747.543067129627</v>
      </c>
      <c r="B3833" s="221">
        <v>14.5</v>
      </c>
      <c r="E3833" s="221">
        <v>76.8</v>
      </c>
    </row>
    <row r="3834" spans="1:5">
      <c r="A3834" s="247">
        <v>41747.584733796299</v>
      </c>
      <c r="B3834" s="221">
        <v>16</v>
      </c>
      <c r="E3834" s="221">
        <v>74.400000000000006</v>
      </c>
    </row>
    <row r="3835" spans="1:5">
      <c r="A3835" s="247">
        <v>41747.626400462963</v>
      </c>
      <c r="B3835" s="221">
        <v>13</v>
      </c>
      <c r="E3835" s="221">
        <v>79.2</v>
      </c>
    </row>
    <row r="3836" spans="1:5">
      <c r="A3836" s="247">
        <v>41747.668067129627</v>
      </c>
      <c r="B3836" s="221">
        <v>16.5</v>
      </c>
      <c r="E3836" s="221">
        <v>61.2</v>
      </c>
    </row>
    <row r="3837" spans="1:5">
      <c r="A3837" s="247">
        <v>41747.709733796299</v>
      </c>
      <c r="B3837" s="221">
        <v>18.5</v>
      </c>
      <c r="E3837" s="221">
        <v>58.8</v>
      </c>
    </row>
    <row r="3838" spans="1:5">
      <c r="A3838" s="247">
        <v>41747.751400462963</v>
      </c>
      <c r="B3838" s="221">
        <v>18.5</v>
      </c>
      <c r="E3838" s="221">
        <v>57</v>
      </c>
    </row>
    <row r="3839" spans="1:5">
      <c r="A3839" s="247">
        <v>41747.793067129627</v>
      </c>
      <c r="B3839" s="221">
        <v>17</v>
      </c>
      <c r="E3839" s="221">
        <v>54.6</v>
      </c>
    </row>
    <row r="3840" spans="1:5">
      <c r="A3840" s="247">
        <v>41747.834733796299</v>
      </c>
      <c r="B3840" s="221">
        <v>16</v>
      </c>
      <c r="E3840" s="221">
        <v>54.6</v>
      </c>
    </row>
    <row r="3841" spans="1:5">
      <c r="A3841" s="247">
        <v>41747.876400462963</v>
      </c>
      <c r="B3841" s="221">
        <v>13.5</v>
      </c>
      <c r="E3841" s="221">
        <v>60.6</v>
      </c>
    </row>
    <row r="3842" spans="1:5">
      <c r="A3842" s="247">
        <v>41747.918067129627</v>
      </c>
      <c r="B3842" s="221">
        <v>11</v>
      </c>
      <c r="E3842" s="221">
        <v>63.6</v>
      </c>
    </row>
    <row r="3843" spans="1:5">
      <c r="A3843" s="247">
        <v>41747.959733796299</v>
      </c>
      <c r="B3843" s="221">
        <v>8.5</v>
      </c>
      <c r="E3843" s="221">
        <v>74.400000000000006</v>
      </c>
    </row>
    <row r="3844" spans="1:5">
      <c r="A3844" s="247">
        <v>41748.001400462963</v>
      </c>
      <c r="B3844" s="221">
        <v>8</v>
      </c>
      <c r="E3844" s="221">
        <v>75</v>
      </c>
    </row>
    <row r="3845" spans="1:5">
      <c r="A3845" s="247">
        <v>41748.043067129627</v>
      </c>
      <c r="B3845" s="221">
        <v>4.5</v>
      </c>
      <c r="E3845" s="221">
        <v>91.2</v>
      </c>
    </row>
    <row r="3846" spans="1:5">
      <c r="A3846" s="247">
        <v>41748.084733796299</v>
      </c>
      <c r="B3846" s="221">
        <v>4.5</v>
      </c>
      <c r="E3846" s="221">
        <v>90</v>
      </c>
    </row>
    <row r="3847" spans="1:5">
      <c r="A3847" s="247">
        <v>41748.126400462963</v>
      </c>
      <c r="B3847" s="221">
        <v>4.5</v>
      </c>
      <c r="E3847" s="221">
        <v>87.6</v>
      </c>
    </row>
    <row r="3848" spans="1:5">
      <c r="A3848" s="247">
        <v>41748.168067129627</v>
      </c>
      <c r="B3848" s="221">
        <v>3</v>
      </c>
      <c r="E3848" s="221">
        <v>96.6</v>
      </c>
    </row>
    <row r="3849" spans="1:5">
      <c r="A3849" s="247">
        <v>41748.209733796299</v>
      </c>
      <c r="B3849" s="221">
        <v>2</v>
      </c>
      <c r="E3849" s="221">
        <v>99.6</v>
      </c>
    </row>
    <row r="3850" spans="1:5">
      <c r="A3850" s="247">
        <v>41748.251400462963</v>
      </c>
      <c r="B3850" s="221">
        <v>1.5</v>
      </c>
      <c r="E3850" s="221">
        <v>103.2</v>
      </c>
    </row>
    <row r="3851" spans="1:5">
      <c r="A3851" s="247">
        <v>41748.293067129627</v>
      </c>
      <c r="B3851" s="221">
        <v>1.5</v>
      </c>
      <c r="E3851" s="221">
        <v>102.6</v>
      </c>
    </row>
    <row r="3852" spans="1:5">
      <c r="A3852" s="247">
        <v>41748.334733796299</v>
      </c>
      <c r="B3852" s="221">
        <v>0</v>
      </c>
      <c r="E3852" s="221">
        <v>105.6</v>
      </c>
    </row>
    <row r="3853" spans="1:5">
      <c r="A3853" s="247">
        <v>41748.376400462963</v>
      </c>
      <c r="B3853" s="221">
        <v>2.5</v>
      </c>
      <c r="E3853" s="221">
        <v>103.8</v>
      </c>
    </row>
    <row r="3854" spans="1:5">
      <c r="A3854" s="247">
        <v>41748.418067129627</v>
      </c>
      <c r="B3854" s="221">
        <v>5.5</v>
      </c>
      <c r="E3854" s="221">
        <v>96</v>
      </c>
    </row>
    <row r="3855" spans="1:5">
      <c r="A3855" s="247">
        <v>41748.459733796299</v>
      </c>
      <c r="B3855" s="221">
        <v>10.5</v>
      </c>
      <c r="E3855" s="221">
        <v>74.400000000000006</v>
      </c>
    </row>
    <row r="3856" spans="1:5">
      <c r="A3856" s="247">
        <v>41748.501400462963</v>
      </c>
      <c r="B3856" s="221">
        <v>14.5</v>
      </c>
      <c r="E3856" s="221">
        <v>58.8</v>
      </c>
    </row>
    <row r="3857" spans="1:5">
      <c r="A3857" s="247">
        <v>41748.543067129627</v>
      </c>
      <c r="B3857" s="221">
        <v>18</v>
      </c>
      <c r="E3857" s="221">
        <v>46.2</v>
      </c>
    </row>
    <row r="3858" spans="1:5">
      <c r="A3858" s="247">
        <v>41748.584733796299</v>
      </c>
      <c r="B3858" s="221">
        <v>13.5</v>
      </c>
      <c r="E3858" s="221">
        <v>57.6</v>
      </c>
    </row>
    <row r="3859" spans="1:5">
      <c r="A3859" s="247">
        <v>41748.626400462963</v>
      </c>
      <c r="B3859" s="221">
        <v>14.5</v>
      </c>
      <c r="E3859" s="221">
        <v>51.6</v>
      </c>
    </row>
    <row r="3860" spans="1:5">
      <c r="A3860" s="247">
        <v>41748.668067129627</v>
      </c>
      <c r="B3860" s="221">
        <v>18</v>
      </c>
      <c r="E3860" s="221">
        <v>37.799999999999997</v>
      </c>
    </row>
    <row r="3861" spans="1:5">
      <c r="A3861" s="247">
        <v>41748.709733796299</v>
      </c>
      <c r="B3861" s="221">
        <v>14</v>
      </c>
      <c r="E3861" s="221">
        <v>49.2</v>
      </c>
    </row>
    <row r="3862" spans="1:5">
      <c r="A3862" s="247">
        <v>41748.751400462963</v>
      </c>
      <c r="B3862" s="221">
        <v>17</v>
      </c>
      <c r="E3862" s="221">
        <v>40.799999999999997</v>
      </c>
    </row>
    <row r="3863" spans="1:5">
      <c r="A3863" s="247">
        <v>41748.793067129627</v>
      </c>
      <c r="B3863" s="221">
        <v>15.5</v>
      </c>
      <c r="E3863" s="221">
        <v>44.4</v>
      </c>
    </row>
    <row r="3864" spans="1:5">
      <c r="A3864" s="247">
        <v>41748.834733796299</v>
      </c>
      <c r="B3864" s="221">
        <v>13</v>
      </c>
      <c r="E3864" s="221">
        <v>51.6</v>
      </c>
    </row>
    <row r="3865" spans="1:5">
      <c r="A3865" s="247">
        <v>41748.876400462963</v>
      </c>
      <c r="B3865" s="221">
        <v>11.5</v>
      </c>
      <c r="E3865" s="221">
        <v>60.6</v>
      </c>
    </row>
    <row r="3866" spans="1:5">
      <c r="A3866" s="247">
        <v>41748.918067129627</v>
      </c>
      <c r="B3866" s="221">
        <v>7.5</v>
      </c>
      <c r="E3866" s="221">
        <v>75.599999999999994</v>
      </c>
    </row>
    <row r="3867" spans="1:5">
      <c r="A3867" s="247">
        <v>41748.959733796299</v>
      </c>
      <c r="B3867" s="221">
        <v>6.5</v>
      </c>
      <c r="E3867" s="221">
        <v>81.599999999999994</v>
      </c>
    </row>
    <row r="3868" spans="1:5">
      <c r="A3868" s="247">
        <v>41749.001400462963</v>
      </c>
      <c r="B3868" s="221">
        <v>3.5</v>
      </c>
      <c r="E3868" s="221">
        <v>97.2</v>
      </c>
    </row>
    <row r="3869" spans="1:5">
      <c r="A3869" s="247">
        <v>41749.043067129627</v>
      </c>
      <c r="B3869" s="221">
        <v>2.5</v>
      </c>
      <c r="E3869" s="221">
        <v>99</v>
      </c>
    </row>
    <row r="3870" spans="1:5">
      <c r="A3870" s="247">
        <v>41749.084733796299</v>
      </c>
      <c r="B3870" s="221">
        <v>2.5</v>
      </c>
      <c r="E3870" s="221">
        <v>99.6</v>
      </c>
    </row>
    <row r="3871" spans="1:5">
      <c r="A3871" s="247">
        <v>41749.126400462963</v>
      </c>
      <c r="B3871" s="221">
        <v>1</v>
      </c>
      <c r="E3871" s="221">
        <v>103.8</v>
      </c>
    </row>
    <row r="3872" spans="1:5">
      <c r="A3872" s="247">
        <v>41749.168067129627</v>
      </c>
      <c r="B3872" s="221">
        <v>2</v>
      </c>
      <c r="E3872" s="221">
        <v>102</v>
      </c>
    </row>
    <row r="3873" spans="1:5">
      <c r="A3873" s="247">
        <v>41749.209733796299</v>
      </c>
      <c r="B3873" s="221">
        <v>1.5</v>
      </c>
      <c r="E3873" s="221">
        <v>103.8</v>
      </c>
    </row>
    <row r="3874" spans="1:5">
      <c r="A3874" s="247">
        <v>41749.251400462963</v>
      </c>
      <c r="B3874" s="221">
        <v>3</v>
      </c>
      <c r="E3874" s="221">
        <v>102</v>
      </c>
    </row>
    <row r="3875" spans="1:5">
      <c r="A3875" s="247">
        <v>41749.293067129627</v>
      </c>
      <c r="B3875" s="221">
        <v>3</v>
      </c>
      <c r="E3875" s="221">
        <v>102</v>
      </c>
    </row>
    <row r="3876" spans="1:5">
      <c r="A3876" s="247">
        <v>41749.334733796299</v>
      </c>
      <c r="B3876" s="221">
        <v>2.5</v>
      </c>
      <c r="E3876" s="221">
        <v>102</v>
      </c>
    </row>
    <row r="3877" spans="1:5">
      <c r="A3877" s="247">
        <v>41749.376400462963</v>
      </c>
      <c r="B3877" s="221">
        <v>3.5</v>
      </c>
      <c r="E3877" s="221">
        <v>98.4</v>
      </c>
    </row>
    <row r="3878" spans="1:5">
      <c r="A3878" s="247">
        <v>41749.418067129627</v>
      </c>
      <c r="B3878" s="221">
        <v>5.5</v>
      </c>
      <c r="E3878" s="221">
        <v>94.2</v>
      </c>
    </row>
    <row r="3879" spans="1:5">
      <c r="A3879" s="247">
        <v>41749.459733796299</v>
      </c>
      <c r="B3879" s="221">
        <v>14</v>
      </c>
      <c r="E3879" s="221">
        <v>60.6</v>
      </c>
    </row>
    <row r="3880" spans="1:5">
      <c r="A3880" s="247">
        <v>41749.501400462963</v>
      </c>
      <c r="B3880" s="221">
        <v>18</v>
      </c>
      <c r="E3880" s="221">
        <v>49.8</v>
      </c>
    </row>
    <row r="3881" spans="1:5">
      <c r="A3881" s="247">
        <v>41749.543067129627</v>
      </c>
      <c r="B3881" s="221">
        <v>22.5</v>
      </c>
      <c r="E3881" s="221">
        <v>40.799999999999997</v>
      </c>
    </row>
    <row r="3882" spans="1:5">
      <c r="A3882" s="247">
        <v>41749.584733796299</v>
      </c>
      <c r="B3882" s="221">
        <v>18.5</v>
      </c>
      <c r="E3882" s="221">
        <v>46.2</v>
      </c>
    </row>
    <row r="3883" spans="1:5">
      <c r="A3883" s="247">
        <v>41749.626400462963</v>
      </c>
      <c r="B3883" s="221">
        <v>18</v>
      </c>
      <c r="E3883" s="221">
        <v>49.2</v>
      </c>
    </row>
    <row r="3884" spans="1:5">
      <c r="A3884" s="247">
        <v>41749.668067129627</v>
      </c>
      <c r="B3884" s="221">
        <v>19</v>
      </c>
      <c r="E3884" s="221">
        <v>48.6</v>
      </c>
    </row>
    <row r="3885" spans="1:5">
      <c r="A3885" s="247">
        <v>41749.709733796299</v>
      </c>
      <c r="B3885" s="221">
        <v>22</v>
      </c>
      <c r="E3885" s="221">
        <v>43.2</v>
      </c>
    </row>
    <row r="3886" spans="1:5">
      <c r="A3886" s="247">
        <v>41749.751400462963</v>
      </c>
      <c r="B3886" s="221">
        <v>19</v>
      </c>
      <c r="E3886" s="221">
        <v>43.8</v>
      </c>
    </row>
    <row r="3887" spans="1:5">
      <c r="A3887" s="247">
        <v>41749.793067129627</v>
      </c>
      <c r="B3887" s="221">
        <v>15.5</v>
      </c>
      <c r="E3887" s="221">
        <v>60.6</v>
      </c>
    </row>
    <row r="3888" spans="1:5">
      <c r="A3888" s="247">
        <v>41749.834733796299</v>
      </c>
      <c r="B3888" s="221">
        <v>14</v>
      </c>
      <c r="E3888" s="221">
        <v>67.8</v>
      </c>
    </row>
    <row r="3889" spans="1:5">
      <c r="A3889" s="247">
        <v>41749.876400462963</v>
      </c>
      <c r="B3889" s="221">
        <v>13</v>
      </c>
      <c r="E3889" s="221">
        <v>73.8</v>
      </c>
    </row>
    <row r="3890" spans="1:5">
      <c r="A3890" s="247">
        <v>41749.918067129627</v>
      </c>
      <c r="B3890" s="221">
        <v>11.5</v>
      </c>
      <c r="E3890" s="221">
        <v>82.2</v>
      </c>
    </row>
    <row r="3891" spans="1:5">
      <c r="A3891" s="247">
        <v>41749.959733796299</v>
      </c>
      <c r="B3891" s="221">
        <v>11</v>
      </c>
      <c r="E3891" s="221">
        <v>86.4</v>
      </c>
    </row>
    <row r="3892" spans="1:5">
      <c r="A3892" s="247">
        <v>41750.001400462963</v>
      </c>
      <c r="B3892" s="221">
        <v>10.5</v>
      </c>
      <c r="E3892" s="221">
        <v>92.4</v>
      </c>
    </row>
    <row r="3893" spans="1:5">
      <c r="A3893" s="247">
        <v>41750.043067129627</v>
      </c>
      <c r="B3893" s="221">
        <v>10</v>
      </c>
      <c r="E3893" s="221">
        <v>96.6</v>
      </c>
    </row>
    <row r="3894" spans="1:5">
      <c r="A3894" s="247">
        <v>41750.084733796299</v>
      </c>
      <c r="B3894" s="221">
        <v>9.5</v>
      </c>
      <c r="E3894" s="221">
        <v>102</v>
      </c>
    </row>
    <row r="3895" spans="1:5">
      <c r="A3895" s="247">
        <v>41750.126400462963</v>
      </c>
      <c r="B3895" s="221">
        <v>9.5</v>
      </c>
      <c r="E3895" s="221">
        <v>103.2</v>
      </c>
    </row>
    <row r="3896" spans="1:5">
      <c r="A3896" s="247">
        <v>41750.168067129627</v>
      </c>
      <c r="B3896" s="221">
        <v>9.5</v>
      </c>
      <c r="E3896" s="221">
        <v>103.8</v>
      </c>
    </row>
    <row r="3897" spans="1:5">
      <c r="A3897" s="247">
        <v>41750.209733796299</v>
      </c>
      <c r="B3897" s="221">
        <v>9</v>
      </c>
      <c r="E3897" s="221">
        <v>103.8</v>
      </c>
    </row>
    <row r="3898" spans="1:5">
      <c r="A3898" s="247">
        <v>41750.251400462963</v>
      </c>
      <c r="B3898" s="221">
        <v>9</v>
      </c>
      <c r="E3898" s="221">
        <v>105</v>
      </c>
    </row>
    <row r="3899" spans="1:5">
      <c r="A3899" s="247">
        <v>41750.293067129627</v>
      </c>
      <c r="B3899" s="221">
        <v>9</v>
      </c>
      <c r="E3899" s="221">
        <v>105</v>
      </c>
    </row>
    <row r="3900" spans="1:5">
      <c r="A3900" s="247">
        <v>41750.334733796299</v>
      </c>
      <c r="B3900" s="221">
        <v>8.5</v>
      </c>
      <c r="E3900" s="221">
        <v>105.6</v>
      </c>
    </row>
    <row r="3901" spans="1:5">
      <c r="A3901" s="247">
        <v>41750.376400462963</v>
      </c>
      <c r="B3901" s="221">
        <v>9.5</v>
      </c>
      <c r="E3901" s="221">
        <v>105.6</v>
      </c>
    </row>
    <row r="3902" spans="1:5">
      <c r="A3902" s="247">
        <v>41750.418067129627</v>
      </c>
      <c r="B3902" s="221">
        <v>10.5</v>
      </c>
      <c r="E3902" s="221">
        <v>103.2</v>
      </c>
    </row>
    <row r="3903" spans="1:5">
      <c r="A3903" s="247">
        <v>41750.459733796299</v>
      </c>
      <c r="B3903" s="221">
        <v>11.5</v>
      </c>
      <c r="E3903" s="221">
        <v>100.2</v>
      </c>
    </row>
    <row r="3904" spans="1:5">
      <c r="A3904" s="247">
        <v>41750.501400462963</v>
      </c>
      <c r="B3904" s="221">
        <v>13.5</v>
      </c>
      <c r="E3904" s="221">
        <v>90</v>
      </c>
    </row>
    <row r="3905" spans="1:5">
      <c r="A3905" s="247">
        <v>41750.543067129627</v>
      </c>
      <c r="B3905" s="221">
        <v>12</v>
      </c>
      <c r="E3905" s="221">
        <v>95.4</v>
      </c>
    </row>
    <row r="3906" spans="1:5">
      <c r="A3906" s="247">
        <v>41750.584733796299</v>
      </c>
      <c r="B3906" s="221">
        <v>12</v>
      </c>
      <c r="E3906" s="221">
        <v>94.2</v>
      </c>
    </row>
    <row r="3907" spans="1:5">
      <c r="A3907" s="247">
        <v>41750.626400462963</v>
      </c>
      <c r="B3907" s="221">
        <v>14</v>
      </c>
      <c r="E3907" s="221">
        <v>87.6</v>
      </c>
    </row>
    <row r="3908" spans="1:5">
      <c r="A3908" s="247">
        <v>41750.668067129627</v>
      </c>
      <c r="B3908" s="221">
        <v>16</v>
      </c>
      <c r="E3908" s="221">
        <v>74.400000000000006</v>
      </c>
    </row>
    <row r="3909" spans="1:5">
      <c r="A3909" s="247">
        <v>41750.709733796299</v>
      </c>
      <c r="B3909" s="221">
        <v>13.5</v>
      </c>
      <c r="E3909" s="221">
        <v>90</v>
      </c>
    </row>
    <row r="3910" spans="1:5">
      <c r="A3910" s="247">
        <v>41750.751400462963</v>
      </c>
      <c r="B3910" s="221">
        <v>14</v>
      </c>
      <c r="E3910" s="221">
        <v>82.8</v>
      </c>
    </row>
    <row r="3911" spans="1:5">
      <c r="A3911" s="247">
        <v>41750.793067129627</v>
      </c>
      <c r="B3911" s="221">
        <v>15.5</v>
      </c>
      <c r="E3911" s="221">
        <v>73.2</v>
      </c>
    </row>
    <row r="3912" spans="1:5">
      <c r="A3912" s="247">
        <v>41750.834733796299</v>
      </c>
      <c r="B3912" s="221">
        <v>14</v>
      </c>
      <c r="E3912" s="221">
        <v>84</v>
      </c>
    </row>
    <row r="3913" spans="1:5">
      <c r="A3913" s="247">
        <v>41750.876400462963</v>
      </c>
      <c r="B3913" s="221">
        <v>13</v>
      </c>
      <c r="E3913" s="221">
        <v>85.8</v>
      </c>
    </row>
    <row r="3914" spans="1:5">
      <c r="A3914" s="247">
        <v>41750.918067129627</v>
      </c>
      <c r="B3914" s="221">
        <v>11.5</v>
      </c>
      <c r="E3914" s="221">
        <v>97.8</v>
      </c>
    </row>
    <row r="3915" spans="1:5">
      <c r="A3915" s="247">
        <v>41750.959733796299</v>
      </c>
      <c r="B3915" s="221">
        <v>10</v>
      </c>
      <c r="E3915" s="221">
        <v>102</v>
      </c>
    </row>
    <row r="3916" spans="1:5">
      <c r="A3916" s="247">
        <v>41751.001400462963</v>
      </c>
      <c r="B3916" s="221">
        <v>8</v>
      </c>
      <c r="E3916" s="221">
        <v>103.8</v>
      </c>
    </row>
    <row r="3917" spans="1:5">
      <c r="A3917" s="247">
        <v>41751.043067129627</v>
      </c>
      <c r="B3917" s="221">
        <v>6.5</v>
      </c>
      <c r="E3917" s="221">
        <v>105.6</v>
      </c>
    </row>
    <row r="3918" spans="1:5">
      <c r="A3918" s="247">
        <v>41751.084733796299</v>
      </c>
      <c r="B3918" s="221">
        <v>5</v>
      </c>
      <c r="E3918" s="221">
        <v>106.8</v>
      </c>
    </row>
    <row r="3919" spans="1:5">
      <c r="A3919" s="247">
        <v>41751.126400462963</v>
      </c>
      <c r="B3919" s="221">
        <v>4.5</v>
      </c>
      <c r="E3919" s="221">
        <v>105.6</v>
      </c>
    </row>
    <row r="3920" spans="1:5">
      <c r="A3920" s="247">
        <v>41751.168067129627</v>
      </c>
      <c r="B3920" s="221">
        <v>3.5</v>
      </c>
      <c r="E3920" s="221">
        <v>106.8</v>
      </c>
    </row>
    <row r="3921" spans="1:5">
      <c r="A3921" s="247">
        <v>41751.209733796299</v>
      </c>
      <c r="B3921" s="221">
        <v>3.5</v>
      </c>
      <c r="E3921" s="221">
        <v>106.8</v>
      </c>
    </row>
    <row r="3922" spans="1:5">
      <c r="A3922" s="247">
        <v>41751.251400462963</v>
      </c>
      <c r="B3922" s="221">
        <v>3</v>
      </c>
      <c r="E3922" s="221">
        <v>107.4</v>
      </c>
    </row>
    <row r="3923" spans="1:5">
      <c r="A3923" s="247">
        <v>41751.293067129627</v>
      </c>
      <c r="B3923" s="221">
        <v>2.5</v>
      </c>
      <c r="E3923" s="221">
        <v>107.4</v>
      </c>
    </row>
    <row r="3924" spans="1:5">
      <c r="A3924" s="247">
        <v>41751.334733796299</v>
      </c>
      <c r="B3924" s="221">
        <v>5</v>
      </c>
      <c r="E3924" s="221">
        <v>107.4</v>
      </c>
    </row>
    <row r="3925" spans="1:5">
      <c r="A3925" s="247">
        <v>41751.376400462963</v>
      </c>
      <c r="B3925" s="221">
        <v>6.5</v>
      </c>
      <c r="E3925" s="221">
        <v>108</v>
      </c>
    </row>
    <row r="3926" spans="1:5">
      <c r="A3926" s="247">
        <v>41751.418067129627</v>
      </c>
      <c r="B3926" s="221">
        <v>9.5</v>
      </c>
      <c r="E3926" s="221">
        <v>106.2</v>
      </c>
    </row>
    <row r="3927" spans="1:5">
      <c r="A3927" s="247">
        <v>41751.459733796299</v>
      </c>
      <c r="B3927" s="221">
        <v>11.5</v>
      </c>
      <c r="E3927" s="221">
        <v>98.4</v>
      </c>
    </row>
    <row r="3928" spans="1:5">
      <c r="A3928" s="247">
        <v>41751.501400462963</v>
      </c>
      <c r="B3928" s="221">
        <v>17.5</v>
      </c>
      <c r="E3928" s="221">
        <v>78.599999999999994</v>
      </c>
    </row>
    <row r="3929" spans="1:5">
      <c r="A3929" s="247">
        <v>41751.543067129627</v>
      </c>
      <c r="B3929" s="221">
        <v>17.5</v>
      </c>
      <c r="E3929" s="221">
        <v>76.2</v>
      </c>
    </row>
    <row r="3930" spans="1:5">
      <c r="A3930" s="247">
        <v>41751.584733796299</v>
      </c>
      <c r="B3930" s="221">
        <v>28</v>
      </c>
      <c r="E3930" s="221">
        <v>46.2</v>
      </c>
    </row>
    <row r="3931" spans="1:5">
      <c r="A3931" s="247">
        <v>41751.626400462963</v>
      </c>
      <c r="B3931" s="221">
        <v>27</v>
      </c>
      <c r="E3931" s="221">
        <v>45</v>
      </c>
    </row>
    <row r="3932" spans="1:5">
      <c r="A3932" s="247">
        <v>41751.668067129627</v>
      </c>
      <c r="B3932" s="221">
        <v>14</v>
      </c>
      <c r="E3932" s="221">
        <v>97.8</v>
      </c>
    </row>
    <row r="3933" spans="1:5">
      <c r="A3933" s="247">
        <v>41751.709733796299</v>
      </c>
      <c r="B3933" s="221">
        <v>19.5</v>
      </c>
      <c r="E3933" s="221">
        <v>75</v>
      </c>
    </row>
    <row r="3934" spans="1:5">
      <c r="A3934" s="247">
        <v>41751.751400462963</v>
      </c>
      <c r="B3934" s="221">
        <v>19.5</v>
      </c>
      <c r="E3934" s="221">
        <v>75</v>
      </c>
    </row>
    <row r="3935" spans="1:5">
      <c r="A3935" s="247">
        <v>41751.793067129627</v>
      </c>
      <c r="B3935" s="221">
        <v>18.5</v>
      </c>
      <c r="E3935" s="221">
        <v>68.400000000000006</v>
      </c>
    </row>
    <row r="3936" spans="1:5">
      <c r="A3936" s="247">
        <v>41751.834733796299</v>
      </c>
      <c r="B3936" s="221">
        <v>20</v>
      </c>
      <c r="E3936" s="221">
        <v>59.4</v>
      </c>
    </row>
    <row r="3937" spans="1:5">
      <c r="A3937" s="247">
        <v>41751.876400462963</v>
      </c>
      <c r="B3937" s="221">
        <v>16</v>
      </c>
      <c r="E3937" s="221">
        <v>85.2</v>
      </c>
    </row>
    <row r="3938" spans="1:5">
      <c r="A3938" s="247">
        <v>41751.918067129627</v>
      </c>
      <c r="B3938" s="221">
        <v>10.5</v>
      </c>
      <c r="E3938" s="221">
        <v>100.2</v>
      </c>
    </row>
    <row r="3939" spans="1:5">
      <c r="A3939" s="247">
        <v>41751.959733796299</v>
      </c>
      <c r="B3939" s="221">
        <v>10.5</v>
      </c>
      <c r="E3939" s="221">
        <v>103.8</v>
      </c>
    </row>
    <row r="3940" spans="1:5">
      <c r="A3940" s="247">
        <v>41752.001400462963</v>
      </c>
      <c r="B3940" s="221">
        <v>10.5</v>
      </c>
      <c r="E3940" s="221">
        <v>104.4</v>
      </c>
    </row>
    <row r="3941" spans="1:5">
      <c r="A3941" s="247">
        <v>41752.043067129627</v>
      </c>
      <c r="B3941" s="221">
        <v>9</v>
      </c>
      <c r="E3941" s="221">
        <v>105.6</v>
      </c>
    </row>
    <row r="3942" spans="1:5">
      <c r="A3942" s="247">
        <v>41752.084733796299</v>
      </c>
      <c r="B3942" s="221">
        <v>7</v>
      </c>
      <c r="E3942" s="221">
        <v>106.2</v>
      </c>
    </row>
    <row r="3943" spans="1:5">
      <c r="A3943" s="247">
        <v>41752.126400462963</v>
      </c>
      <c r="B3943" s="221">
        <v>6.5</v>
      </c>
      <c r="E3943" s="221">
        <v>106.8</v>
      </c>
    </row>
    <row r="3944" spans="1:5">
      <c r="A3944" s="247">
        <v>41752.168067129627</v>
      </c>
      <c r="B3944" s="221">
        <v>5.5</v>
      </c>
      <c r="E3944" s="221">
        <v>106.8</v>
      </c>
    </row>
    <row r="3945" spans="1:5">
      <c r="A3945" s="247">
        <v>41752.209733796299</v>
      </c>
      <c r="B3945" s="221">
        <v>4.5</v>
      </c>
      <c r="E3945" s="221">
        <v>106.8</v>
      </c>
    </row>
    <row r="3946" spans="1:5">
      <c r="A3946" s="247">
        <v>41752.251400462963</v>
      </c>
      <c r="B3946" s="221">
        <v>4</v>
      </c>
      <c r="E3946" s="221">
        <v>108</v>
      </c>
    </row>
    <row r="3947" spans="1:5">
      <c r="A3947" s="247">
        <v>41752.293067129627</v>
      </c>
      <c r="B3947" s="221">
        <v>3</v>
      </c>
      <c r="E3947" s="221">
        <v>108.6</v>
      </c>
    </row>
    <row r="3948" spans="1:5">
      <c r="A3948" s="247">
        <v>41752.334733796299</v>
      </c>
      <c r="B3948" s="221">
        <v>3</v>
      </c>
      <c r="E3948" s="221">
        <v>108.6</v>
      </c>
    </row>
    <row r="3949" spans="1:5">
      <c r="A3949" s="247">
        <v>41752.376400462963</v>
      </c>
      <c r="B3949" s="221">
        <v>5</v>
      </c>
      <c r="E3949" s="221">
        <v>107.4</v>
      </c>
    </row>
    <row r="3950" spans="1:5">
      <c r="A3950" s="247">
        <v>41752.418067129627</v>
      </c>
      <c r="B3950" s="221">
        <v>10.5</v>
      </c>
      <c r="E3950" s="221">
        <v>106.8</v>
      </c>
    </row>
    <row r="3951" spans="1:5">
      <c r="A3951" s="247">
        <v>41752.459733796299</v>
      </c>
      <c r="B3951" s="221">
        <v>17.5</v>
      </c>
      <c r="E3951" s="221">
        <v>78</v>
      </c>
    </row>
    <row r="3952" spans="1:5">
      <c r="A3952" s="247">
        <v>41752.501400462963</v>
      </c>
      <c r="B3952" s="221">
        <v>23.5</v>
      </c>
      <c r="E3952" s="221">
        <v>58.8</v>
      </c>
    </row>
    <row r="3953" spans="1:5">
      <c r="A3953" s="247">
        <v>41752.543067129627</v>
      </c>
      <c r="B3953" s="221">
        <v>24</v>
      </c>
      <c r="E3953" s="221">
        <v>59.4</v>
      </c>
    </row>
    <row r="3954" spans="1:5">
      <c r="A3954" s="247">
        <v>41752.584733796299</v>
      </c>
      <c r="B3954" s="221">
        <v>21.5</v>
      </c>
      <c r="E3954" s="221">
        <v>63.6</v>
      </c>
    </row>
    <row r="3955" spans="1:5">
      <c r="A3955" s="247">
        <v>41752.626400462963</v>
      </c>
      <c r="B3955" s="221">
        <v>20.5</v>
      </c>
      <c r="E3955" s="221">
        <v>56.4</v>
      </c>
    </row>
    <row r="3956" spans="1:5">
      <c r="A3956" s="247">
        <v>41752.668067129627</v>
      </c>
      <c r="B3956" s="221">
        <v>19</v>
      </c>
      <c r="E3956" s="221">
        <v>72</v>
      </c>
    </row>
    <row r="3957" spans="1:5">
      <c r="A3957" s="247">
        <v>41752.709733796299</v>
      </c>
      <c r="B3957" s="221">
        <v>19.5</v>
      </c>
      <c r="E3957" s="221">
        <v>68.400000000000006</v>
      </c>
    </row>
    <row r="3958" spans="1:5">
      <c r="A3958" s="247">
        <v>41752.751400462963</v>
      </c>
      <c r="B3958" s="221">
        <v>22.5</v>
      </c>
      <c r="E3958" s="221">
        <v>57</v>
      </c>
    </row>
    <row r="3959" spans="1:5">
      <c r="A3959" s="247">
        <v>41752.793067129627</v>
      </c>
      <c r="B3959" s="221">
        <v>19.5</v>
      </c>
      <c r="E3959" s="221">
        <v>67.2</v>
      </c>
    </row>
    <row r="3960" spans="1:5">
      <c r="A3960" s="247">
        <v>41752.834733796299</v>
      </c>
      <c r="B3960" s="221">
        <v>17.5</v>
      </c>
      <c r="E3960" s="221">
        <v>72.599999999999994</v>
      </c>
    </row>
    <row r="3961" spans="1:5">
      <c r="A3961" s="247">
        <v>41752.876400462963</v>
      </c>
      <c r="B3961" s="221">
        <v>15.5</v>
      </c>
      <c r="E3961" s="221">
        <v>89.4</v>
      </c>
    </row>
    <row r="3962" spans="1:5">
      <c r="A3962" s="247">
        <v>41752.918067129627</v>
      </c>
      <c r="B3962" s="221">
        <v>11.5</v>
      </c>
      <c r="E3962" s="221">
        <v>99</v>
      </c>
    </row>
    <row r="3963" spans="1:5">
      <c r="A3963" s="247">
        <v>41752.959733796299</v>
      </c>
      <c r="B3963" s="221">
        <v>12</v>
      </c>
      <c r="E3963" s="221">
        <v>99.6</v>
      </c>
    </row>
    <row r="3964" spans="1:5">
      <c r="A3964" s="247">
        <v>41753.001400462963</v>
      </c>
      <c r="B3964" s="221">
        <v>11.5</v>
      </c>
      <c r="E3964" s="221">
        <v>103.2</v>
      </c>
    </row>
    <row r="3965" spans="1:5">
      <c r="A3965" s="247">
        <v>41753.043067129627</v>
      </c>
      <c r="B3965" s="221">
        <v>11.5</v>
      </c>
      <c r="E3965" s="221">
        <v>106.2</v>
      </c>
    </row>
    <row r="3966" spans="1:5">
      <c r="A3966" s="247">
        <v>41753.084733796299</v>
      </c>
      <c r="B3966" s="221">
        <v>10</v>
      </c>
      <c r="E3966" s="221">
        <v>105.6</v>
      </c>
    </row>
    <row r="3967" spans="1:5">
      <c r="A3967" s="247">
        <v>41753.126400462963</v>
      </c>
      <c r="B3967" s="221">
        <v>9</v>
      </c>
      <c r="E3967" s="221">
        <v>106.2</v>
      </c>
    </row>
    <row r="3968" spans="1:5">
      <c r="A3968" s="247">
        <v>41753.168067129627</v>
      </c>
      <c r="B3968" s="221">
        <v>9.5</v>
      </c>
      <c r="E3968" s="221">
        <v>106.8</v>
      </c>
    </row>
    <row r="3969" spans="1:5">
      <c r="A3969" s="247">
        <v>41753.209733796299</v>
      </c>
      <c r="B3969" s="221">
        <v>8.5</v>
      </c>
      <c r="E3969" s="221">
        <v>106.8</v>
      </c>
    </row>
    <row r="3970" spans="1:5">
      <c r="A3970" s="247">
        <v>41753.251400462963</v>
      </c>
      <c r="B3970" s="221">
        <v>7.5</v>
      </c>
      <c r="E3970" s="221">
        <v>106.8</v>
      </c>
    </row>
    <row r="3971" spans="1:5">
      <c r="A3971" s="247">
        <v>41753.293067129627</v>
      </c>
      <c r="B3971" s="221">
        <v>7</v>
      </c>
      <c r="E3971" s="221">
        <v>106.8</v>
      </c>
    </row>
    <row r="3972" spans="1:5">
      <c r="A3972" s="247">
        <v>41753.334733796299</v>
      </c>
      <c r="B3972" s="221">
        <v>7.5</v>
      </c>
      <c r="E3972" s="221">
        <v>107.4</v>
      </c>
    </row>
    <row r="3973" spans="1:5">
      <c r="A3973" s="247">
        <v>41753.376400462963</v>
      </c>
      <c r="B3973" s="221">
        <v>9</v>
      </c>
      <c r="E3973" s="221">
        <v>106.8</v>
      </c>
    </row>
    <row r="3974" spans="1:5">
      <c r="A3974" s="247">
        <v>41753.418067129627</v>
      </c>
      <c r="B3974" s="221">
        <v>10.5</v>
      </c>
      <c r="E3974" s="221">
        <v>107.4</v>
      </c>
    </row>
    <row r="3975" spans="1:5">
      <c r="A3975" s="247">
        <v>41753.459733796299</v>
      </c>
      <c r="B3975" s="221">
        <v>11.5</v>
      </c>
      <c r="E3975" s="221">
        <v>103.8</v>
      </c>
    </row>
    <row r="3976" spans="1:5">
      <c r="A3976" s="247">
        <v>41753.501400462963</v>
      </c>
      <c r="B3976" s="221">
        <v>12</v>
      </c>
      <c r="E3976" s="221">
        <v>98.4</v>
      </c>
    </row>
    <row r="3977" spans="1:5">
      <c r="A3977" s="247">
        <v>41753.543067129627</v>
      </c>
      <c r="B3977" s="221">
        <v>14.5</v>
      </c>
      <c r="E3977" s="221">
        <v>88.8</v>
      </c>
    </row>
    <row r="3978" spans="1:5">
      <c r="A3978" s="247">
        <v>41753.584733796299</v>
      </c>
      <c r="B3978" s="221">
        <v>19</v>
      </c>
      <c r="E3978" s="221">
        <v>73.2</v>
      </c>
    </row>
    <row r="3979" spans="1:5">
      <c r="A3979" s="247">
        <v>41753.626400462963</v>
      </c>
      <c r="B3979" s="221">
        <v>21</v>
      </c>
      <c r="E3979" s="221">
        <v>67.2</v>
      </c>
    </row>
    <row r="3980" spans="1:5">
      <c r="A3980" s="247">
        <v>41753.668067129627</v>
      </c>
      <c r="B3980" s="221">
        <v>20.5</v>
      </c>
      <c r="E3980" s="221">
        <v>70.8</v>
      </c>
    </row>
    <row r="3981" spans="1:5">
      <c r="A3981" s="247">
        <v>41753.709733796299</v>
      </c>
      <c r="B3981" s="221">
        <v>22</v>
      </c>
      <c r="E3981" s="221">
        <v>64.8</v>
      </c>
    </row>
    <row r="3982" spans="1:5">
      <c r="A3982" s="247">
        <v>41753.751400462963</v>
      </c>
      <c r="B3982" s="221">
        <v>21</v>
      </c>
      <c r="E3982" s="221">
        <v>66.599999999999994</v>
      </c>
    </row>
    <row r="3983" spans="1:5">
      <c r="A3983" s="247">
        <v>41753.793067129627</v>
      </c>
      <c r="B3983" s="221">
        <v>21</v>
      </c>
      <c r="E3983" s="221">
        <v>61.8</v>
      </c>
    </row>
    <row r="3984" spans="1:5">
      <c r="A3984" s="247">
        <v>41753.834733796299</v>
      </c>
      <c r="B3984" s="221">
        <v>18</v>
      </c>
      <c r="E3984" s="221">
        <v>82.2</v>
      </c>
    </row>
    <row r="3985" spans="1:5">
      <c r="A3985" s="247">
        <v>41753.876400462963</v>
      </c>
      <c r="B3985" s="221">
        <v>15</v>
      </c>
      <c r="E3985" s="221">
        <v>90</v>
      </c>
    </row>
    <row r="3986" spans="1:5">
      <c r="A3986" s="247">
        <v>41753.918067129627</v>
      </c>
      <c r="B3986" s="221">
        <v>13.5</v>
      </c>
      <c r="E3986" s="221">
        <v>97.8</v>
      </c>
    </row>
    <row r="3987" spans="1:5">
      <c r="A3987" s="247">
        <v>41753.959733796299</v>
      </c>
      <c r="B3987" s="221">
        <v>13</v>
      </c>
      <c r="E3987" s="221">
        <v>103.8</v>
      </c>
    </row>
    <row r="3988" spans="1:5">
      <c r="A3988" s="247">
        <v>41754.001400462963</v>
      </c>
      <c r="B3988" s="221">
        <v>12.5</v>
      </c>
      <c r="E3988" s="221">
        <v>104.4</v>
      </c>
    </row>
    <row r="3989" spans="1:5">
      <c r="A3989" s="247">
        <v>41754.043067129627</v>
      </c>
      <c r="B3989" s="221">
        <v>12</v>
      </c>
      <c r="E3989" s="221">
        <v>105.6</v>
      </c>
    </row>
    <row r="3990" spans="1:5">
      <c r="A3990" s="247">
        <v>41754.084733796299</v>
      </c>
      <c r="B3990" s="221">
        <v>12</v>
      </c>
      <c r="E3990" s="221">
        <v>105.6</v>
      </c>
    </row>
    <row r="3991" spans="1:5">
      <c r="A3991" s="247">
        <v>41754.126400462963</v>
      </c>
      <c r="B3991" s="221">
        <v>12</v>
      </c>
      <c r="E3991" s="221">
        <v>106.2</v>
      </c>
    </row>
    <row r="3992" spans="1:5">
      <c r="A3992" s="247">
        <v>41754.168067129627</v>
      </c>
      <c r="B3992" s="221">
        <v>11.5</v>
      </c>
      <c r="E3992" s="221">
        <v>106.2</v>
      </c>
    </row>
    <row r="3993" spans="1:5">
      <c r="A3993" s="247">
        <v>41754.209733796299</v>
      </c>
      <c r="B3993" s="221">
        <v>11</v>
      </c>
      <c r="E3993" s="221">
        <v>106.2</v>
      </c>
    </row>
    <row r="3994" spans="1:5">
      <c r="A3994" s="247">
        <v>41754.251400462963</v>
      </c>
      <c r="B3994" s="221">
        <v>10.5</v>
      </c>
      <c r="E3994" s="221">
        <v>106.8</v>
      </c>
    </row>
    <row r="3995" spans="1:5">
      <c r="A3995" s="247">
        <v>41754.293067129627</v>
      </c>
      <c r="B3995" s="221">
        <v>10.5</v>
      </c>
      <c r="E3995" s="221">
        <v>106.8</v>
      </c>
    </row>
    <row r="3996" spans="1:5">
      <c r="A3996" s="247">
        <v>41754.334733796299</v>
      </c>
      <c r="B3996" s="221">
        <v>10.5</v>
      </c>
      <c r="E3996" s="221">
        <v>106.8</v>
      </c>
    </row>
    <row r="3997" spans="1:5">
      <c r="A3997" s="247">
        <v>41754.376400462963</v>
      </c>
      <c r="B3997" s="221">
        <v>10</v>
      </c>
      <c r="E3997" s="221">
        <v>106.8</v>
      </c>
    </row>
    <row r="3998" spans="1:5">
      <c r="A3998" s="247">
        <v>41754.418067129627</v>
      </c>
      <c r="B3998" s="221">
        <v>10</v>
      </c>
      <c r="E3998" s="221">
        <v>108</v>
      </c>
    </row>
    <row r="3999" spans="1:5">
      <c r="A3999" s="247">
        <v>41754.459733796299</v>
      </c>
      <c r="B3999" s="221">
        <v>10.5</v>
      </c>
      <c r="E3999" s="221">
        <v>106.2</v>
      </c>
    </row>
    <row r="4000" spans="1:5">
      <c r="A4000" s="247">
        <v>41754.501400462963</v>
      </c>
      <c r="B4000" s="221">
        <v>11</v>
      </c>
      <c r="E4000" s="221">
        <v>103.8</v>
      </c>
    </row>
    <row r="4001" spans="1:5">
      <c r="A4001" s="247">
        <v>41754.543067129627</v>
      </c>
      <c r="B4001" s="221">
        <v>13</v>
      </c>
      <c r="E4001" s="221">
        <v>98.4</v>
      </c>
    </row>
    <row r="4002" spans="1:5">
      <c r="A4002" s="247">
        <v>41754.584733796299</v>
      </c>
      <c r="B4002" s="221">
        <v>16.5</v>
      </c>
      <c r="E4002" s="221">
        <v>81</v>
      </c>
    </row>
    <row r="4003" spans="1:5">
      <c r="A4003" s="247">
        <v>41754.626400462963</v>
      </c>
      <c r="B4003" s="221">
        <v>17.5</v>
      </c>
      <c r="E4003" s="221">
        <v>78</v>
      </c>
    </row>
    <row r="4004" spans="1:5">
      <c r="A4004" s="247">
        <v>41754.668067129627</v>
      </c>
      <c r="B4004" s="221">
        <v>15</v>
      </c>
      <c r="E4004" s="221">
        <v>82.2</v>
      </c>
    </row>
    <row r="4005" spans="1:5">
      <c r="A4005" s="247">
        <v>41754.709733796299</v>
      </c>
      <c r="B4005" s="221">
        <v>18.5</v>
      </c>
      <c r="E4005" s="221">
        <v>69.599999999999994</v>
      </c>
    </row>
    <row r="4006" spans="1:5">
      <c r="A4006" s="247">
        <v>41754.751400462963</v>
      </c>
      <c r="B4006" s="221">
        <v>16</v>
      </c>
      <c r="E4006" s="221">
        <v>81</v>
      </c>
    </row>
    <row r="4007" spans="1:5">
      <c r="A4007" s="247">
        <v>41754.793067129627</v>
      </c>
      <c r="B4007" s="221">
        <v>16</v>
      </c>
      <c r="E4007" s="221">
        <v>78</v>
      </c>
    </row>
    <row r="4008" spans="1:5">
      <c r="A4008" s="247">
        <v>41754.834733796299</v>
      </c>
      <c r="B4008" s="221">
        <v>15</v>
      </c>
      <c r="E4008" s="221">
        <v>79.8</v>
      </c>
    </row>
    <row r="4009" spans="1:5">
      <c r="A4009" s="247">
        <v>41754.876400462963</v>
      </c>
      <c r="B4009" s="221">
        <v>14</v>
      </c>
      <c r="E4009" s="221">
        <v>82.8</v>
      </c>
    </row>
    <row r="4010" spans="1:5">
      <c r="A4010" s="247">
        <v>41754.918067129627</v>
      </c>
      <c r="B4010" s="221">
        <v>10</v>
      </c>
      <c r="E4010" s="221">
        <v>103.8</v>
      </c>
    </row>
    <row r="4011" spans="1:5">
      <c r="A4011" s="247">
        <v>41754.959733796299</v>
      </c>
      <c r="B4011" s="221">
        <v>8</v>
      </c>
      <c r="E4011" s="221">
        <v>106.2</v>
      </c>
    </row>
    <row r="4012" spans="1:5">
      <c r="A4012" s="247">
        <v>41755.001400462963</v>
      </c>
      <c r="B4012" s="221">
        <v>8.5</v>
      </c>
      <c r="E4012" s="221">
        <v>105.6</v>
      </c>
    </row>
    <row r="4013" spans="1:5">
      <c r="A4013" s="247">
        <v>41755.043067129627</v>
      </c>
      <c r="B4013" s="221">
        <v>7.5</v>
      </c>
      <c r="E4013" s="221">
        <v>106.8</v>
      </c>
    </row>
    <row r="4014" spans="1:5">
      <c r="A4014" s="247">
        <v>41755.084733796299</v>
      </c>
      <c r="B4014" s="221">
        <v>6.5</v>
      </c>
      <c r="E4014" s="221">
        <v>106.8</v>
      </c>
    </row>
    <row r="4015" spans="1:5">
      <c r="A4015" s="247">
        <v>41755.126400462963</v>
      </c>
      <c r="B4015" s="221">
        <v>6</v>
      </c>
      <c r="E4015" s="221">
        <v>108</v>
      </c>
    </row>
    <row r="4016" spans="1:5">
      <c r="A4016" s="247">
        <v>41755.168067129627</v>
      </c>
      <c r="B4016" s="221">
        <v>5.5</v>
      </c>
      <c r="E4016" s="221">
        <v>106.8</v>
      </c>
    </row>
    <row r="4017" spans="1:5">
      <c r="A4017" s="247">
        <v>41755.209733796299</v>
      </c>
      <c r="B4017" s="221">
        <v>5</v>
      </c>
      <c r="E4017" s="221">
        <v>108</v>
      </c>
    </row>
    <row r="4018" spans="1:5">
      <c r="A4018" s="247">
        <v>41755.251400462963</v>
      </c>
      <c r="B4018" s="221">
        <v>5</v>
      </c>
      <c r="E4018" s="221">
        <v>108.6</v>
      </c>
    </row>
    <row r="4019" spans="1:5">
      <c r="A4019" s="247">
        <v>41755.293067129627</v>
      </c>
      <c r="B4019" s="221">
        <v>5</v>
      </c>
      <c r="E4019" s="221">
        <v>108</v>
      </c>
    </row>
    <row r="4020" spans="1:5">
      <c r="A4020" s="247">
        <v>41755.334733796299</v>
      </c>
      <c r="B4020" s="221">
        <v>7</v>
      </c>
      <c r="E4020" s="221">
        <v>108</v>
      </c>
    </row>
    <row r="4021" spans="1:5">
      <c r="A4021" s="247">
        <v>41755.376400462963</v>
      </c>
      <c r="B4021" s="221">
        <v>8</v>
      </c>
      <c r="E4021" s="221">
        <v>107.4</v>
      </c>
    </row>
    <row r="4022" spans="1:5">
      <c r="A4022" s="247">
        <v>41755.418067129627</v>
      </c>
      <c r="B4022" s="221">
        <v>9</v>
      </c>
      <c r="E4022" s="221">
        <v>108.6</v>
      </c>
    </row>
    <row r="4023" spans="1:5">
      <c r="A4023" s="247">
        <v>41755.459733796299</v>
      </c>
      <c r="B4023" s="221">
        <v>10.5</v>
      </c>
      <c r="E4023" s="221">
        <v>106.8</v>
      </c>
    </row>
    <row r="4024" spans="1:5">
      <c r="A4024" s="247">
        <v>41755.501400462963</v>
      </c>
      <c r="B4024" s="221">
        <v>11.5</v>
      </c>
      <c r="E4024" s="221">
        <v>100.8</v>
      </c>
    </row>
    <row r="4025" spans="1:5">
      <c r="A4025" s="247">
        <v>41755.543067129627</v>
      </c>
      <c r="B4025" s="221">
        <v>12.5</v>
      </c>
      <c r="E4025" s="221">
        <v>95.4</v>
      </c>
    </row>
    <row r="4026" spans="1:5">
      <c r="A4026" s="247">
        <v>41755.584733796299</v>
      </c>
      <c r="B4026" s="221">
        <v>12.5</v>
      </c>
      <c r="E4026" s="221">
        <v>94.2</v>
      </c>
    </row>
    <row r="4027" spans="1:5">
      <c r="A4027" s="247">
        <v>41755.626400462963</v>
      </c>
      <c r="B4027" s="221">
        <v>13.5</v>
      </c>
      <c r="E4027" s="221">
        <v>93.6</v>
      </c>
    </row>
    <row r="4028" spans="1:5">
      <c r="A4028" s="247">
        <v>41755.668067129627</v>
      </c>
      <c r="B4028" s="221">
        <v>15.5</v>
      </c>
      <c r="E4028" s="221">
        <v>85.8</v>
      </c>
    </row>
    <row r="4029" spans="1:5">
      <c r="A4029" s="247">
        <v>41755.709733796299</v>
      </c>
      <c r="B4029" s="221">
        <v>17</v>
      </c>
      <c r="E4029" s="221">
        <v>78</v>
      </c>
    </row>
    <row r="4030" spans="1:5">
      <c r="A4030" s="247">
        <v>41755.751400462963</v>
      </c>
      <c r="B4030" s="221">
        <v>18</v>
      </c>
      <c r="E4030" s="221">
        <v>78</v>
      </c>
    </row>
    <row r="4031" spans="1:5">
      <c r="A4031" s="247">
        <v>41755.793067129627</v>
      </c>
      <c r="B4031" s="221">
        <v>14.5</v>
      </c>
      <c r="E4031" s="221">
        <v>84.6</v>
      </c>
    </row>
    <row r="4032" spans="1:5">
      <c r="A4032" s="247">
        <v>41755.834733796299</v>
      </c>
      <c r="B4032" s="221">
        <v>18</v>
      </c>
      <c r="E4032" s="221">
        <v>59.4</v>
      </c>
    </row>
    <row r="4033" spans="1:5">
      <c r="A4033" s="247">
        <v>41755.876400462963</v>
      </c>
      <c r="B4033" s="221">
        <v>14</v>
      </c>
      <c r="E4033" s="221">
        <v>66</v>
      </c>
    </row>
    <row r="4034" spans="1:5">
      <c r="A4034" s="247">
        <v>41755.918067129627</v>
      </c>
      <c r="B4034" s="221">
        <v>9</v>
      </c>
      <c r="E4034" s="221">
        <v>87.6</v>
      </c>
    </row>
    <row r="4035" spans="1:5">
      <c r="A4035" s="247">
        <v>41755.959733796299</v>
      </c>
      <c r="B4035" s="221">
        <v>9.5</v>
      </c>
      <c r="E4035" s="221">
        <v>86.4</v>
      </c>
    </row>
    <row r="4036" spans="1:5">
      <c r="A4036" s="247">
        <v>41756.001400462963</v>
      </c>
      <c r="B4036" s="221">
        <v>7.5</v>
      </c>
      <c r="E4036" s="221">
        <v>100.2</v>
      </c>
    </row>
    <row r="4037" spans="1:5">
      <c r="A4037" s="247">
        <v>41756.043067129627</v>
      </c>
      <c r="B4037" s="221">
        <v>6.5</v>
      </c>
      <c r="E4037" s="221">
        <v>105.6</v>
      </c>
    </row>
    <row r="4038" spans="1:5">
      <c r="A4038" s="247">
        <v>41756.084733796299</v>
      </c>
      <c r="B4038" s="221">
        <v>5.5</v>
      </c>
      <c r="E4038" s="221">
        <v>106.8</v>
      </c>
    </row>
    <row r="4039" spans="1:5">
      <c r="A4039" s="247">
        <v>41756.126400462963</v>
      </c>
      <c r="B4039" s="221">
        <v>6.5</v>
      </c>
      <c r="E4039" s="221">
        <v>108</v>
      </c>
    </row>
    <row r="4040" spans="1:5">
      <c r="A4040" s="247">
        <v>41756.168067129627</v>
      </c>
      <c r="B4040" s="221">
        <v>6.5</v>
      </c>
      <c r="E4040" s="221">
        <v>106.8</v>
      </c>
    </row>
    <row r="4041" spans="1:5">
      <c r="A4041" s="247">
        <v>41756.209733796299</v>
      </c>
      <c r="B4041" s="221">
        <v>7.5</v>
      </c>
      <c r="E4041" s="221">
        <v>104.4</v>
      </c>
    </row>
    <row r="4042" spans="1:5">
      <c r="A4042" s="247">
        <v>41756.251400462963</v>
      </c>
      <c r="B4042" s="221">
        <v>8</v>
      </c>
      <c r="E4042" s="221">
        <v>103.2</v>
      </c>
    </row>
    <row r="4043" spans="1:5">
      <c r="A4043" s="247">
        <v>41756.293067129627</v>
      </c>
      <c r="B4043" s="221">
        <v>8.5</v>
      </c>
      <c r="E4043" s="221">
        <v>102</v>
      </c>
    </row>
    <row r="4044" spans="1:5">
      <c r="A4044" s="247">
        <v>41756.334733796299</v>
      </c>
      <c r="B4044" s="221">
        <v>9</v>
      </c>
      <c r="E4044" s="221">
        <v>102</v>
      </c>
    </row>
    <row r="4045" spans="1:5">
      <c r="A4045" s="247">
        <v>41756.376400462963</v>
      </c>
      <c r="B4045" s="221">
        <v>9.5</v>
      </c>
      <c r="E4045" s="221">
        <v>101.4</v>
      </c>
    </row>
    <row r="4046" spans="1:5">
      <c r="A4046" s="247">
        <v>41756.418067129627</v>
      </c>
      <c r="B4046" s="221">
        <v>9</v>
      </c>
      <c r="E4046" s="221">
        <v>103.2</v>
      </c>
    </row>
    <row r="4047" spans="1:5">
      <c r="A4047" s="247">
        <v>41756.459733796299</v>
      </c>
      <c r="B4047" s="221">
        <v>10.5</v>
      </c>
      <c r="E4047" s="221">
        <v>99</v>
      </c>
    </row>
    <row r="4048" spans="1:5">
      <c r="A4048" s="247">
        <v>41756.501400462963</v>
      </c>
      <c r="B4048" s="221">
        <v>12.5</v>
      </c>
      <c r="E4048" s="221">
        <v>91.2</v>
      </c>
    </row>
    <row r="4049" spans="1:5">
      <c r="A4049" s="247">
        <v>41756.543067129627</v>
      </c>
      <c r="B4049" s="221">
        <v>16</v>
      </c>
      <c r="E4049" s="221">
        <v>85.8</v>
      </c>
    </row>
    <row r="4050" spans="1:5">
      <c r="A4050" s="247">
        <v>41756.584733796299</v>
      </c>
      <c r="B4050" s="221">
        <v>16</v>
      </c>
      <c r="E4050" s="221">
        <v>81</v>
      </c>
    </row>
    <row r="4051" spans="1:5">
      <c r="A4051" s="247">
        <v>41756.626400462963</v>
      </c>
      <c r="B4051" s="221">
        <v>13.5</v>
      </c>
      <c r="E4051" s="221">
        <v>91.8</v>
      </c>
    </row>
    <row r="4052" spans="1:5">
      <c r="A4052" s="247">
        <v>41756.668067129627</v>
      </c>
      <c r="B4052" s="221">
        <v>12.5</v>
      </c>
      <c r="E4052" s="221">
        <v>89.4</v>
      </c>
    </row>
    <row r="4053" spans="1:5">
      <c r="A4053" s="247">
        <v>41756.709733796299</v>
      </c>
      <c r="B4053" s="221">
        <v>13</v>
      </c>
      <c r="E4053" s="221">
        <v>88.8</v>
      </c>
    </row>
    <row r="4054" spans="1:5">
      <c r="A4054" s="247">
        <v>41756.751400462963</v>
      </c>
      <c r="B4054" s="221">
        <v>13.5</v>
      </c>
      <c r="E4054" s="221">
        <v>90.6</v>
      </c>
    </row>
    <row r="4055" spans="1:5">
      <c r="A4055" s="247">
        <v>41756.793067129627</v>
      </c>
      <c r="B4055" s="221">
        <v>13</v>
      </c>
      <c r="E4055" s="221">
        <v>91.8</v>
      </c>
    </row>
    <row r="4056" spans="1:5">
      <c r="A4056" s="247">
        <v>41756.834733796299</v>
      </c>
      <c r="B4056" s="221">
        <v>11.5</v>
      </c>
      <c r="E4056" s="221">
        <v>95.4</v>
      </c>
    </row>
    <row r="4057" spans="1:5">
      <c r="A4057" s="247">
        <v>41756.876400462963</v>
      </c>
      <c r="B4057" s="221">
        <v>10.5</v>
      </c>
      <c r="E4057" s="221">
        <v>98.4</v>
      </c>
    </row>
    <row r="4058" spans="1:5">
      <c r="A4058" s="247">
        <v>41756.918067129627</v>
      </c>
      <c r="B4058" s="221">
        <v>10</v>
      </c>
      <c r="E4058" s="221">
        <v>102</v>
      </c>
    </row>
    <row r="4059" spans="1:5">
      <c r="A4059" s="247">
        <v>41756.959733796299</v>
      </c>
      <c r="B4059" s="221">
        <v>10</v>
      </c>
      <c r="E4059" s="221">
        <v>102</v>
      </c>
    </row>
    <row r="4060" spans="1:5">
      <c r="A4060" s="247">
        <v>41757.001400462963</v>
      </c>
      <c r="B4060" s="221">
        <v>9.5</v>
      </c>
      <c r="E4060" s="221">
        <v>102.6</v>
      </c>
    </row>
    <row r="4061" spans="1:5">
      <c r="A4061" s="247">
        <v>41757.043067129627</v>
      </c>
      <c r="B4061" s="221">
        <v>9.5</v>
      </c>
      <c r="E4061" s="221">
        <v>103.8</v>
      </c>
    </row>
    <row r="4062" spans="1:5">
      <c r="A4062" s="247">
        <v>41757.084733796299</v>
      </c>
      <c r="B4062" s="221">
        <v>9</v>
      </c>
      <c r="E4062" s="221">
        <v>105.6</v>
      </c>
    </row>
    <row r="4063" spans="1:5">
      <c r="A4063" s="247">
        <v>41757.126400462963</v>
      </c>
      <c r="B4063" s="221">
        <v>8.5</v>
      </c>
      <c r="E4063" s="221">
        <v>105.6</v>
      </c>
    </row>
    <row r="4064" spans="1:5">
      <c r="A4064" s="247">
        <v>41757.168067129627</v>
      </c>
      <c r="B4064" s="221">
        <v>8</v>
      </c>
      <c r="E4064" s="221">
        <v>106.2</v>
      </c>
    </row>
    <row r="4065" spans="1:5">
      <c r="A4065" s="247">
        <v>41757.209733796299</v>
      </c>
      <c r="B4065" s="221">
        <v>8</v>
      </c>
      <c r="E4065" s="221">
        <v>106.2</v>
      </c>
    </row>
    <row r="4066" spans="1:5">
      <c r="A4066" s="247">
        <v>41757.251400462963</v>
      </c>
      <c r="B4066" s="221">
        <v>8.5</v>
      </c>
      <c r="E4066" s="221">
        <v>106.2</v>
      </c>
    </row>
    <row r="4067" spans="1:5">
      <c r="A4067" s="247">
        <v>41757.293067129627</v>
      </c>
      <c r="B4067" s="221">
        <v>8.5</v>
      </c>
      <c r="E4067" s="221">
        <v>106.2</v>
      </c>
    </row>
    <row r="4068" spans="1:5">
      <c r="A4068" s="247">
        <v>41757.334733796299</v>
      </c>
      <c r="B4068" s="221">
        <v>8.5</v>
      </c>
      <c r="E4068" s="221">
        <v>106.2</v>
      </c>
    </row>
    <row r="4069" spans="1:5">
      <c r="A4069" s="247">
        <v>41757.376400462963</v>
      </c>
      <c r="B4069" s="221">
        <v>10</v>
      </c>
      <c r="E4069" s="221">
        <v>103.8</v>
      </c>
    </row>
    <row r="4070" spans="1:5">
      <c r="A4070" s="247">
        <v>41757.418067129627</v>
      </c>
      <c r="B4070" s="221">
        <v>10</v>
      </c>
      <c r="E4070" s="221">
        <v>102</v>
      </c>
    </row>
    <row r="4071" spans="1:5">
      <c r="A4071" s="247">
        <v>41757.459733796299</v>
      </c>
      <c r="B4071" s="221">
        <v>10.5</v>
      </c>
      <c r="E4071" s="221">
        <v>100.2</v>
      </c>
    </row>
    <row r="4072" spans="1:5">
      <c r="A4072" s="247">
        <v>41757.501400462963</v>
      </c>
      <c r="B4072" s="221">
        <v>12</v>
      </c>
      <c r="E4072" s="221">
        <v>94.2</v>
      </c>
    </row>
    <row r="4073" spans="1:5">
      <c r="A4073" s="247">
        <v>41757.543067129627</v>
      </c>
      <c r="B4073" s="221">
        <v>13.5</v>
      </c>
      <c r="E4073" s="221">
        <v>85.8</v>
      </c>
    </row>
    <row r="4074" spans="1:5">
      <c r="A4074" s="247">
        <v>41757.584733796299</v>
      </c>
      <c r="B4074" s="221">
        <v>17</v>
      </c>
      <c r="E4074" s="221">
        <v>77.400000000000006</v>
      </c>
    </row>
    <row r="4075" spans="1:5">
      <c r="A4075" s="247">
        <v>41757.626400462963</v>
      </c>
      <c r="B4075" s="221">
        <v>12</v>
      </c>
      <c r="E4075" s="221">
        <v>90.6</v>
      </c>
    </row>
    <row r="4076" spans="1:5">
      <c r="A4076" s="247">
        <v>41757.668067129627</v>
      </c>
      <c r="B4076" s="221">
        <v>15</v>
      </c>
      <c r="E4076" s="221">
        <v>82.2</v>
      </c>
    </row>
    <row r="4077" spans="1:5">
      <c r="A4077" s="247">
        <v>41757.709733796299</v>
      </c>
      <c r="B4077" s="221">
        <v>16</v>
      </c>
      <c r="E4077" s="221">
        <v>79.2</v>
      </c>
    </row>
    <row r="4078" spans="1:5">
      <c r="A4078" s="247">
        <v>41757.751400462963</v>
      </c>
      <c r="B4078" s="221">
        <v>16</v>
      </c>
      <c r="E4078" s="221">
        <v>77.400000000000006</v>
      </c>
    </row>
    <row r="4079" spans="1:5">
      <c r="A4079" s="247">
        <v>41757.793067129627</v>
      </c>
      <c r="B4079" s="221">
        <v>14</v>
      </c>
      <c r="E4079" s="221">
        <v>82.2</v>
      </c>
    </row>
    <row r="4080" spans="1:5">
      <c r="A4080" s="247">
        <v>41757.834733796299</v>
      </c>
      <c r="B4080" s="221">
        <v>16.5</v>
      </c>
      <c r="E4080" s="221">
        <v>79.2</v>
      </c>
    </row>
    <row r="4081" spans="1:5">
      <c r="A4081" s="247">
        <v>41757.876400462963</v>
      </c>
      <c r="B4081" s="221">
        <v>12.5</v>
      </c>
      <c r="E4081" s="221">
        <v>93.6</v>
      </c>
    </row>
    <row r="4082" spans="1:5">
      <c r="A4082" s="247">
        <v>41757.918067129627</v>
      </c>
      <c r="B4082" s="221">
        <v>10</v>
      </c>
      <c r="E4082" s="221">
        <v>103.8</v>
      </c>
    </row>
    <row r="4083" spans="1:5">
      <c r="A4083" s="247">
        <v>41757.959733796299</v>
      </c>
      <c r="B4083" s="221">
        <v>8</v>
      </c>
      <c r="E4083" s="221">
        <v>105.6</v>
      </c>
    </row>
    <row r="4084" spans="1:5">
      <c r="A4084" s="247">
        <v>41758.001400462963</v>
      </c>
      <c r="B4084" s="221">
        <v>7.5</v>
      </c>
      <c r="E4084" s="221">
        <v>106.2</v>
      </c>
    </row>
    <row r="4085" spans="1:5">
      <c r="A4085" s="247">
        <v>41758.043067129627</v>
      </c>
      <c r="B4085" s="221">
        <v>7.5</v>
      </c>
      <c r="E4085" s="221">
        <v>106.8</v>
      </c>
    </row>
    <row r="4086" spans="1:5">
      <c r="A4086" s="247">
        <v>41758.084733796299</v>
      </c>
      <c r="B4086" s="221">
        <v>7</v>
      </c>
      <c r="E4086" s="221">
        <v>107.4</v>
      </c>
    </row>
    <row r="4087" spans="1:5">
      <c r="A4087" s="247">
        <v>41758.126400462963</v>
      </c>
      <c r="B4087" s="221">
        <v>8</v>
      </c>
      <c r="E4087" s="221">
        <v>106.2</v>
      </c>
    </row>
    <row r="4088" spans="1:5">
      <c r="A4088" s="247">
        <v>41758.168067129627</v>
      </c>
      <c r="B4088" s="221">
        <v>7.5</v>
      </c>
      <c r="E4088" s="221">
        <v>107.4</v>
      </c>
    </row>
    <row r="4089" spans="1:5">
      <c r="A4089" s="247">
        <v>41758.209733796299</v>
      </c>
      <c r="B4089" s="221">
        <v>8</v>
      </c>
      <c r="E4089" s="221">
        <v>108.6</v>
      </c>
    </row>
    <row r="4090" spans="1:5">
      <c r="A4090" s="247">
        <v>41758.251400462963</v>
      </c>
      <c r="B4090" s="221">
        <v>7</v>
      </c>
      <c r="E4090" s="221">
        <v>107.4</v>
      </c>
    </row>
    <row r="4091" spans="1:5">
      <c r="A4091" s="247">
        <v>41758.293067129627</v>
      </c>
      <c r="B4091" s="221">
        <v>8</v>
      </c>
      <c r="E4091" s="221">
        <v>107.4</v>
      </c>
    </row>
    <row r="4092" spans="1:5">
      <c r="A4092" s="247">
        <v>41758.334733796299</v>
      </c>
      <c r="B4092" s="221">
        <v>8.5</v>
      </c>
      <c r="E4092" s="221">
        <v>106.8</v>
      </c>
    </row>
    <row r="4093" spans="1:5">
      <c r="A4093" s="247">
        <v>41758.376400462963</v>
      </c>
      <c r="B4093" s="221">
        <v>9.5</v>
      </c>
      <c r="E4093" s="221">
        <v>108</v>
      </c>
    </row>
    <row r="4094" spans="1:5">
      <c r="A4094" s="247">
        <v>41758.418067129627</v>
      </c>
      <c r="B4094" s="221">
        <v>11</v>
      </c>
      <c r="E4094" s="221">
        <v>107.4</v>
      </c>
    </row>
    <row r="4095" spans="1:5">
      <c r="A4095" s="247">
        <v>41758.459733796299</v>
      </c>
      <c r="B4095" s="221">
        <v>13.5</v>
      </c>
      <c r="E4095" s="221">
        <v>95.4</v>
      </c>
    </row>
    <row r="4096" spans="1:5">
      <c r="A4096" s="247">
        <v>41758.501400462963</v>
      </c>
      <c r="B4096" s="221">
        <v>12.5</v>
      </c>
      <c r="E4096" s="221">
        <v>94.2</v>
      </c>
    </row>
    <row r="4097" spans="1:5">
      <c r="A4097" s="247">
        <v>41758.543067129627</v>
      </c>
      <c r="B4097" s="221">
        <v>12</v>
      </c>
      <c r="E4097" s="221">
        <v>100.2</v>
      </c>
    </row>
    <row r="4098" spans="1:5">
      <c r="A4098" s="247">
        <v>41758.584733796299</v>
      </c>
      <c r="B4098" s="221">
        <v>11.5</v>
      </c>
      <c r="E4098" s="221">
        <v>103.2</v>
      </c>
    </row>
    <row r="4099" spans="1:5">
      <c r="A4099" s="247">
        <v>41758.626400462963</v>
      </c>
      <c r="B4099" s="221">
        <v>12</v>
      </c>
      <c r="E4099" s="221">
        <v>103.8</v>
      </c>
    </row>
    <row r="4100" spans="1:5">
      <c r="A4100" s="247">
        <v>41758.668067129627</v>
      </c>
      <c r="B4100" s="221">
        <v>11</v>
      </c>
      <c r="E4100" s="221">
        <v>105</v>
      </c>
    </row>
    <row r="4101" spans="1:5">
      <c r="A4101" s="247">
        <v>41758.709733796299</v>
      </c>
      <c r="B4101" s="221">
        <v>11.5</v>
      </c>
      <c r="E4101" s="221">
        <v>105.6</v>
      </c>
    </row>
    <row r="4102" spans="1:5">
      <c r="A4102" s="247">
        <v>41758.751400462963</v>
      </c>
      <c r="B4102" s="221">
        <v>12.5</v>
      </c>
      <c r="E4102" s="221">
        <v>106.2</v>
      </c>
    </row>
    <row r="4103" spans="1:5">
      <c r="A4103" s="247">
        <v>41758.793067129627</v>
      </c>
      <c r="B4103" s="221">
        <v>12.5</v>
      </c>
      <c r="E4103" s="221">
        <v>106.2</v>
      </c>
    </row>
    <row r="4104" spans="1:5">
      <c r="A4104" s="247">
        <v>41758.834733796299</v>
      </c>
      <c r="B4104" s="221">
        <v>12</v>
      </c>
      <c r="E4104" s="221">
        <v>108</v>
      </c>
    </row>
    <row r="4105" spans="1:5">
      <c r="A4105" s="247">
        <v>41758.876400462963</v>
      </c>
      <c r="B4105" s="221">
        <v>11.5</v>
      </c>
      <c r="E4105" s="221">
        <v>106.2</v>
      </c>
    </row>
    <row r="4106" spans="1:5">
      <c r="A4106" s="247">
        <v>41758.918067129627</v>
      </c>
      <c r="B4106" s="221">
        <v>10</v>
      </c>
      <c r="E4106" s="221">
        <v>106.8</v>
      </c>
    </row>
    <row r="4107" spans="1:5">
      <c r="A4107" s="247">
        <v>41758.959733796299</v>
      </c>
      <c r="B4107" s="221">
        <v>9.5</v>
      </c>
      <c r="E4107" s="221">
        <v>106.2</v>
      </c>
    </row>
    <row r="4108" spans="1:5">
      <c r="A4108" s="247">
        <v>41759.001400462963</v>
      </c>
      <c r="B4108" s="221">
        <v>9.5</v>
      </c>
      <c r="E4108" s="221">
        <v>106.8</v>
      </c>
    </row>
    <row r="4109" spans="1:5">
      <c r="A4109" s="247">
        <v>41759.043067129627</v>
      </c>
      <c r="B4109" s="221">
        <v>9</v>
      </c>
      <c r="E4109" s="221">
        <v>106.8</v>
      </c>
    </row>
    <row r="4110" spans="1:5">
      <c r="A4110" s="247">
        <v>41759.084733796299</v>
      </c>
      <c r="B4110" s="221">
        <v>9</v>
      </c>
      <c r="E4110" s="221">
        <v>107.4</v>
      </c>
    </row>
    <row r="4111" spans="1:5">
      <c r="A4111" s="247">
        <v>41759.126400462963</v>
      </c>
      <c r="B4111" s="221">
        <v>9</v>
      </c>
      <c r="E4111" s="221">
        <v>106.8</v>
      </c>
    </row>
    <row r="4112" spans="1:5">
      <c r="A4112" s="247">
        <v>41759.168067129627</v>
      </c>
      <c r="B4112" s="221">
        <v>9</v>
      </c>
      <c r="E4112" s="221">
        <v>106.8</v>
      </c>
    </row>
    <row r="4113" spans="1:5">
      <c r="A4113" s="247">
        <v>41759.209733796299</v>
      </c>
      <c r="B4113" s="221">
        <v>8.5</v>
      </c>
      <c r="E4113" s="221">
        <v>106.8</v>
      </c>
    </row>
    <row r="4114" spans="1:5">
      <c r="A4114" s="247">
        <v>41759.251400462963</v>
      </c>
      <c r="B4114" s="221">
        <v>8.5</v>
      </c>
      <c r="E4114" s="221">
        <v>105.6</v>
      </c>
    </row>
    <row r="4115" spans="1:5">
      <c r="A4115" s="247">
        <v>41759.293067129627</v>
      </c>
      <c r="B4115" s="221">
        <v>8.5</v>
      </c>
      <c r="E4115" s="221">
        <v>106.8</v>
      </c>
    </row>
    <row r="4116" spans="1:5">
      <c r="A4116" s="247">
        <v>41759.334733796299</v>
      </c>
      <c r="B4116" s="221">
        <v>8.5</v>
      </c>
      <c r="E4116" s="221">
        <v>106.8</v>
      </c>
    </row>
  </sheetData>
  <mergeCells count="13">
    <mergeCell ref="B19:D19"/>
    <mergeCell ref="C11:G11"/>
    <mergeCell ref="C12:G12"/>
    <mergeCell ref="C13:G13"/>
    <mergeCell ref="C14:G14"/>
    <mergeCell ref="C15:G15"/>
    <mergeCell ref="C16:G16"/>
    <mergeCell ref="C10:G10"/>
    <mergeCell ref="A6:A8"/>
    <mergeCell ref="C6:G6"/>
    <mergeCell ref="C7:G7"/>
    <mergeCell ref="C8:G8"/>
    <mergeCell ref="C9:G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C13" sqref="C13"/>
    </sheetView>
  </sheetViews>
  <sheetFormatPr baseColWidth="10" defaultRowHeight="12"/>
  <cols>
    <col min="1" max="1" width="20" customWidth="1"/>
  </cols>
  <sheetData>
    <row r="1" spans="1:9" ht="12.75">
      <c r="A1" s="332" t="s">
        <v>9304</v>
      </c>
      <c r="B1" s="366" t="s">
        <v>9303</v>
      </c>
      <c r="C1" s="366"/>
      <c r="D1" s="333"/>
      <c r="E1" s="334" t="s">
        <v>9305</v>
      </c>
      <c r="F1" s="334"/>
      <c r="G1" s="366" t="s">
        <v>9306</v>
      </c>
      <c r="H1" s="366"/>
      <c r="I1" s="335"/>
    </row>
    <row r="2" spans="1:9" ht="12.75">
      <c r="A2" s="332"/>
      <c r="B2" s="336"/>
      <c r="C2" s="333"/>
      <c r="D2" s="337"/>
      <c r="E2" s="334"/>
      <c r="F2" s="334"/>
      <c r="G2" s="338"/>
      <c r="H2" s="338"/>
      <c r="I2" s="335"/>
    </row>
    <row r="3" spans="1:9" ht="12.75">
      <c r="A3" s="332" t="s">
        <v>9307</v>
      </c>
      <c r="B3" s="336" t="s">
        <v>9308</v>
      </c>
      <c r="C3" s="337"/>
      <c r="D3" s="337"/>
      <c r="E3" s="334" t="s">
        <v>9309</v>
      </c>
      <c r="F3" s="334"/>
      <c r="G3" s="338"/>
      <c r="H3" s="338"/>
      <c r="I3" s="335"/>
    </row>
    <row r="4" spans="1:9" ht="12.75">
      <c r="A4" s="332" t="s">
        <v>9310</v>
      </c>
      <c r="B4" s="336" t="s">
        <v>9311</v>
      </c>
      <c r="C4" s="335"/>
      <c r="D4" s="337"/>
      <c r="E4" s="334" t="s">
        <v>9312</v>
      </c>
      <c r="F4" s="334"/>
      <c r="G4" s="338" t="s">
        <v>9313</v>
      </c>
      <c r="H4" s="338"/>
      <c r="I4" s="335"/>
    </row>
    <row r="5" spans="1:9" ht="12.75">
      <c r="A5" s="339"/>
      <c r="B5" s="336"/>
      <c r="C5" s="336"/>
      <c r="D5" s="336"/>
      <c r="E5" s="336"/>
      <c r="F5" s="336"/>
      <c r="G5" s="338"/>
      <c r="H5" s="338"/>
      <c r="I5" s="335"/>
    </row>
    <row r="6" spans="1:9" ht="12.75">
      <c r="A6" s="339"/>
      <c r="B6" s="340"/>
      <c r="C6" s="336"/>
      <c r="D6" s="337"/>
      <c r="E6" s="336"/>
      <c r="F6" s="336"/>
      <c r="G6" s="335"/>
      <c r="H6" s="335"/>
      <c r="I6" s="335"/>
    </row>
    <row r="7" spans="1:9" ht="12.75">
      <c r="A7" s="341" t="s">
        <v>9314</v>
      </c>
      <c r="B7" s="336" t="s">
        <v>9315</v>
      </c>
      <c r="C7" s="368" t="s">
        <v>9317</v>
      </c>
      <c r="D7" s="368"/>
      <c r="E7" s="367" t="s">
        <v>9316</v>
      </c>
      <c r="F7" s="367"/>
      <c r="G7" s="367"/>
      <c r="H7" s="342"/>
      <c r="I7" s="335"/>
    </row>
    <row r="9" spans="1:9">
      <c r="A9" s="343" t="s">
        <v>9322</v>
      </c>
      <c r="B9" s="343" t="s">
        <v>9323</v>
      </c>
      <c r="C9" s="343" t="s">
        <v>9324</v>
      </c>
      <c r="D9" s="343" t="s">
        <v>9325</v>
      </c>
      <c r="E9" s="343" t="s">
        <v>9326</v>
      </c>
      <c r="F9" s="343" t="s">
        <v>9327</v>
      </c>
    </row>
    <row r="10" spans="1:9">
      <c r="A10" s="343" t="s">
        <v>9328</v>
      </c>
      <c r="B10" s="343">
        <v>3.12</v>
      </c>
      <c r="C10" s="343">
        <v>16.11</v>
      </c>
      <c r="D10" s="343"/>
      <c r="E10" s="343"/>
      <c r="F10" s="343">
        <v>50.27</v>
      </c>
    </row>
    <row r="11" spans="1:9">
      <c r="A11" s="343" t="s">
        <v>9329</v>
      </c>
      <c r="B11" s="343" t="s">
        <v>9330</v>
      </c>
      <c r="C11" s="343" t="s">
        <v>9331</v>
      </c>
      <c r="D11" s="343" t="s">
        <v>9332</v>
      </c>
      <c r="E11" s="343" t="s">
        <v>9333</v>
      </c>
      <c r="F11" s="343" t="s">
        <v>9334</v>
      </c>
    </row>
  </sheetData>
  <mergeCells count="4">
    <mergeCell ref="G1:H1"/>
    <mergeCell ref="E7:G7"/>
    <mergeCell ref="C7:D7"/>
    <mergeCell ref="B1:C1"/>
  </mergeCells>
  <dataValidations count="7">
    <dataValidation type="list" allowBlank="1" showInputMessage="1" showErrorMessage="1" sqref="G3:H4">
      <formula1>"Oui,Non"</formula1>
    </dataValidation>
    <dataValidation type="list" allowBlank="1" showInputMessage="1" showErrorMessage="1" sqref="G1:H2 B4">
      <formula1>"Très faible,Faible,Moyen,Elevé,Très élevé"</formula1>
    </dataValidation>
    <dataValidation type="list" errorStyle="warning" allowBlank="1" showInputMessage="1" showErrorMessage="1" errorTitle="type de sol" error="Le texte ne correspond pas à un type de sol répertorié dans la liste. Veuillez consulter la liste" promptTitle="type de sol" sqref="B2">
      <formula1>"Argile à silex,Argileux,Argilo calcaire, Argilo limoneux, Calcaire,Crayeux,Limon battant,Limon profond,Limoneux,Sableux"</formula1>
    </dataValidation>
    <dataValidation type="list" allowBlank="1" showInputMessage="1" showErrorMessage="1" sqref="B7">
      <formula1>"Avoine,Betterave,Blé dur,Blé tendre,Colza,Escourgeon,Maïs grain,Maïs ensilage,Orge de printemps,Orge d'hiver,Pois,Pomme de terre,Seigle,Soja,Tournesol,Triticale,Luzerne,Féverole,Trèfle"</formula1>
    </dataValidation>
    <dataValidation type="list" allowBlank="1" showInputMessage="1" showErrorMessage="1" sqref="B3">
      <formula1>"Superficiel (=&lt;30 cm),Moyennement profond (30 à 60 cm),Profond(&gt;60 cm)"</formula1>
    </dataValidation>
    <dataValidation type="list" allowBlank="1" showInputMessage="1" showErrorMessage="1" sqref="E7:H7">
      <formula1>"enfouies sans azote,enlevées/brûlées"</formula1>
    </dataValidation>
    <dataValidation type="list" errorStyle="warning" allowBlank="1" showInputMessage="1" showErrorMessage="1" errorTitle="type de sol" error="Le texte ne correspond pas à un type de sol répertorié dans la liste. Veuillez consulter la liste" promptTitle="type de sol" sqref="B1">
      <formula1>"Argileux (20 à 30% argile),Argileux (&gt; 30% argile),Argilo limoneux calcaire, Argilo limoneux, Calcaire,Crayeux,Limon battant,Limon profond,Limoneux,Sableux"</formula1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1"/>
  <sheetViews>
    <sheetView topLeftCell="N1" workbookViewId="0">
      <selection activeCell="X7" sqref="X7"/>
    </sheetView>
  </sheetViews>
  <sheetFormatPr baseColWidth="10" defaultRowHeight="12"/>
  <cols>
    <col min="6" max="6" width="13.5703125" bestFit="1" customWidth="1"/>
    <col min="13" max="13" width="14.28515625" bestFit="1" customWidth="1"/>
    <col min="16" max="16" width="14.42578125" bestFit="1" customWidth="1"/>
    <col min="24" max="24" width="15.85546875" bestFit="1" customWidth="1"/>
  </cols>
  <sheetData>
    <row r="1" spans="1:25" ht="15.75">
      <c r="A1" s="222"/>
      <c r="B1" s="222"/>
      <c r="C1" s="223"/>
      <c r="D1" s="223"/>
      <c r="E1" s="223"/>
      <c r="F1" s="223"/>
      <c r="G1" s="223"/>
      <c r="H1" s="369" t="s">
        <v>9048</v>
      </c>
      <c r="I1" s="370"/>
      <c r="J1" s="371"/>
      <c r="K1" s="372" t="s">
        <v>9049</v>
      </c>
      <c r="L1" s="370"/>
      <c r="M1" s="370"/>
      <c r="N1" s="370"/>
      <c r="O1" s="370"/>
      <c r="P1" s="370"/>
      <c r="Q1" s="370"/>
      <c r="R1" s="371"/>
      <c r="S1" s="373" t="s">
        <v>9050</v>
      </c>
      <c r="T1" s="374"/>
      <c r="U1" s="375" t="s">
        <v>9051</v>
      </c>
      <c r="V1" s="375"/>
      <c r="W1" s="376"/>
      <c r="X1" s="224"/>
      <c r="Y1" s="215"/>
    </row>
    <row r="2" spans="1:25" ht="12.75">
      <c r="A2" s="225" t="s">
        <v>9052</v>
      </c>
      <c r="B2" s="225" t="s">
        <v>213</v>
      </c>
      <c r="C2" s="225" t="s">
        <v>22</v>
      </c>
      <c r="D2" s="225" t="s">
        <v>21</v>
      </c>
      <c r="E2" s="225" t="s">
        <v>9053</v>
      </c>
      <c r="F2" s="225" t="s">
        <v>9054</v>
      </c>
      <c r="G2" s="225" t="s">
        <v>9055</v>
      </c>
      <c r="H2" s="225" t="s">
        <v>9056</v>
      </c>
      <c r="I2" s="225" t="s">
        <v>9057</v>
      </c>
      <c r="J2" s="226" t="s">
        <v>9058</v>
      </c>
      <c r="K2" s="286" t="s">
        <v>9056</v>
      </c>
      <c r="L2" s="225" t="s">
        <v>9059</v>
      </c>
      <c r="M2" s="225" t="s">
        <v>9060</v>
      </c>
      <c r="N2" s="225" t="s">
        <v>9061</v>
      </c>
      <c r="O2" s="225" t="s">
        <v>9062</v>
      </c>
      <c r="P2" s="225" t="s">
        <v>9063</v>
      </c>
      <c r="Q2" s="225" t="s">
        <v>9064</v>
      </c>
      <c r="R2" s="226" t="s">
        <v>9065</v>
      </c>
      <c r="S2" s="227" t="s">
        <v>9066</v>
      </c>
      <c r="T2" s="225" t="s">
        <v>9067</v>
      </c>
      <c r="U2" s="228" t="s">
        <v>9068</v>
      </c>
      <c r="V2" s="228" t="s">
        <v>9069</v>
      </c>
      <c r="W2" s="229" t="s">
        <v>9070</v>
      </c>
      <c r="X2" s="287" t="s">
        <v>9071</v>
      </c>
      <c r="Y2" s="288" t="s">
        <v>9072</v>
      </c>
    </row>
    <row r="3" spans="1:25" ht="13.5" thickBot="1">
      <c r="A3" s="299" t="s">
        <v>9073</v>
      </c>
      <c r="B3" s="300">
        <v>41626</v>
      </c>
      <c r="C3" s="299">
        <v>1</v>
      </c>
      <c r="D3" s="301">
        <v>221</v>
      </c>
      <c r="E3" s="299" t="s">
        <v>9279</v>
      </c>
      <c r="F3" s="302" t="s">
        <v>9277</v>
      </c>
      <c r="G3" s="302"/>
      <c r="H3" s="283">
        <v>18</v>
      </c>
      <c r="I3" s="283">
        <v>321.8</v>
      </c>
      <c r="J3" s="303">
        <f>I3*L3</f>
        <v>52.754098360655746</v>
      </c>
      <c r="K3" s="283">
        <v>5</v>
      </c>
      <c r="L3" s="239">
        <f>P3/M3</f>
        <v>0.16393442622950821</v>
      </c>
      <c r="M3" s="283">
        <v>48.8</v>
      </c>
      <c r="N3" s="304"/>
      <c r="O3" s="283">
        <v>61.8</v>
      </c>
      <c r="P3" s="283">
        <v>8</v>
      </c>
      <c r="Q3" s="302"/>
      <c r="R3" s="303">
        <f>O3*L3</f>
        <v>10.131147540983607</v>
      </c>
      <c r="S3" s="305">
        <f t="shared" ref="S3:S14" si="0">(R3+J3)/100</f>
        <v>0.62885245901639353</v>
      </c>
      <c r="T3" s="306">
        <f>4.48*S3^(-0.25)</f>
        <v>5.0308436814968696</v>
      </c>
      <c r="U3" s="307">
        <v>3.8997000000000002</v>
      </c>
      <c r="V3" s="308"/>
      <c r="W3" s="308">
        <f>(U3*P3)</f>
        <v>31.197600000000001</v>
      </c>
      <c r="X3" s="308">
        <f>W3/R3</f>
        <v>3.0793747572815535</v>
      </c>
      <c r="Y3" s="308">
        <f>X3/T3</f>
        <v>0.61209907368167737</v>
      </c>
    </row>
    <row r="4" spans="1:25" ht="13.5" thickBot="1">
      <c r="A4" s="230" t="s">
        <v>9073</v>
      </c>
      <c r="B4" s="231">
        <v>41626</v>
      </c>
      <c r="C4" s="230">
        <v>6</v>
      </c>
      <c r="D4" s="232">
        <v>249</v>
      </c>
      <c r="E4" s="230" t="s">
        <v>9279</v>
      </c>
      <c r="F4" s="233" t="s">
        <v>9278</v>
      </c>
      <c r="G4" s="233"/>
      <c r="H4" s="282">
        <v>25</v>
      </c>
      <c r="I4" s="283">
        <v>514.79999999999995</v>
      </c>
      <c r="J4" s="234">
        <f t="shared" ref="J4:J14" si="1">I4*L4</f>
        <v>98.343243243243222</v>
      </c>
      <c r="K4" s="282">
        <v>6</v>
      </c>
      <c r="L4" s="240">
        <f t="shared" ref="L4:L5" si="2">P4/M4</f>
        <v>0.19103194103194102</v>
      </c>
      <c r="M4" s="283">
        <v>162.80000000000001</v>
      </c>
      <c r="N4" s="304"/>
      <c r="O4" s="283">
        <v>204.8</v>
      </c>
      <c r="P4" s="283">
        <v>31.1</v>
      </c>
      <c r="Q4" s="241"/>
      <c r="R4" s="234">
        <f t="shared" ref="R4:R6" si="3">O4*L4</f>
        <v>39.123341523341523</v>
      </c>
      <c r="S4" s="236">
        <f t="shared" si="0"/>
        <v>1.3746658476658473</v>
      </c>
      <c r="T4" s="237">
        <f t="shared" ref="T4:T14" si="4">4.48*S4^(-0.25)</f>
        <v>4.1374116044874905</v>
      </c>
      <c r="U4" s="284">
        <v>3.1730999999999998</v>
      </c>
      <c r="V4" s="308"/>
      <c r="W4" s="308">
        <f t="shared" ref="W4:W6" si="5">(U4*P4)</f>
        <v>98.683409999999995</v>
      </c>
      <c r="X4" s="308">
        <f t="shared" ref="X4:X14" si="6">W4/R4</f>
        <v>2.5223666015624997</v>
      </c>
      <c r="Y4" s="308">
        <f t="shared" ref="Y4:Y14" si="7">X4/T4</f>
        <v>0.60964845722062266</v>
      </c>
    </row>
    <row r="5" spans="1:25" ht="13.5" thickBot="1">
      <c r="A5" s="230" t="s">
        <v>9073</v>
      </c>
      <c r="B5" s="231">
        <v>41626</v>
      </c>
      <c r="C5" s="230">
        <v>7</v>
      </c>
      <c r="D5" s="232">
        <v>238</v>
      </c>
      <c r="E5" s="230" t="s">
        <v>9280</v>
      </c>
      <c r="F5" s="233" t="s">
        <v>9277</v>
      </c>
      <c r="G5" s="233"/>
      <c r="H5" s="282">
        <v>23</v>
      </c>
      <c r="I5" s="283">
        <v>453.8</v>
      </c>
      <c r="J5" s="234">
        <f t="shared" si="1"/>
        <v>78.744215938303341</v>
      </c>
      <c r="K5" s="282">
        <v>4</v>
      </c>
      <c r="L5" s="240">
        <f t="shared" si="2"/>
        <v>0.17352185089974292</v>
      </c>
      <c r="M5" s="283">
        <v>77.8</v>
      </c>
      <c r="N5" s="304"/>
      <c r="O5" s="283">
        <v>94.8</v>
      </c>
      <c r="P5" s="283">
        <v>13.5</v>
      </c>
      <c r="Q5" s="241"/>
      <c r="R5" s="234">
        <f t="shared" si="3"/>
        <v>16.449871465295629</v>
      </c>
      <c r="S5" s="236">
        <f t="shared" si="0"/>
        <v>0.9519408740359897</v>
      </c>
      <c r="T5" s="237">
        <f t="shared" si="4"/>
        <v>4.5355036450021649</v>
      </c>
      <c r="U5" s="284">
        <v>3.536</v>
      </c>
      <c r="V5" s="308"/>
      <c r="W5" s="308">
        <f t="shared" si="5"/>
        <v>47.735999999999997</v>
      </c>
      <c r="X5" s="308">
        <f t="shared" si="6"/>
        <v>2.9019071729957804</v>
      </c>
      <c r="Y5" s="308">
        <f t="shared" si="7"/>
        <v>0.63982027138121622</v>
      </c>
    </row>
    <row r="6" spans="1:25" ht="13.5" thickBot="1">
      <c r="A6" s="309" t="s">
        <v>9073</v>
      </c>
      <c r="B6" s="310">
        <v>41626</v>
      </c>
      <c r="C6" s="309">
        <v>7</v>
      </c>
      <c r="D6" s="311">
        <v>245</v>
      </c>
      <c r="E6" s="309" t="s">
        <v>9280</v>
      </c>
      <c r="F6" s="312" t="s">
        <v>9278</v>
      </c>
      <c r="G6" s="312"/>
      <c r="H6" s="313">
        <v>21</v>
      </c>
      <c r="I6" s="314">
        <v>566.79999999999995</v>
      </c>
      <c r="J6" s="315">
        <f t="shared" si="1"/>
        <v>108.21701323251416</v>
      </c>
      <c r="K6" s="313">
        <v>5</v>
      </c>
      <c r="L6" s="316">
        <f>P6/M6</f>
        <v>0.19092627599243855</v>
      </c>
      <c r="M6" s="314">
        <v>105.8</v>
      </c>
      <c r="N6" s="317"/>
      <c r="O6" s="314">
        <v>127.8</v>
      </c>
      <c r="P6" s="314">
        <v>20.2</v>
      </c>
      <c r="Q6" s="318"/>
      <c r="R6" s="315">
        <f t="shared" si="3"/>
        <v>24.400378071833646</v>
      </c>
      <c r="S6" s="319">
        <f t="shared" si="0"/>
        <v>1.3261739130434782</v>
      </c>
      <c r="T6" s="320">
        <f t="shared" si="4"/>
        <v>4.1747252034374727</v>
      </c>
      <c r="U6" s="321">
        <v>3.4224999999999999</v>
      </c>
      <c r="V6" s="322"/>
      <c r="W6" s="322">
        <f t="shared" si="5"/>
        <v>69.134499999999989</v>
      </c>
      <c r="X6" s="322">
        <f t="shared" si="6"/>
        <v>2.8333372456964003</v>
      </c>
      <c r="Y6" s="322">
        <f t="shared" si="7"/>
        <v>0.67868832261424727</v>
      </c>
    </row>
    <row r="7" spans="1:25" ht="14.25" thickTop="1" thickBot="1">
      <c r="A7" s="289" t="s">
        <v>9074</v>
      </c>
      <c r="B7" s="290">
        <v>41724</v>
      </c>
      <c r="C7" s="289">
        <v>2</v>
      </c>
      <c r="D7" s="291">
        <v>277</v>
      </c>
      <c r="E7" s="289" t="s">
        <v>9281</v>
      </c>
      <c r="F7" s="302" t="s">
        <v>9283</v>
      </c>
      <c r="G7" s="241"/>
      <c r="H7" s="292">
        <v>24</v>
      </c>
      <c r="I7" s="292">
        <v>2140</v>
      </c>
      <c r="J7" s="294">
        <f t="shared" si="1"/>
        <v>343.74491682070243</v>
      </c>
      <c r="K7" s="282">
        <v>5</v>
      </c>
      <c r="L7" s="293">
        <f>R7/O7</f>
        <v>0.16062846580406656</v>
      </c>
      <c r="M7" s="283">
        <v>211</v>
      </c>
      <c r="N7" s="283">
        <v>330</v>
      </c>
      <c r="O7" s="295">
        <f>M7+N7</f>
        <v>541</v>
      </c>
      <c r="P7" s="283">
        <v>35.5</v>
      </c>
      <c r="Q7" s="283">
        <v>51.4</v>
      </c>
      <c r="R7" s="294">
        <f>P7+Q7</f>
        <v>86.9</v>
      </c>
      <c r="S7" s="296">
        <f>(R7+J7)/100</f>
        <v>4.3064491682070241</v>
      </c>
      <c r="T7" s="297">
        <f>4.48*S7^(-0.25)</f>
        <v>3.1099125910010086</v>
      </c>
      <c r="U7" s="324">
        <v>3.7801</v>
      </c>
      <c r="V7" s="323">
        <v>2.5114000000000001</v>
      </c>
      <c r="W7" s="298">
        <f>(U7*P7)+(V7*Q7)</f>
        <v>263.27950999999996</v>
      </c>
      <c r="X7" s="298">
        <f t="shared" si="6"/>
        <v>3.0296836593785956</v>
      </c>
      <c r="Y7" s="327">
        <f t="shared" si="7"/>
        <v>0.97420219080929571</v>
      </c>
    </row>
    <row r="8" spans="1:25" ht="13.5" thickBot="1">
      <c r="A8" s="230" t="s">
        <v>9074</v>
      </c>
      <c r="B8" s="231">
        <v>41724</v>
      </c>
      <c r="C8" s="289">
        <v>3</v>
      </c>
      <c r="D8" s="232">
        <v>223</v>
      </c>
      <c r="E8" s="230" t="s">
        <v>9281</v>
      </c>
      <c r="F8" s="233" t="s">
        <v>7856</v>
      </c>
      <c r="G8" s="233"/>
      <c r="H8" s="283">
        <v>20</v>
      </c>
      <c r="I8" s="292">
        <v>2270</v>
      </c>
      <c r="J8" s="234">
        <f t="shared" si="1"/>
        <v>368.60476190476192</v>
      </c>
      <c r="K8" s="282">
        <v>8</v>
      </c>
      <c r="L8" s="293">
        <f t="shared" ref="L8:L14" si="8">R8/O8</f>
        <v>0.16238095238095238</v>
      </c>
      <c r="M8" s="283">
        <v>170</v>
      </c>
      <c r="N8" s="283">
        <v>460</v>
      </c>
      <c r="O8" s="235">
        <f t="shared" ref="O8:O14" si="9">M8+N8</f>
        <v>630</v>
      </c>
      <c r="P8" s="283">
        <v>28.7</v>
      </c>
      <c r="Q8" s="283">
        <v>73.599999999999994</v>
      </c>
      <c r="R8" s="234">
        <f t="shared" ref="R8:R14" si="10">P8+Q8</f>
        <v>102.3</v>
      </c>
      <c r="S8" s="236">
        <f t="shared" si="0"/>
        <v>4.7090476190476194</v>
      </c>
      <c r="T8" s="237">
        <f t="shared" si="4"/>
        <v>3.0411983308838519</v>
      </c>
      <c r="U8" s="307">
        <v>4.5027999999999997</v>
      </c>
      <c r="V8" s="284">
        <v>1.9947999999999999</v>
      </c>
      <c r="W8" s="238">
        <f t="shared" ref="W8:W14" si="11">(U8*P8)+(V8*Q8)</f>
        <v>276.04764</v>
      </c>
      <c r="X8" s="238">
        <f t="shared" si="6"/>
        <v>2.6984129032258064</v>
      </c>
      <c r="Y8" s="328">
        <f t="shared" si="7"/>
        <v>0.8872860660953924</v>
      </c>
    </row>
    <row r="9" spans="1:25" ht="13.5" thickBot="1">
      <c r="A9" s="230" t="s">
        <v>9074</v>
      </c>
      <c r="B9" s="231">
        <v>41724</v>
      </c>
      <c r="C9" s="289">
        <v>4</v>
      </c>
      <c r="D9" s="232">
        <v>268</v>
      </c>
      <c r="E9" s="230" t="s">
        <v>9281</v>
      </c>
      <c r="F9" s="233" t="s">
        <v>7856</v>
      </c>
      <c r="G9" s="233"/>
      <c r="H9" s="283">
        <v>41</v>
      </c>
      <c r="I9" s="292">
        <v>3020</v>
      </c>
      <c r="J9" s="234">
        <f t="shared" si="1"/>
        <v>490.24666666666667</v>
      </c>
      <c r="K9" s="282">
        <v>9</v>
      </c>
      <c r="L9" s="293">
        <f t="shared" si="8"/>
        <v>0.16233333333333333</v>
      </c>
      <c r="M9" s="283">
        <v>150</v>
      </c>
      <c r="N9" s="283">
        <v>450</v>
      </c>
      <c r="O9" s="235">
        <f t="shared" si="9"/>
        <v>600</v>
      </c>
      <c r="P9" s="283">
        <v>25.2</v>
      </c>
      <c r="Q9" s="283">
        <v>72.2</v>
      </c>
      <c r="R9" s="234">
        <f t="shared" si="10"/>
        <v>97.4</v>
      </c>
      <c r="S9" s="236">
        <f t="shared" si="0"/>
        <v>5.8764666666666665</v>
      </c>
      <c r="T9" s="237">
        <f t="shared" si="4"/>
        <v>2.8773914231741919</v>
      </c>
      <c r="U9" s="307">
        <v>4.9888000000000003</v>
      </c>
      <c r="V9" s="284">
        <v>2.2606999999999999</v>
      </c>
      <c r="W9" s="238">
        <f t="shared" si="11"/>
        <v>288.94029999999998</v>
      </c>
      <c r="X9" s="238">
        <f t="shared" si="6"/>
        <v>2.9665328542094453</v>
      </c>
      <c r="Y9" s="328">
        <f t="shared" si="7"/>
        <v>1.0309799460432523</v>
      </c>
    </row>
    <row r="10" spans="1:25" ht="13.5" thickBot="1">
      <c r="A10" s="230" t="s">
        <v>9074</v>
      </c>
      <c r="B10" s="231">
        <v>41724</v>
      </c>
      <c r="C10" s="289">
        <v>6</v>
      </c>
      <c r="D10" s="232">
        <v>249</v>
      </c>
      <c r="E10" s="230" t="s">
        <v>9281</v>
      </c>
      <c r="F10" s="312" t="s">
        <v>9283</v>
      </c>
      <c r="G10" s="233"/>
      <c r="H10" s="283">
        <v>37</v>
      </c>
      <c r="I10" s="292">
        <v>2140</v>
      </c>
      <c r="J10" s="234">
        <f t="shared" si="1"/>
        <v>326.03529411764703</v>
      </c>
      <c r="K10" s="282">
        <v>9</v>
      </c>
      <c r="L10" s="293">
        <f t="shared" si="8"/>
        <v>0.15235294117647058</v>
      </c>
      <c r="M10" s="283">
        <v>290</v>
      </c>
      <c r="N10" s="283">
        <v>560</v>
      </c>
      <c r="O10" s="235">
        <f t="shared" si="9"/>
        <v>850</v>
      </c>
      <c r="P10" s="283">
        <v>47.8</v>
      </c>
      <c r="Q10" s="283">
        <v>81.7</v>
      </c>
      <c r="R10" s="234">
        <f t="shared" si="10"/>
        <v>129.5</v>
      </c>
      <c r="S10" s="236">
        <f t="shared" si="0"/>
        <v>4.5553529411764702</v>
      </c>
      <c r="T10" s="237">
        <f t="shared" si="4"/>
        <v>3.0665320369048708</v>
      </c>
      <c r="U10" s="307">
        <v>4.4444999999999997</v>
      </c>
      <c r="V10" s="284">
        <v>2.5308000000000002</v>
      </c>
      <c r="W10" s="238">
        <f t="shared" si="11"/>
        <v>419.21346</v>
      </c>
      <c r="X10" s="238">
        <f t="shared" si="6"/>
        <v>3.2371695752895753</v>
      </c>
      <c r="Y10" s="328">
        <f t="shared" si="7"/>
        <v>1.0556451184370907</v>
      </c>
    </row>
    <row r="11" spans="1:25" ht="14.25" thickTop="1" thickBot="1">
      <c r="A11" s="230" t="s">
        <v>9074</v>
      </c>
      <c r="B11" s="231">
        <v>41724</v>
      </c>
      <c r="C11" s="289">
        <v>7</v>
      </c>
      <c r="D11" s="232">
        <v>238</v>
      </c>
      <c r="E11" s="230" t="s">
        <v>9282</v>
      </c>
      <c r="F11" s="302" t="s">
        <v>7856</v>
      </c>
      <c r="G11" s="233"/>
      <c r="H11" s="283">
        <v>36</v>
      </c>
      <c r="I11" s="292">
        <v>3840</v>
      </c>
      <c r="J11" s="234">
        <f t="shared" si="1"/>
        <v>557.83406113537114</v>
      </c>
      <c r="K11" s="282">
        <v>9</v>
      </c>
      <c r="L11" s="293">
        <f>R11/O11</f>
        <v>0.14526928675400291</v>
      </c>
      <c r="M11" s="283">
        <v>241</v>
      </c>
      <c r="N11" s="283">
        <v>446</v>
      </c>
      <c r="O11" s="235">
        <f t="shared" si="9"/>
        <v>687</v>
      </c>
      <c r="P11" s="283">
        <v>38.299999999999997</v>
      </c>
      <c r="Q11" s="283">
        <v>61.5</v>
      </c>
      <c r="R11" s="234">
        <f t="shared" si="10"/>
        <v>99.8</v>
      </c>
      <c r="S11" s="236">
        <f t="shared" si="0"/>
        <v>6.5763406113537108</v>
      </c>
      <c r="T11" s="237">
        <f t="shared" si="4"/>
        <v>2.7975762947043421</v>
      </c>
      <c r="U11" s="307">
        <v>5.6992000000000003</v>
      </c>
      <c r="V11" s="284">
        <v>2.9594999999999998</v>
      </c>
      <c r="W11" s="238">
        <f t="shared" si="11"/>
        <v>400.28860999999995</v>
      </c>
      <c r="X11" s="238">
        <f t="shared" si="6"/>
        <v>4.0109079158316625</v>
      </c>
      <c r="Y11" s="328">
        <f t="shared" si="7"/>
        <v>1.4337081435184056</v>
      </c>
    </row>
    <row r="12" spans="1:25" ht="13.5" thickBot="1">
      <c r="A12" s="230" t="s">
        <v>9074</v>
      </c>
      <c r="B12" s="231">
        <v>41724</v>
      </c>
      <c r="C12" s="289">
        <v>7</v>
      </c>
      <c r="D12" s="232">
        <v>245</v>
      </c>
      <c r="E12" s="230" t="s">
        <v>9282</v>
      </c>
      <c r="F12" s="233" t="s">
        <v>9283</v>
      </c>
      <c r="G12" s="233"/>
      <c r="H12" s="283">
        <v>26</v>
      </c>
      <c r="I12" s="292">
        <v>5070</v>
      </c>
      <c r="J12" s="234">
        <f t="shared" si="1"/>
        <v>6801.8551401869154</v>
      </c>
      <c r="K12" s="282">
        <v>6</v>
      </c>
      <c r="L12" s="293">
        <f t="shared" si="8"/>
        <v>1.341588785046729</v>
      </c>
      <c r="M12" s="283">
        <v>450</v>
      </c>
      <c r="N12" s="283">
        <v>620</v>
      </c>
      <c r="O12" s="235">
        <f t="shared" si="9"/>
        <v>1070</v>
      </c>
      <c r="P12" s="283">
        <v>657</v>
      </c>
      <c r="Q12" s="283">
        <v>778.5</v>
      </c>
      <c r="R12" s="234">
        <f t="shared" si="10"/>
        <v>1435.5</v>
      </c>
      <c r="S12" s="236">
        <f t="shared" si="0"/>
        <v>82.37355140186915</v>
      </c>
      <c r="T12" s="237">
        <f t="shared" si="4"/>
        <v>1.4870688156910032</v>
      </c>
      <c r="U12" s="307">
        <v>5.2750000000000004</v>
      </c>
      <c r="V12" s="284">
        <v>2.9167000000000001</v>
      </c>
      <c r="W12" s="238">
        <f t="shared" si="11"/>
        <v>5736.3259500000004</v>
      </c>
      <c r="X12" s="238">
        <f t="shared" si="6"/>
        <v>3.9960473354231976</v>
      </c>
      <c r="Y12" s="328">
        <f t="shared" si="7"/>
        <v>2.6871973194907834</v>
      </c>
    </row>
    <row r="13" spans="1:25" ht="13.5" thickBot="1">
      <c r="A13" s="230" t="s">
        <v>9074</v>
      </c>
      <c r="B13" s="231">
        <v>41724</v>
      </c>
      <c r="C13" s="289">
        <v>10</v>
      </c>
      <c r="D13" s="232">
        <v>277</v>
      </c>
      <c r="E13" s="230" t="s">
        <v>9282</v>
      </c>
      <c r="F13" s="233" t="s">
        <v>7856</v>
      </c>
      <c r="G13" s="233"/>
      <c r="H13" s="283">
        <v>32</v>
      </c>
      <c r="I13" s="292">
        <v>4460</v>
      </c>
      <c r="J13" s="234">
        <f t="shared" si="1"/>
        <v>769.17846153846142</v>
      </c>
      <c r="K13" s="282">
        <v>8</v>
      </c>
      <c r="L13" s="293">
        <f t="shared" si="8"/>
        <v>0.17246153846153844</v>
      </c>
      <c r="M13" s="283">
        <v>250</v>
      </c>
      <c r="N13" s="283">
        <v>400</v>
      </c>
      <c r="O13" s="235">
        <f t="shared" si="9"/>
        <v>650</v>
      </c>
      <c r="P13" s="283">
        <v>48.9</v>
      </c>
      <c r="Q13" s="283">
        <v>63.2</v>
      </c>
      <c r="R13" s="234">
        <f t="shared" si="10"/>
        <v>112.1</v>
      </c>
      <c r="S13" s="236">
        <f t="shared" si="0"/>
        <v>8.812784615384615</v>
      </c>
      <c r="T13" s="237">
        <f t="shared" si="4"/>
        <v>2.6001579165753377</v>
      </c>
      <c r="U13" s="307">
        <v>5.8574999999999999</v>
      </c>
      <c r="V13" s="284">
        <v>3.2637999999999998</v>
      </c>
      <c r="W13" s="238">
        <f t="shared" si="11"/>
        <v>492.70390999999995</v>
      </c>
      <c r="X13" s="238">
        <f t="shared" si="6"/>
        <v>4.3952177520071363</v>
      </c>
      <c r="Y13" s="328">
        <f t="shared" si="7"/>
        <v>1.6903656981711588</v>
      </c>
    </row>
    <row r="14" spans="1:25" ht="13.5" thickBot="1">
      <c r="A14" s="230" t="s">
        <v>9074</v>
      </c>
      <c r="B14" s="231">
        <v>41724</v>
      </c>
      <c r="C14" s="289">
        <v>11</v>
      </c>
      <c r="D14" s="232">
        <v>259</v>
      </c>
      <c r="E14" s="230" t="s">
        <v>9282</v>
      </c>
      <c r="F14" s="312" t="s">
        <v>9283</v>
      </c>
      <c r="G14" s="233"/>
      <c r="H14" s="283" t="s">
        <v>9284</v>
      </c>
      <c r="I14" s="292">
        <v>6550</v>
      </c>
      <c r="J14" s="234">
        <f t="shared" si="1"/>
        <v>801.4724409448819</v>
      </c>
      <c r="K14" s="282">
        <v>9</v>
      </c>
      <c r="L14" s="293">
        <f t="shared" si="8"/>
        <v>0.12236220472440945</v>
      </c>
      <c r="M14" s="283">
        <v>1210</v>
      </c>
      <c r="N14" s="283">
        <v>1330</v>
      </c>
      <c r="O14" s="235">
        <f t="shared" si="9"/>
        <v>2540</v>
      </c>
      <c r="P14" s="283">
        <v>154.4</v>
      </c>
      <c r="Q14" s="283">
        <v>156.4</v>
      </c>
      <c r="R14" s="234">
        <f t="shared" si="10"/>
        <v>310.8</v>
      </c>
      <c r="S14" s="236">
        <f t="shared" si="0"/>
        <v>11.12272440944882</v>
      </c>
      <c r="T14" s="237">
        <f t="shared" si="4"/>
        <v>2.4531563009025201</v>
      </c>
      <c r="U14" s="325">
        <v>4.8765999999999998</v>
      </c>
      <c r="V14" s="285">
        <v>2.76</v>
      </c>
      <c r="W14" s="238">
        <f t="shared" si="11"/>
        <v>1184.61104</v>
      </c>
      <c r="X14" s="238">
        <f t="shared" si="6"/>
        <v>3.8114898326898325</v>
      </c>
      <c r="Y14" s="328">
        <f t="shared" si="7"/>
        <v>1.5537085147357221</v>
      </c>
    </row>
    <row r="15" spans="1:25" ht="12.75" thickTop="1"/>
    <row r="16" spans="1:25" ht="12.75">
      <c r="A16" s="242" t="s">
        <v>9075</v>
      </c>
      <c r="B16" s="222"/>
      <c r="C16" s="222"/>
      <c r="D16" s="222"/>
      <c r="E16" s="222"/>
      <c r="F16" s="222"/>
      <c r="G16" s="222"/>
      <c r="H16" s="222"/>
      <c r="I16" s="222"/>
      <c r="J16" s="222"/>
    </row>
    <row r="17" spans="1:10" ht="12.75">
      <c r="A17" s="243" t="s">
        <v>9076</v>
      </c>
      <c r="B17" s="222"/>
      <c r="C17" s="222"/>
      <c r="D17" s="222"/>
      <c r="E17" s="222"/>
      <c r="F17" s="222"/>
      <c r="G17" s="222"/>
      <c r="H17" s="222"/>
      <c r="I17" s="222"/>
      <c r="J17" s="222"/>
    </row>
    <row r="18" spans="1:10" ht="12.75">
      <c r="A18" s="243" t="s">
        <v>9077</v>
      </c>
      <c r="B18" s="222"/>
      <c r="C18" s="222"/>
      <c r="D18" s="222"/>
      <c r="E18" s="222"/>
      <c r="F18" s="222"/>
      <c r="G18" s="222"/>
      <c r="H18" s="222"/>
      <c r="I18" s="222"/>
      <c r="J18" s="222"/>
    </row>
    <row r="19" spans="1:10" ht="12.75">
      <c r="A19" s="243" t="s">
        <v>9087</v>
      </c>
      <c r="B19" s="222"/>
      <c r="C19" s="222"/>
      <c r="D19" s="222"/>
      <c r="E19" s="222"/>
      <c r="F19" s="222"/>
      <c r="G19" s="222"/>
      <c r="H19" s="222"/>
      <c r="I19" s="222"/>
      <c r="J19" s="222"/>
    </row>
    <row r="20" spans="1:10" ht="12.75">
      <c r="A20" s="243" t="s">
        <v>9088</v>
      </c>
      <c r="B20" s="222"/>
      <c r="C20" s="222"/>
      <c r="D20" s="222"/>
      <c r="E20" s="222"/>
      <c r="F20" s="222"/>
      <c r="G20" s="222"/>
      <c r="H20" s="222"/>
      <c r="I20" s="222"/>
      <c r="J20" s="222"/>
    </row>
    <row r="21" spans="1:10" ht="12.75">
      <c r="A21" s="243" t="s">
        <v>9089</v>
      </c>
      <c r="B21" s="222"/>
      <c r="C21" s="222"/>
      <c r="D21" s="222"/>
      <c r="E21" s="222"/>
      <c r="F21" s="222"/>
      <c r="G21" s="222"/>
      <c r="H21" s="222"/>
      <c r="I21" s="222"/>
      <c r="J21" s="222"/>
    </row>
    <row r="22" spans="1:10" ht="12.75">
      <c r="A22" s="243" t="s">
        <v>9078</v>
      </c>
      <c r="B22" s="222"/>
      <c r="C22" s="222"/>
      <c r="D22" s="222"/>
      <c r="E22" s="222"/>
      <c r="F22" s="222"/>
      <c r="G22" s="222"/>
      <c r="H22" s="222"/>
      <c r="I22" s="222"/>
      <c r="J22" s="222"/>
    </row>
    <row r="23" spans="1:10" ht="12.75">
      <c r="A23" s="242" t="s">
        <v>9079</v>
      </c>
      <c r="B23" s="222"/>
      <c r="C23" s="222"/>
      <c r="D23" s="222"/>
      <c r="E23" s="222"/>
      <c r="F23" s="222"/>
      <c r="G23" s="222"/>
      <c r="H23" s="222"/>
      <c r="I23" s="222"/>
      <c r="J23" s="222"/>
    </row>
    <row r="24" spans="1:10" ht="12.75">
      <c r="A24" s="242" t="s">
        <v>9080</v>
      </c>
      <c r="B24" s="222"/>
      <c r="C24" s="222"/>
      <c r="D24" s="222"/>
      <c r="E24" s="222"/>
      <c r="F24" s="222"/>
      <c r="G24" s="222"/>
      <c r="H24" s="222"/>
      <c r="I24" s="222"/>
      <c r="J24" s="222"/>
    </row>
    <row r="25" spans="1:10" ht="12.75">
      <c r="A25" s="242" t="s">
        <v>9081</v>
      </c>
      <c r="B25" s="222"/>
      <c r="C25" s="222"/>
      <c r="D25" s="222"/>
      <c r="E25" s="222"/>
      <c r="F25" s="222"/>
      <c r="G25" s="222"/>
      <c r="H25" s="222"/>
      <c r="I25" s="222"/>
      <c r="J25" s="222"/>
    </row>
    <row r="26" spans="1:10" ht="12.75">
      <c r="A26" s="243" t="s">
        <v>9082</v>
      </c>
      <c r="B26" s="222"/>
      <c r="C26" s="222"/>
      <c r="D26" s="222"/>
      <c r="E26" s="222"/>
      <c r="F26" s="222"/>
      <c r="G26" s="222"/>
      <c r="H26" s="222"/>
      <c r="I26" s="222"/>
      <c r="J26" s="222"/>
    </row>
    <row r="27" spans="1:10" ht="12.75">
      <c r="A27" s="243" t="s">
        <v>9083</v>
      </c>
      <c r="B27" s="222"/>
      <c r="C27" s="222"/>
      <c r="D27" s="222"/>
      <c r="E27" s="222"/>
      <c r="F27" s="222"/>
      <c r="G27" s="222"/>
      <c r="H27" s="222"/>
      <c r="I27" s="222"/>
      <c r="J27" s="222"/>
    </row>
    <row r="28" spans="1:10" ht="12.75">
      <c r="A28" s="243" t="s">
        <v>9084</v>
      </c>
      <c r="B28" s="222"/>
      <c r="C28" s="222"/>
      <c r="D28" s="222"/>
      <c r="E28" s="222"/>
      <c r="F28" s="222"/>
      <c r="G28" s="222"/>
      <c r="H28" s="222"/>
      <c r="I28" s="222"/>
      <c r="J28" s="222"/>
    </row>
    <row r="29" spans="1:10" ht="12.75">
      <c r="A29" s="243" t="s">
        <v>9085</v>
      </c>
      <c r="B29" s="222"/>
      <c r="C29" s="222"/>
      <c r="D29" s="222"/>
      <c r="E29" s="222"/>
      <c r="F29" s="222"/>
      <c r="G29" s="222"/>
      <c r="H29" s="222"/>
      <c r="I29" s="222"/>
      <c r="J29" s="222"/>
    </row>
    <row r="30" spans="1:10" ht="12.75">
      <c r="A30" s="222"/>
      <c r="B30" s="222"/>
      <c r="C30" s="222"/>
      <c r="D30" s="222"/>
      <c r="E30" s="222"/>
      <c r="F30" s="222"/>
      <c r="G30" s="222"/>
      <c r="H30" s="222"/>
      <c r="I30" s="222"/>
      <c r="J30" s="222"/>
    </row>
    <row r="31" spans="1:10" ht="12.75">
      <c r="A31" s="222" t="s">
        <v>9086</v>
      </c>
      <c r="B31" s="222"/>
      <c r="C31" s="222"/>
      <c r="D31" s="222"/>
      <c r="E31" s="222"/>
      <c r="F31" s="222"/>
      <c r="G31" s="222"/>
      <c r="H31" s="222"/>
      <c r="I31" s="222"/>
      <c r="J31" s="222"/>
    </row>
  </sheetData>
  <mergeCells count="4">
    <mergeCell ref="H1:J1"/>
    <mergeCell ref="K1:R1"/>
    <mergeCell ref="S1:T1"/>
    <mergeCell ref="U1:W1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U19"/>
  <sheetViews>
    <sheetView zoomScale="80" zoomScaleNormal="80" workbookViewId="0">
      <selection activeCell="O29" sqref="O29"/>
    </sheetView>
  </sheetViews>
  <sheetFormatPr baseColWidth="10" defaultRowHeight="12"/>
  <cols>
    <col min="1" max="1" width="4.5703125" bestFit="1" customWidth="1"/>
    <col min="2" max="7" width="4.42578125" bestFit="1" customWidth="1"/>
    <col min="8" max="8" width="4.85546875" bestFit="1" customWidth="1"/>
    <col min="9" max="9" width="4.42578125" bestFit="1" customWidth="1"/>
    <col min="10" max="18" width="4.85546875" bestFit="1" customWidth="1"/>
    <col min="19" max="19" width="4.42578125" bestFit="1" customWidth="1"/>
    <col min="20" max="28" width="4.85546875" bestFit="1" customWidth="1"/>
    <col min="29" max="29" width="4.42578125" bestFit="1" customWidth="1"/>
    <col min="30" max="38" width="4.85546875" bestFit="1" customWidth="1"/>
    <col min="39" max="39" width="4.42578125" bestFit="1" customWidth="1"/>
    <col min="40" max="48" width="4.85546875" bestFit="1" customWidth="1"/>
    <col min="49" max="49" width="4.42578125" bestFit="1" customWidth="1"/>
    <col min="50" max="58" width="4.85546875" bestFit="1" customWidth="1"/>
    <col min="59" max="59" width="4.42578125" bestFit="1" customWidth="1"/>
    <col min="60" max="68" width="4.85546875" bestFit="1" customWidth="1"/>
    <col min="69" max="69" width="4.42578125" bestFit="1" customWidth="1"/>
    <col min="70" max="73" width="4.85546875" bestFit="1" customWidth="1"/>
  </cols>
  <sheetData>
    <row r="2" spans="1:73">
      <c r="A2" s="252">
        <v>12</v>
      </c>
      <c r="B2" s="257">
        <v>29</v>
      </c>
      <c r="C2" s="257">
        <v>52</v>
      </c>
      <c r="D2" s="257">
        <v>107</v>
      </c>
      <c r="E2" s="257">
        <v>153</v>
      </c>
      <c r="F2" s="257">
        <v>120</v>
      </c>
      <c r="G2" s="257">
        <v>113</v>
      </c>
      <c r="H2" s="257">
        <v>197</v>
      </c>
      <c r="I2" s="257">
        <v>142</v>
      </c>
      <c r="J2" s="257">
        <v>144</v>
      </c>
      <c r="K2" s="257">
        <v>41</v>
      </c>
      <c r="L2" s="257">
        <v>43</v>
      </c>
      <c r="M2" s="257">
        <v>194</v>
      </c>
      <c r="N2" s="257">
        <v>50</v>
      </c>
      <c r="O2" s="257">
        <v>101</v>
      </c>
      <c r="P2" s="257">
        <v>48</v>
      </c>
      <c r="Q2" s="257">
        <v>61</v>
      </c>
      <c r="R2" s="257">
        <v>141</v>
      </c>
      <c r="S2" s="257">
        <v>100</v>
      </c>
      <c r="T2" s="257">
        <v>97</v>
      </c>
      <c r="U2" s="257">
        <v>12</v>
      </c>
      <c r="V2" s="257">
        <v>7</v>
      </c>
      <c r="W2" s="257">
        <v>104</v>
      </c>
      <c r="X2" s="257">
        <v>181</v>
      </c>
      <c r="Y2" s="257">
        <v>167</v>
      </c>
      <c r="Z2" s="257">
        <v>28</v>
      </c>
      <c r="AA2" s="257">
        <v>68</v>
      </c>
      <c r="AB2" s="257">
        <v>95</v>
      </c>
      <c r="AC2" s="257">
        <v>165</v>
      </c>
      <c r="AD2" s="257">
        <v>82</v>
      </c>
      <c r="AE2" s="257">
        <v>200</v>
      </c>
      <c r="AF2" s="257">
        <v>159</v>
      </c>
      <c r="AG2" s="257">
        <v>162</v>
      </c>
      <c r="AH2" s="257">
        <v>198</v>
      </c>
      <c r="AI2" s="257">
        <v>34</v>
      </c>
      <c r="AJ2" s="257">
        <v>112</v>
      </c>
      <c r="AK2" s="258">
        <v>44</v>
      </c>
      <c r="AL2" s="267">
        <v>180</v>
      </c>
      <c r="AM2" s="268">
        <v>98</v>
      </c>
      <c r="AN2" s="268">
        <v>113</v>
      </c>
      <c r="AO2" s="268">
        <v>136</v>
      </c>
      <c r="AP2" s="268">
        <v>130</v>
      </c>
      <c r="AQ2" s="268">
        <v>71</v>
      </c>
      <c r="AR2" s="268">
        <v>95</v>
      </c>
      <c r="AS2" s="268">
        <v>33</v>
      </c>
      <c r="AT2" s="268">
        <v>9</v>
      </c>
      <c r="AU2" s="268">
        <v>141</v>
      </c>
      <c r="AV2" s="268">
        <v>94</v>
      </c>
      <c r="AW2" s="268">
        <v>201</v>
      </c>
      <c r="AX2" s="268">
        <v>138</v>
      </c>
      <c r="AY2" s="268">
        <v>61</v>
      </c>
      <c r="AZ2" s="268">
        <v>193</v>
      </c>
      <c r="BA2" s="268">
        <v>82</v>
      </c>
      <c r="BB2" s="268">
        <v>99</v>
      </c>
      <c r="BC2" s="268">
        <v>119</v>
      </c>
      <c r="BD2" s="268">
        <v>124</v>
      </c>
      <c r="BE2" s="268">
        <v>57</v>
      </c>
      <c r="BF2" s="268">
        <v>67</v>
      </c>
      <c r="BG2" s="268">
        <v>144</v>
      </c>
      <c r="BH2" s="268">
        <v>56</v>
      </c>
      <c r="BI2" s="268">
        <v>17</v>
      </c>
      <c r="BJ2" s="268">
        <v>156</v>
      </c>
      <c r="BK2" s="268">
        <v>211</v>
      </c>
      <c r="BL2" s="268">
        <v>100</v>
      </c>
      <c r="BM2" s="268">
        <v>166</v>
      </c>
      <c r="BN2" s="268">
        <v>69</v>
      </c>
      <c r="BO2" s="268">
        <v>76</v>
      </c>
      <c r="BP2" s="268">
        <v>206</v>
      </c>
      <c r="BQ2" s="268">
        <v>51</v>
      </c>
      <c r="BR2" s="268">
        <v>200</v>
      </c>
      <c r="BS2" s="268">
        <v>135</v>
      </c>
      <c r="BT2" s="268">
        <v>106</v>
      </c>
      <c r="BU2" s="269">
        <v>189</v>
      </c>
    </row>
    <row r="3" spans="1:73">
      <c r="A3" s="253">
        <v>11</v>
      </c>
      <c r="B3" s="259">
        <v>74</v>
      </c>
      <c r="C3" s="259">
        <v>10</v>
      </c>
      <c r="D3" s="259">
        <v>148</v>
      </c>
      <c r="E3" s="259">
        <v>155</v>
      </c>
      <c r="F3" s="259">
        <v>32</v>
      </c>
      <c r="G3" s="259">
        <v>121</v>
      </c>
      <c r="H3" s="259">
        <v>164</v>
      </c>
      <c r="I3" s="259">
        <v>93</v>
      </c>
      <c r="J3" s="259">
        <v>133</v>
      </c>
      <c r="K3" s="259">
        <v>6</v>
      </c>
      <c r="L3" s="259">
        <v>109</v>
      </c>
      <c r="M3" s="259">
        <v>176</v>
      </c>
      <c r="N3" s="259">
        <v>191</v>
      </c>
      <c r="O3" s="259">
        <v>183</v>
      </c>
      <c r="P3" s="259">
        <v>138</v>
      </c>
      <c r="Q3" s="259">
        <v>72</v>
      </c>
      <c r="R3" s="259">
        <v>136</v>
      </c>
      <c r="S3" s="259">
        <v>103</v>
      </c>
      <c r="T3" s="259">
        <v>122</v>
      </c>
      <c r="U3" s="259">
        <v>129</v>
      </c>
      <c r="V3" s="259">
        <v>134</v>
      </c>
      <c r="W3" s="259">
        <v>125</v>
      </c>
      <c r="X3" s="259">
        <v>118</v>
      </c>
      <c r="Y3" s="259">
        <v>151</v>
      </c>
      <c r="Z3" s="259">
        <v>186</v>
      </c>
      <c r="AA3" s="259">
        <v>38</v>
      </c>
      <c r="AB3" s="259">
        <v>9</v>
      </c>
      <c r="AC3" s="259">
        <v>178</v>
      </c>
      <c r="AD3" s="259">
        <v>19</v>
      </c>
      <c r="AE3" s="259">
        <v>215</v>
      </c>
      <c r="AF3" s="259">
        <v>27</v>
      </c>
      <c r="AG3" s="259">
        <v>45</v>
      </c>
      <c r="AH3" s="259">
        <v>204</v>
      </c>
      <c r="AI3" s="259">
        <v>208</v>
      </c>
      <c r="AJ3" s="259">
        <v>202</v>
      </c>
      <c r="AK3" s="260">
        <v>87</v>
      </c>
      <c r="AL3" s="270">
        <v>29</v>
      </c>
      <c r="AM3" s="265">
        <v>25</v>
      </c>
      <c r="AN3" s="265">
        <v>47</v>
      </c>
      <c r="AO3" s="265">
        <v>143</v>
      </c>
      <c r="AP3" s="265">
        <v>38</v>
      </c>
      <c r="AQ3" s="265">
        <v>173</v>
      </c>
      <c r="AR3" s="265">
        <v>85</v>
      </c>
      <c r="AS3" s="265">
        <v>129</v>
      </c>
      <c r="AT3" s="265">
        <v>89</v>
      </c>
      <c r="AU3" s="265">
        <v>214</v>
      </c>
      <c r="AV3" s="265">
        <v>36</v>
      </c>
      <c r="AW3" s="265">
        <v>120</v>
      </c>
      <c r="AX3" s="265">
        <v>77</v>
      </c>
      <c r="AY3" s="265">
        <v>18</v>
      </c>
      <c r="AZ3" s="265">
        <v>179</v>
      </c>
      <c r="BA3" s="265">
        <v>172</v>
      </c>
      <c r="BB3" s="265">
        <v>46</v>
      </c>
      <c r="BC3" s="265">
        <v>87</v>
      </c>
      <c r="BD3" s="265">
        <v>34</v>
      </c>
      <c r="BE3" s="265">
        <v>202</v>
      </c>
      <c r="BF3" s="265">
        <v>115</v>
      </c>
      <c r="BG3" s="265">
        <v>52</v>
      </c>
      <c r="BH3" s="265">
        <v>88</v>
      </c>
      <c r="BI3" s="265">
        <v>72</v>
      </c>
      <c r="BJ3" s="265">
        <v>14</v>
      </c>
      <c r="BK3" s="265">
        <v>125</v>
      </c>
      <c r="BL3" s="265">
        <v>187</v>
      </c>
      <c r="BM3" s="265">
        <v>43</v>
      </c>
      <c r="BN3" s="265">
        <v>54</v>
      </c>
      <c r="BO3" s="265">
        <v>117</v>
      </c>
      <c r="BP3" s="265">
        <v>154</v>
      </c>
      <c r="BQ3" s="265">
        <v>139</v>
      </c>
      <c r="BR3" s="265">
        <v>151</v>
      </c>
      <c r="BS3" s="265">
        <v>10</v>
      </c>
      <c r="BT3" s="265">
        <v>140</v>
      </c>
      <c r="BU3" s="271">
        <v>147</v>
      </c>
    </row>
    <row r="4" spans="1:73">
      <c r="A4" s="253">
        <v>10</v>
      </c>
      <c r="B4" s="259">
        <v>123</v>
      </c>
      <c r="C4" s="259">
        <v>81</v>
      </c>
      <c r="D4" s="259">
        <v>105</v>
      </c>
      <c r="E4" s="259">
        <v>114</v>
      </c>
      <c r="F4" s="259">
        <v>211</v>
      </c>
      <c r="G4" s="259">
        <v>187</v>
      </c>
      <c r="H4" s="259">
        <v>4</v>
      </c>
      <c r="I4" s="259">
        <v>40</v>
      </c>
      <c r="J4" s="259">
        <v>203</v>
      </c>
      <c r="K4" s="259">
        <v>49</v>
      </c>
      <c r="L4" s="259">
        <v>196</v>
      </c>
      <c r="M4" s="259">
        <v>108</v>
      </c>
      <c r="N4" s="259">
        <v>46</v>
      </c>
      <c r="O4" s="259">
        <v>14</v>
      </c>
      <c r="P4" s="259">
        <v>119</v>
      </c>
      <c r="Q4" s="259">
        <v>94</v>
      </c>
      <c r="R4" s="259">
        <v>15</v>
      </c>
      <c r="S4" s="259">
        <v>75</v>
      </c>
      <c r="T4" s="259">
        <v>158</v>
      </c>
      <c r="U4" s="259">
        <v>169</v>
      </c>
      <c r="V4" s="259">
        <v>36</v>
      </c>
      <c r="W4" s="259">
        <v>90</v>
      </c>
      <c r="X4" s="259">
        <v>140</v>
      </c>
      <c r="Y4" s="259">
        <v>128</v>
      </c>
      <c r="Z4" s="259">
        <v>145</v>
      </c>
      <c r="AA4" s="259">
        <v>21</v>
      </c>
      <c r="AB4" s="259">
        <v>102</v>
      </c>
      <c r="AC4" s="259">
        <v>54</v>
      </c>
      <c r="AD4" s="259">
        <v>161</v>
      </c>
      <c r="AE4" s="259">
        <v>192</v>
      </c>
      <c r="AF4" s="259">
        <v>130</v>
      </c>
      <c r="AG4" s="259">
        <v>26</v>
      </c>
      <c r="AH4" s="259">
        <v>22</v>
      </c>
      <c r="AI4" s="259">
        <v>189</v>
      </c>
      <c r="AJ4" s="259">
        <v>57</v>
      </c>
      <c r="AK4" s="260">
        <v>16</v>
      </c>
      <c r="AL4" s="270">
        <v>104</v>
      </c>
      <c r="AM4" s="265">
        <v>39</v>
      </c>
      <c r="AN4" s="265">
        <v>160</v>
      </c>
      <c r="AO4" s="265">
        <v>150</v>
      </c>
      <c r="AP4" s="265">
        <v>169</v>
      </c>
      <c r="AQ4" s="265">
        <v>62</v>
      </c>
      <c r="AR4" s="265">
        <v>127</v>
      </c>
      <c r="AS4" s="265">
        <v>20</v>
      </c>
      <c r="AT4" s="265">
        <v>114</v>
      </c>
      <c r="AU4" s="265">
        <v>50</v>
      </c>
      <c r="AV4" s="265">
        <v>142</v>
      </c>
      <c r="AW4" s="265">
        <v>116</v>
      </c>
      <c r="AX4" s="265">
        <v>112</v>
      </c>
      <c r="AY4" s="265">
        <v>48</v>
      </c>
      <c r="AZ4" s="265">
        <v>159</v>
      </c>
      <c r="BA4" s="265">
        <v>155</v>
      </c>
      <c r="BB4" s="265">
        <v>73</v>
      </c>
      <c r="BC4" s="265">
        <v>92</v>
      </c>
      <c r="BD4" s="265">
        <v>161</v>
      </c>
      <c r="BE4" s="265">
        <v>126</v>
      </c>
      <c r="BF4" s="265">
        <v>209</v>
      </c>
      <c r="BG4" s="265">
        <v>213</v>
      </c>
      <c r="BH4" s="265">
        <v>60</v>
      </c>
      <c r="BI4" s="265">
        <v>3</v>
      </c>
      <c r="BJ4" s="265">
        <v>102</v>
      </c>
      <c r="BK4" s="265">
        <v>35</v>
      </c>
      <c r="BL4" s="265">
        <v>146</v>
      </c>
      <c r="BM4" s="265">
        <v>208</v>
      </c>
      <c r="BN4" s="265">
        <v>184</v>
      </c>
      <c r="BO4" s="265">
        <v>93</v>
      </c>
      <c r="BP4" s="265">
        <v>13</v>
      </c>
      <c r="BQ4" s="265">
        <v>152</v>
      </c>
      <c r="BR4" s="265">
        <v>134</v>
      </c>
      <c r="BS4" s="265">
        <v>163</v>
      </c>
      <c r="BT4" s="265">
        <v>64</v>
      </c>
      <c r="BU4" s="271">
        <v>2</v>
      </c>
    </row>
    <row r="5" spans="1:73">
      <c r="A5" s="253">
        <v>9</v>
      </c>
      <c r="B5" s="259">
        <v>76</v>
      </c>
      <c r="C5" s="259">
        <v>188</v>
      </c>
      <c r="D5" s="259">
        <v>163</v>
      </c>
      <c r="E5" s="259">
        <v>170</v>
      </c>
      <c r="F5" s="259">
        <v>177</v>
      </c>
      <c r="G5" s="259">
        <v>185</v>
      </c>
      <c r="H5" s="259">
        <v>175</v>
      </c>
      <c r="I5" s="259">
        <v>127</v>
      </c>
      <c r="J5" s="259">
        <v>96</v>
      </c>
      <c r="K5" s="259">
        <v>23</v>
      </c>
      <c r="L5" s="259">
        <v>47</v>
      </c>
      <c r="M5" s="259">
        <v>2</v>
      </c>
      <c r="N5" s="259">
        <v>168</v>
      </c>
      <c r="O5" s="259">
        <v>88</v>
      </c>
      <c r="P5" s="259">
        <v>156</v>
      </c>
      <c r="Q5" s="259">
        <v>190</v>
      </c>
      <c r="R5" s="259">
        <v>89</v>
      </c>
      <c r="S5" s="259">
        <v>58</v>
      </c>
      <c r="T5" s="259">
        <v>63</v>
      </c>
      <c r="U5" s="259">
        <v>193</v>
      </c>
      <c r="V5" s="259">
        <v>56</v>
      </c>
      <c r="W5" s="259">
        <v>131</v>
      </c>
      <c r="X5" s="259">
        <v>126</v>
      </c>
      <c r="Y5" s="259">
        <v>35</v>
      </c>
      <c r="Z5" s="259">
        <v>13</v>
      </c>
      <c r="AA5" s="259">
        <v>143</v>
      </c>
      <c r="AB5" s="259">
        <v>154</v>
      </c>
      <c r="AC5" s="259">
        <v>210</v>
      </c>
      <c r="AD5" s="259">
        <v>111</v>
      </c>
      <c r="AE5" s="259">
        <v>25</v>
      </c>
      <c r="AF5" s="259">
        <v>20</v>
      </c>
      <c r="AG5" s="259">
        <v>11</v>
      </c>
      <c r="AH5" s="259">
        <v>147</v>
      </c>
      <c r="AI5" s="259">
        <v>117</v>
      </c>
      <c r="AJ5" s="259">
        <v>59</v>
      </c>
      <c r="AK5" s="260">
        <v>213</v>
      </c>
      <c r="AL5" s="270">
        <v>4</v>
      </c>
      <c r="AM5" s="265">
        <v>137</v>
      </c>
      <c r="AN5" s="265">
        <v>37</v>
      </c>
      <c r="AO5" s="265">
        <v>205</v>
      </c>
      <c r="AP5" s="265">
        <v>23</v>
      </c>
      <c r="AQ5" s="265">
        <v>171</v>
      </c>
      <c r="AR5" s="265">
        <v>175</v>
      </c>
      <c r="AS5" s="265">
        <v>191</v>
      </c>
      <c r="AT5" s="265">
        <v>42</v>
      </c>
      <c r="AU5" s="265">
        <v>24</v>
      </c>
      <c r="AV5" s="265">
        <v>174</v>
      </c>
      <c r="AW5" s="265">
        <v>79</v>
      </c>
      <c r="AX5" s="265">
        <v>5</v>
      </c>
      <c r="AY5" s="265">
        <v>168</v>
      </c>
      <c r="AZ5" s="265">
        <v>16</v>
      </c>
      <c r="BA5" s="265">
        <v>215</v>
      </c>
      <c r="BB5" s="265">
        <v>65</v>
      </c>
      <c r="BC5" s="265">
        <v>32</v>
      </c>
      <c r="BD5" s="265">
        <v>216</v>
      </c>
      <c r="BE5" s="265">
        <v>58</v>
      </c>
      <c r="BF5" s="265">
        <v>41</v>
      </c>
      <c r="BG5" s="265">
        <v>59</v>
      </c>
      <c r="BH5" s="265">
        <v>198</v>
      </c>
      <c r="BI5" s="265">
        <v>75</v>
      </c>
      <c r="BJ5" s="265">
        <v>157</v>
      </c>
      <c r="BK5" s="265">
        <v>182</v>
      </c>
      <c r="BL5" s="265">
        <v>49</v>
      </c>
      <c r="BM5" s="265">
        <v>190</v>
      </c>
      <c r="BN5" s="265">
        <v>30</v>
      </c>
      <c r="BO5" s="265">
        <v>192</v>
      </c>
      <c r="BP5" s="265">
        <v>28</v>
      </c>
      <c r="BQ5" s="265">
        <v>70</v>
      </c>
      <c r="BR5" s="265">
        <v>101</v>
      </c>
      <c r="BS5" s="265">
        <v>188</v>
      </c>
      <c r="BT5" s="265">
        <v>6</v>
      </c>
      <c r="BU5" s="271">
        <v>118</v>
      </c>
    </row>
    <row r="6" spans="1:73">
      <c r="A6" s="253">
        <v>8</v>
      </c>
      <c r="B6" s="259">
        <v>184</v>
      </c>
      <c r="C6" s="259">
        <v>55</v>
      </c>
      <c r="D6" s="259">
        <v>77</v>
      </c>
      <c r="E6" s="259">
        <v>86</v>
      </c>
      <c r="F6" s="259">
        <v>62</v>
      </c>
      <c r="G6" s="259">
        <v>5</v>
      </c>
      <c r="H6" s="259">
        <v>18</v>
      </c>
      <c r="I6" s="259">
        <v>98</v>
      </c>
      <c r="J6" s="259">
        <v>149</v>
      </c>
      <c r="K6" s="259">
        <v>31</v>
      </c>
      <c r="L6" s="259">
        <v>42</v>
      </c>
      <c r="M6" s="259">
        <v>80</v>
      </c>
      <c r="N6" s="259">
        <v>195</v>
      </c>
      <c r="O6" s="259">
        <v>209</v>
      </c>
      <c r="P6" s="259">
        <v>85</v>
      </c>
      <c r="Q6" s="259">
        <v>172</v>
      </c>
      <c r="R6" s="259">
        <v>51</v>
      </c>
      <c r="S6" s="259">
        <v>60</v>
      </c>
      <c r="T6" s="259">
        <v>139</v>
      </c>
      <c r="U6" s="259">
        <v>124</v>
      </c>
      <c r="V6" s="259">
        <v>99</v>
      </c>
      <c r="W6" s="259">
        <v>214</v>
      </c>
      <c r="X6" s="259">
        <v>173</v>
      </c>
      <c r="Y6" s="259">
        <v>137</v>
      </c>
      <c r="Z6" s="259">
        <v>84</v>
      </c>
      <c r="AA6" s="259">
        <v>157</v>
      </c>
      <c r="AB6" s="259">
        <v>171</v>
      </c>
      <c r="AC6" s="259">
        <v>53</v>
      </c>
      <c r="AD6" s="259">
        <v>33</v>
      </c>
      <c r="AE6" s="259">
        <v>174</v>
      </c>
      <c r="AF6" s="259">
        <v>3</v>
      </c>
      <c r="AG6" s="259">
        <v>106</v>
      </c>
      <c r="AH6" s="259">
        <v>180</v>
      </c>
      <c r="AI6" s="259">
        <v>166</v>
      </c>
      <c r="AJ6" s="259">
        <v>205</v>
      </c>
      <c r="AK6" s="260">
        <v>160</v>
      </c>
      <c r="AL6" s="270">
        <v>176</v>
      </c>
      <c r="AM6" s="265">
        <v>97</v>
      </c>
      <c r="AN6" s="265">
        <v>158</v>
      </c>
      <c r="AO6" s="265">
        <v>203</v>
      </c>
      <c r="AP6" s="265">
        <v>21</v>
      </c>
      <c r="AQ6" s="265">
        <v>91</v>
      </c>
      <c r="AR6" s="265">
        <v>162</v>
      </c>
      <c r="AS6" s="265">
        <v>165</v>
      </c>
      <c r="AT6" s="265">
        <v>26</v>
      </c>
      <c r="AU6" s="265">
        <v>167</v>
      </c>
      <c r="AV6" s="265">
        <v>11</v>
      </c>
      <c r="AW6" s="265">
        <v>81</v>
      </c>
      <c r="AX6" s="265">
        <v>80</v>
      </c>
      <c r="AY6" s="265">
        <v>83</v>
      </c>
      <c r="AZ6" s="265">
        <v>197</v>
      </c>
      <c r="BA6" s="265">
        <v>111</v>
      </c>
      <c r="BB6" s="265">
        <v>177</v>
      </c>
      <c r="BC6" s="265">
        <v>103</v>
      </c>
      <c r="BD6" s="265">
        <v>164</v>
      </c>
      <c r="BE6" s="265">
        <v>108</v>
      </c>
      <c r="BF6" s="265">
        <v>7</v>
      </c>
      <c r="BG6" s="265">
        <v>68</v>
      </c>
      <c r="BH6" s="265">
        <v>22</v>
      </c>
      <c r="BI6" s="265">
        <v>63</v>
      </c>
      <c r="BJ6" s="265">
        <v>74</v>
      </c>
      <c r="BK6" s="265">
        <v>40</v>
      </c>
      <c r="BL6" s="265">
        <v>195</v>
      </c>
      <c r="BM6" s="265">
        <v>105</v>
      </c>
      <c r="BN6" s="265">
        <v>78</v>
      </c>
      <c r="BO6" s="265">
        <v>31</v>
      </c>
      <c r="BP6" s="265">
        <v>153</v>
      </c>
      <c r="BQ6" s="265">
        <v>27</v>
      </c>
      <c r="BR6" s="265">
        <v>96</v>
      </c>
      <c r="BS6" s="265">
        <v>199</v>
      </c>
      <c r="BT6" s="265">
        <v>194</v>
      </c>
      <c r="BU6" s="271">
        <v>84</v>
      </c>
    </row>
    <row r="7" spans="1:73">
      <c r="A7" s="253">
        <v>7</v>
      </c>
      <c r="B7" s="261">
        <v>206</v>
      </c>
      <c r="C7" s="261">
        <v>66</v>
      </c>
      <c r="D7" s="261">
        <v>64</v>
      </c>
      <c r="E7" s="261">
        <v>146</v>
      </c>
      <c r="F7" s="261">
        <v>135</v>
      </c>
      <c r="G7" s="261">
        <v>91</v>
      </c>
      <c r="H7" s="261">
        <v>199</v>
      </c>
      <c r="I7" s="261">
        <v>182</v>
      </c>
      <c r="J7" s="261">
        <v>83</v>
      </c>
      <c r="K7" s="261">
        <v>110</v>
      </c>
      <c r="L7" s="261">
        <v>69</v>
      </c>
      <c r="M7" s="261">
        <v>24</v>
      </c>
      <c r="N7" s="261">
        <v>39</v>
      </c>
      <c r="O7" s="261">
        <v>37</v>
      </c>
      <c r="P7" s="261">
        <v>179</v>
      </c>
      <c r="Q7" s="261">
        <v>115</v>
      </c>
      <c r="R7" s="261">
        <v>17</v>
      </c>
      <c r="S7" s="261">
        <v>116</v>
      </c>
      <c r="T7" s="261">
        <v>150</v>
      </c>
      <c r="U7" s="261">
        <v>71</v>
      </c>
      <c r="V7" s="261">
        <v>152</v>
      </c>
      <c r="W7" s="261">
        <v>79</v>
      </c>
      <c r="X7" s="261">
        <v>8</v>
      </c>
      <c r="Y7" s="261">
        <v>78</v>
      </c>
      <c r="Z7" s="261">
        <v>207</v>
      </c>
      <c r="AA7" s="261">
        <v>132</v>
      </c>
      <c r="AB7" s="261">
        <v>30</v>
      </c>
      <c r="AC7" s="261">
        <v>65</v>
      </c>
      <c r="AD7" s="261">
        <v>92</v>
      </c>
      <c r="AE7" s="261">
        <v>70</v>
      </c>
      <c r="AF7" s="261">
        <v>67</v>
      </c>
      <c r="AG7" s="261">
        <v>212</v>
      </c>
      <c r="AH7" s="261">
        <v>1</v>
      </c>
      <c r="AI7" s="261">
        <v>216</v>
      </c>
      <c r="AJ7" s="261">
        <v>201</v>
      </c>
      <c r="AK7" s="262">
        <v>73</v>
      </c>
      <c r="AL7" s="272">
        <v>90</v>
      </c>
      <c r="AM7" s="273">
        <v>186</v>
      </c>
      <c r="AN7" s="273">
        <v>86</v>
      </c>
      <c r="AO7" s="273">
        <v>170</v>
      </c>
      <c r="AP7" s="273">
        <v>207</v>
      </c>
      <c r="AQ7" s="273">
        <v>109</v>
      </c>
      <c r="AR7" s="273">
        <v>66</v>
      </c>
      <c r="AS7" s="273">
        <v>128</v>
      </c>
      <c r="AT7" s="273">
        <v>19</v>
      </c>
      <c r="AU7" s="273">
        <v>121</v>
      </c>
      <c r="AV7" s="273">
        <v>145</v>
      </c>
      <c r="AW7" s="273">
        <v>53</v>
      </c>
      <c r="AX7" s="273">
        <v>149</v>
      </c>
      <c r="AY7" s="273">
        <v>196</v>
      </c>
      <c r="AZ7" s="273">
        <v>122</v>
      </c>
      <c r="BA7" s="273">
        <v>210</v>
      </c>
      <c r="BB7" s="273">
        <v>55</v>
      </c>
      <c r="BC7" s="273">
        <v>133</v>
      </c>
      <c r="BD7" s="273">
        <v>148</v>
      </c>
      <c r="BE7" s="273">
        <v>8</v>
      </c>
      <c r="BF7" s="273">
        <v>107</v>
      </c>
      <c r="BG7" s="273">
        <v>132</v>
      </c>
      <c r="BH7" s="273">
        <v>1</v>
      </c>
      <c r="BI7" s="273">
        <v>212</v>
      </c>
      <c r="BJ7" s="273">
        <v>178</v>
      </c>
      <c r="BK7" s="273">
        <v>110</v>
      </c>
      <c r="BL7" s="273">
        <v>131</v>
      </c>
      <c r="BM7" s="273">
        <v>12</v>
      </c>
      <c r="BN7" s="273">
        <v>185</v>
      </c>
      <c r="BO7" s="273">
        <v>181</v>
      </c>
      <c r="BP7" s="273">
        <v>15</v>
      </c>
      <c r="BQ7" s="273">
        <v>44</v>
      </c>
      <c r="BR7" s="273">
        <v>123</v>
      </c>
      <c r="BS7" s="273">
        <v>183</v>
      </c>
      <c r="BT7" s="273">
        <v>204</v>
      </c>
      <c r="BU7" s="274">
        <v>45</v>
      </c>
    </row>
    <row r="8" spans="1:73">
      <c r="A8" s="253">
        <v>6</v>
      </c>
      <c r="B8" s="263">
        <v>29</v>
      </c>
      <c r="C8" s="263">
        <v>174</v>
      </c>
      <c r="D8" s="263">
        <v>21</v>
      </c>
      <c r="E8" s="263">
        <v>198</v>
      </c>
      <c r="F8" s="263">
        <v>78</v>
      </c>
      <c r="G8" s="263">
        <v>175</v>
      </c>
      <c r="H8" s="263">
        <v>213</v>
      </c>
      <c r="I8" s="263">
        <v>41</v>
      </c>
      <c r="J8" s="263">
        <v>69</v>
      </c>
      <c r="K8" s="263">
        <v>111</v>
      </c>
      <c r="L8" s="263">
        <v>150</v>
      </c>
      <c r="M8" s="263">
        <v>94</v>
      </c>
      <c r="N8" s="263">
        <v>162</v>
      </c>
      <c r="O8" s="263">
        <v>30</v>
      </c>
      <c r="P8" s="263">
        <v>67</v>
      </c>
      <c r="Q8" s="263">
        <v>127</v>
      </c>
      <c r="R8" s="263">
        <v>86</v>
      </c>
      <c r="S8" s="263">
        <v>215</v>
      </c>
      <c r="T8" s="263">
        <v>132</v>
      </c>
      <c r="U8" s="263">
        <v>27</v>
      </c>
      <c r="V8" s="263">
        <v>192</v>
      </c>
      <c r="W8" s="263">
        <v>122</v>
      </c>
      <c r="X8" s="263">
        <v>56</v>
      </c>
      <c r="Y8" s="263">
        <v>16</v>
      </c>
      <c r="Z8" s="263">
        <v>108</v>
      </c>
      <c r="AA8" s="263">
        <v>6</v>
      </c>
      <c r="AB8" s="263">
        <v>176</v>
      </c>
      <c r="AC8" s="263">
        <v>33</v>
      </c>
      <c r="AD8" s="263">
        <v>166</v>
      </c>
      <c r="AE8" s="263">
        <v>196</v>
      </c>
      <c r="AF8" s="263">
        <v>70</v>
      </c>
      <c r="AG8" s="263">
        <v>179</v>
      </c>
      <c r="AH8" s="263">
        <v>203</v>
      </c>
      <c r="AI8" s="263">
        <v>208</v>
      </c>
      <c r="AJ8" s="263">
        <v>22</v>
      </c>
      <c r="AK8" s="264">
        <v>212</v>
      </c>
      <c r="AL8" s="275">
        <v>180</v>
      </c>
      <c r="AM8" s="276">
        <v>55</v>
      </c>
      <c r="AN8" s="276">
        <v>5</v>
      </c>
      <c r="AO8" s="276">
        <v>28</v>
      </c>
      <c r="AP8" s="276">
        <v>197</v>
      </c>
      <c r="AQ8" s="276">
        <v>19</v>
      </c>
      <c r="AR8" s="276">
        <v>150</v>
      </c>
      <c r="AS8" s="276">
        <v>126</v>
      </c>
      <c r="AT8" s="276">
        <v>88</v>
      </c>
      <c r="AU8" s="276">
        <v>127</v>
      </c>
      <c r="AV8" s="276">
        <v>193</v>
      </c>
      <c r="AW8" s="276">
        <v>195</v>
      </c>
      <c r="AX8" s="276">
        <v>184</v>
      </c>
      <c r="AY8" s="276">
        <v>181</v>
      </c>
      <c r="AZ8" s="276">
        <v>120</v>
      </c>
      <c r="BA8" s="276">
        <v>134</v>
      </c>
      <c r="BB8" s="276">
        <v>153</v>
      </c>
      <c r="BC8" s="276">
        <v>199</v>
      </c>
      <c r="BD8" s="276">
        <v>108</v>
      </c>
      <c r="BE8" s="276">
        <v>194</v>
      </c>
      <c r="BF8" s="276">
        <v>122</v>
      </c>
      <c r="BG8" s="276">
        <v>89</v>
      </c>
      <c r="BH8" s="276">
        <v>133</v>
      </c>
      <c r="BI8" s="276">
        <v>77</v>
      </c>
      <c r="BJ8" s="276">
        <v>163</v>
      </c>
      <c r="BK8" s="276">
        <v>23</v>
      </c>
      <c r="BL8" s="276">
        <v>111</v>
      </c>
      <c r="BM8" s="276">
        <v>179</v>
      </c>
      <c r="BN8" s="276">
        <v>192</v>
      </c>
      <c r="BO8" s="276">
        <v>50</v>
      </c>
      <c r="BP8" s="276">
        <v>105</v>
      </c>
      <c r="BQ8" s="276">
        <v>110</v>
      </c>
      <c r="BR8" s="276">
        <v>10</v>
      </c>
      <c r="BS8" s="276">
        <v>151</v>
      </c>
      <c r="BT8" s="276">
        <v>48</v>
      </c>
      <c r="BU8" s="277">
        <v>185</v>
      </c>
    </row>
    <row r="9" spans="1:73">
      <c r="A9" s="253">
        <v>5</v>
      </c>
      <c r="B9" s="265">
        <v>54</v>
      </c>
      <c r="C9" s="265">
        <v>98</v>
      </c>
      <c r="D9" s="265">
        <v>64</v>
      </c>
      <c r="E9" s="265">
        <v>38</v>
      </c>
      <c r="F9" s="265">
        <v>155</v>
      </c>
      <c r="G9" s="265">
        <v>12</v>
      </c>
      <c r="H9" s="265">
        <v>119</v>
      </c>
      <c r="I9" s="265">
        <v>137</v>
      </c>
      <c r="J9" s="265">
        <v>101</v>
      </c>
      <c r="K9" s="265">
        <v>188</v>
      </c>
      <c r="L9" s="265">
        <v>77</v>
      </c>
      <c r="M9" s="265">
        <v>160</v>
      </c>
      <c r="N9" s="265">
        <v>124</v>
      </c>
      <c r="O9" s="265">
        <v>133</v>
      </c>
      <c r="P9" s="265">
        <v>138</v>
      </c>
      <c r="Q9" s="265">
        <v>43</v>
      </c>
      <c r="R9" s="265">
        <v>189</v>
      </c>
      <c r="S9" s="265">
        <v>195</v>
      </c>
      <c r="T9" s="265">
        <v>62</v>
      </c>
      <c r="U9" s="265">
        <v>71</v>
      </c>
      <c r="V9" s="265">
        <v>147</v>
      </c>
      <c r="W9" s="265">
        <v>72</v>
      </c>
      <c r="X9" s="265">
        <v>214</v>
      </c>
      <c r="Y9" s="265">
        <v>74</v>
      </c>
      <c r="Z9" s="265">
        <v>90</v>
      </c>
      <c r="AA9" s="265">
        <v>129</v>
      </c>
      <c r="AB9" s="265">
        <v>18</v>
      </c>
      <c r="AC9" s="265">
        <v>126</v>
      </c>
      <c r="AD9" s="265">
        <v>206</v>
      </c>
      <c r="AE9" s="265">
        <v>197</v>
      </c>
      <c r="AF9" s="265">
        <v>1</v>
      </c>
      <c r="AG9" s="265">
        <v>55</v>
      </c>
      <c r="AH9" s="265">
        <v>161</v>
      </c>
      <c r="AI9" s="265">
        <v>83</v>
      </c>
      <c r="AJ9" s="265">
        <v>102</v>
      </c>
      <c r="AK9" s="266">
        <v>23</v>
      </c>
      <c r="AL9" s="278">
        <v>84</v>
      </c>
      <c r="AM9" s="259">
        <v>107</v>
      </c>
      <c r="AN9" s="259">
        <v>129</v>
      </c>
      <c r="AO9" s="259">
        <v>59</v>
      </c>
      <c r="AP9" s="259">
        <v>76</v>
      </c>
      <c r="AQ9" s="259">
        <v>135</v>
      </c>
      <c r="AR9" s="259">
        <v>65</v>
      </c>
      <c r="AS9" s="259">
        <v>91</v>
      </c>
      <c r="AT9" s="259">
        <v>174</v>
      </c>
      <c r="AU9" s="259">
        <v>168</v>
      </c>
      <c r="AV9" s="259">
        <v>16</v>
      </c>
      <c r="AW9" s="259">
        <v>128</v>
      </c>
      <c r="AX9" s="259">
        <v>41</v>
      </c>
      <c r="AY9" s="259">
        <v>40</v>
      </c>
      <c r="AZ9" s="259">
        <v>117</v>
      </c>
      <c r="BA9" s="259">
        <v>202</v>
      </c>
      <c r="BB9" s="259">
        <v>60</v>
      </c>
      <c r="BC9" s="259">
        <v>124</v>
      </c>
      <c r="BD9" s="259">
        <v>2</v>
      </c>
      <c r="BE9" s="259">
        <v>214</v>
      </c>
      <c r="BF9" s="259">
        <v>148</v>
      </c>
      <c r="BG9" s="259">
        <v>49</v>
      </c>
      <c r="BH9" s="259">
        <v>112</v>
      </c>
      <c r="BI9" s="259">
        <v>118</v>
      </c>
      <c r="BJ9" s="259">
        <v>143</v>
      </c>
      <c r="BK9" s="259">
        <v>80</v>
      </c>
      <c r="BL9" s="259">
        <v>186</v>
      </c>
      <c r="BM9" s="259">
        <v>47</v>
      </c>
      <c r="BN9" s="259">
        <v>109</v>
      </c>
      <c r="BO9" s="259">
        <v>102</v>
      </c>
      <c r="BP9" s="259">
        <v>66</v>
      </c>
      <c r="BQ9" s="259">
        <v>203</v>
      </c>
      <c r="BR9" s="259">
        <v>201</v>
      </c>
      <c r="BS9" s="259">
        <v>31</v>
      </c>
      <c r="BT9" s="259">
        <v>161</v>
      </c>
      <c r="BU9" s="279">
        <v>33</v>
      </c>
    </row>
    <row r="10" spans="1:73">
      <c r="A10" s="253">
        <v>4</v>
      </c>
      <c r="B10" s="265">
        <v>66</v>
      </c>
      <c r="C10" s="265">
        <v>105</v>
      </c>
      <c r="D10" s="265">
        <v>75</v>
      </c>
      <c r="E10" s="265">
        <v>48</v>
      </c>
      <c r="F10" s="265">
        <v>136</v>
      </c>
      <c r="G10" s="265">
        <v>121</v>
      </c>
      <c r="H10" s="265">
        <v>7</v>
      </c>
      <c r="I10" s="265">
        <v>205</v>
      </c>
      <c r="J10" s="265">
        <v>63</v>
      </c>
      <c r="K10" s="265">
        <v>110</v>
      </c>
      <c r="L10" s="265">
        <v>156</v>
      </c>
      <c r="M10" s="265">
        <v>82</v>
      </c>
      <c r="N10" s="265">
        <v>45</v>
      </c>
      <c r="O10" s="265">
        <v>116</v>
      </c>
      <c r="P10" s="265">
        <v>50</v>
      </c>
      <c r="Q10" s="265">
        <v>47</v>
      </c>
      <c r="R10" s="265">
        <v>139</v>
      </c>
      <c r="S10" s="265">
        <v>35</v>
      </c>
      <c r="T10" s="265">
        <v>32</v>
      </c>
      <c r="U10" s="265">
        <v>173</v>
      </c>
      <c r="V10" s="265">
        <v>113</v>
      </c>
      <c r="W10" s="265">
        <v>200</v>
      </c>
      <c r="X10" s="265">
        <v>148</v>
      </c>
      <c r="Y10" s="265">
        <v>2</v>
      </c>
      <c r="Z10" s="265">
        <v>143</v>
      </c>
      <c r="AA10" s="265">
        <v>26</v>
      </c>
      <c r="AB10" s="265">
        <v>177</v>
      </c>
      <c r="AC10" s="265">
        <v>100</v>
      </c>
      <c r="AD10" s="265">
        <v>5</v>
      </c>
      <c r="AE10" s="265">
        <v>187</v>
      </c>
      <c r="AF10" s="265">
        <v>145</v>
      </c>
      <c r="AG10" s="265">
        <v>20</v>
      </c>
      <c r="AH10" s="265">
        <v>46</v>
      </c>
      <c r="AI10" s="265">
        <v>170</v>
      </c>
      <c r="AJ10" s="265">
        <v>95</v>
      </c>
      <c r="AK10" s="266">
        <v>51</v>
      </c>
      <c r="AL10" s="278">
        <v>141</v>
      </c>
      <c r="AM10" s="259">
        <v>71</v>
      </c>
      <c r="AN10" s="259">
        <v>121</v>
      </c>
      <c r="AO10" s="259">
        <v>159</v>
      </c>
      <c r="AP10" s="259">
        <v>34</v>
      </c>
      <c r="AQ10" s="259">
        <v>139</v>
      </c>
      <c r="AR10" s="259">
        <v>64</v>
      </c>
      <c r="AS10" s="259">
        <v>206</v>
      </c>
      <c r="AT10" s="259">
        <v>78</v>
      </c>
      <c r="AU10" s="259">
        <v>67</v>
      </c>
      <c r="AV10" s="259">
        <v>100</v>
      </c>
      <c r="AW10" s="259">
        <v>165</v>
      </c>
      <c r="AX10" s="259">
        <v>142</v>
      </c>
      <c r="AY10" s="259">
        <v>93</v>
      </c>
      <c r="AZ10" s="259">
        <v>119</v>
      </c>
      <c r="BA10" s="259">
        <v>42</v>
      </c>
      <c r="BB10" s="259">
        <v>95</v>
      </c>
      <c r="BC10" s="259">
        <v>57</v>
      </c>
      <c r="BD10" s="259">
        <v>208</v>
      </c>
      <c r="BE10" s="259">
        <v>156</v>
      </c>
      <c r="BF10" s="259">
        <v>45</v>
      </c>
      <c r="BG10" s="259">
        <v>162</v>
      </c>
      <c r="BH10" s="259">
        <v>103</v>
      </c>
      <c r="BI10" s="259">
        <v>157</v>
      </c>
      <c r="BJ10" s="259">
        <v>101</v>
      </c>
      <c r="BK10" s="259">
        <v>27</v>
      </c>
      <c r="BL10" s="259">
        <v>53</v>
      </c>
      <c r="BM10" s="259">
        <v>18</v>
      </c>
      <c r="BN10" s="259">
        <v>30</v>
      </c>
      <c r="BO10" s="259">
        <v>178</v>
      </c>
      <c r="BP10" s="259">
        <v>87</v>
      </c>
      <c r="BQ10" s="259">
        <v>116</v>
      </c>
      <c r="BR10" s="259">
        <v>98</v>
      </c>
      <c r="BS10" s="259">
        <v>187</v>
      </c>
      <c r="BT10" s="259">
        <v>7</v>
      </c>
      <c r="BU10" s="279">
        <v>215</v>
      </c>
    </row>
    <row r="11" spans="1:73">
      <c r="A11" s="253">
        <v>3</v>
      </c>
      <c r="B11" s="265">
        <v>123</v>
      </c>
      <c r="C11" s="265">
        <v>106</v>
      </c>
      <c r="D11" s="265">
        <v>210</v>
      </c>
      <c r="E11" s="265">
        <v>65</v>
      </c>
      <c r="F11" s="265">
        <v>181</v>
      </c>
      <c r="G11" s="265">
        <v>202</v>
      </c>
      <c r="H11" s="265">
        <v>168</v>
      </c>
      <c r="I11" s="265">
        <v>25</v>
      </c>
      <c r="J11" s="265">
        <v>158</v>
      </c>
      <c r="K11" s="265">
        <v>209</v>
      </c>
      <c r="L11" s="265">
        <v>9</v>
      </c>
      <c r="M11" s="265">
        <v>186</v>
      </c>
      <c r="N11" s="265">
        <v>199</v>
      </c>
      <c r="O11" s="265">
        <v>84</v>
      </c>
      <c r="P11" s="265">
        <v>153</v>
      </c>
      <c r="Q11" s="265">
        <v>40</v>
      </c>
      <c r="R11" s="265">
        <v>85</v>
      </c>
      <c r="S11" s="265">
        <v>24</v>
      </c>
      <c r="T11" s="265">
        <v>163</v>
      </c>
      <c r="U11" s="265">
        <v>109</v>
      </c>
      <c r="V11" s="265">
        <v>61</v>
      </c>
      <c r="W11" s="265">
        <v>49</v>
      </c>
      <c r="X11" s="265">
        <v>149</v>
      </c>
      <c r="Y11" s="265">
        <v>28</v>
      </c>
      <c r="Z11" s="265">
        <v>190</v>
      </c>
      <c r="AA11" s="265">
        <v>10</v>
      </c>
      <c r="AB11" s="265">
        <v>97</v>
      </c>
      <c r="AC11" s="265">
        <v>171</v>
      </c>
      <c r="AD11" s="265">
        <v>115</v>
      </c>
      <c r="AE11" s="265">
        <v>44</v>
      </c>
      <c r="AF11" s="265">
        <v>172</v>
      </c>
      <c r="AG11" s="265">
        <v>19</v>
      </c>
      <c r="AH11" s="265">
        <v>144</v>
      </c>
      <c r="AI11" s="265">
        <v>193</v>
      </c>
      <c r="AJ11" s="265">
        <v>159</v>
      </c>
      <c r="AK11" s="266">
        <v>142</v>
      </c>
      <c r="AL11" s="278">
        <v>176</v>
      </c>
      <c r="AM11" s="259">
        <v>99</v>
      </c>
      <c r="AN11" s="259">
        <v>14</v>
      </c>
      <c r="AO11" s="259">
        <v>213</v>
      </c>
      <c r="AP11" s="259">
        <v>6</v>
      </c>
      <c r="AQ11" s="259">
        <v>12</v>
      </c>
      <c r="AR11" s="259">
        <v>21</v>
      </c>
      <c r="AS11" s="259">
        <v>173</v>
      </c>
      <c r="AT11" s="259">
        <v>170</v>
      </c>
      <c r="AU11" s="259">
        <v>52</v>
      </c>
      <c r="AV11" s="259">
        <v>94</v>
      </c>
      <c r="AW11" s="259">
        <v>149</v>
      </c>
      <c r="AX11" s="259">
        <v>37</v>
      </c>
      <c r="AY11" s="259">
        <v>200</v>
      </c>
      <c r="AZ11" s="259">
        <v>152</v>
      </c>
      <c r="BA11" s="259">
        <v>167</v>
      </c>
      <c r="BB11" s="259">
        <v>172</v>
      </c>
      <c r="BC11" s="259">
        <v>115</v>
      </c>
      <c r="BD11" s="259">
        <v>25</v>
      </c>
      <c r="BE11" s="259">
        <v>32</v>
      </c>
      <c r="BF11" s="259">
        <v>137</v>
      </c>
      <c r="BG11" s="259">
        <v>20</v>
      </c>
      <c r="BH11" s="259">
        <v>160</v>
      </c>
      <c r="BI11" s="259">
        <v>43</v>
      </c>
      <c r="BJ11" s="259">
        <v>204</v>
      </c>
      <c r="BK11" s="259">
        <v>106</v>
      </c>
      <c r="BL11" s="259">
        <v>63</v>
      </c>
      <c r="BM11" s="259">
        <v>4</v>
      </c>
      <c r="BN11" s="259">
        <v>158</v>
      </c>
      <c r="BO11" s="259">
        <v>113</v>
      </c>
      <c r="BP11" s="259">
        <v>211</v>
      </c>
      <c r="BQ11" s="259">
        <v>147</v>
      </c>
      <c r="BR11" s="259">
        <v>44</v>
      </c>
      <c r="BS11" s="259">
        <v>209</v>
      </c>
      <c r="BT11" s="259">
        <v>146</v>
      </c>
      <c r="BU11" s="279">
        <v>188</v>
      </c>
    </row>
    <row r="12" spans="1:73">
      <c r="A12" s="253">
        <v>2</v>
      </c>
      <c r="B12" s="265">
        <v>14</v>
      </c>
      <c r="C12" s="265">
        <v>216</v>
      </c>
      <c r="D12" s="265">
        <v>135</v>
      </c>
      <c r="E12" s="265">
        <v>112</v>
      </c>
      <c r="F12" s="265">
        <v>146</v>
      </c>
      <c r="G12" s="265">
        <v>152</v>
      </c>
      <c r="H12" s="265">
        <v>169</v>
      </c>
      <c r="I12" s="265">
        <v>131</v>
      </c>
      <c r="J12" s="265">
        <v>185</v>
      </c>
      <c r="K12" s="265">
        <v>178</v>
      </c>
      <c r="L12" s="265">
        <v>17</v>
      </c>
      <c r="M12" s="265">
        <v>184</v>
      </c>
      <c r="N12" s="265">
        <v>73</v>
      </c>
      <c r="O12" s="265">
        <v>118</v>
      </c>
      <c r="P12" s="265">
        <v>88</v>
      </c>
      <c r="Q12" s="265">
        <v>130</v>
      </c>
      <c r="R12" s="265">
        <v>89</v>
      </c>
      <c r="S12" s="265">
        <v>34</v>
      </c>
      <c r="T12" s="265">
        <v>191</v>
      </c>
      <c r="U12" s="265">
        <v>201</v>
      </c>
      <c r="V12" s="265">
        <v>103</v>
      </c>
      <c r="W12" s="265">
        <v>53</v>
      </c>
      <c r="X12" s="265">
        <v>194</v>
      </c>
      <c r="Y12" s="265">
        <v>39</v>
      </c>
      <c r="Z12" s="265">
        <v>211</v>
      </c>
      <c r="AA12" s="265">
        <v>8</v>
      </c>
      <c r="AB12" s="265">
        <v>96</v>
      </c>
      <c r="AC12" s="265">
        <v>87</v>
      </c>
      <c r="AD12" s="265">
        <v>167</v>
      </c>
      <c r="AE12" s="265">
        <v>3</v>
      </c>
      <c r="AF12" s="265">
        <v>68</v>
      </c>
      <c r="AG12" s="265">
        <v>59</v>
      </c>
      <c r="AH12" s="265">
        <v>134</v>
      </c>
      <c r="AI12" s="265">
        <v>128</v>
      </c>
      <c r="AJ12" s="265">
        <v>99</v>
      </c>
      <c r="AK12" s="266">
        <v>114</v>
      </c>
      <c r="AL12" s="278">
        <v>22</v>
      </c>
      <c r="AM12" s="259">
        <v>29</v>
      </c>
      <c r="AN12" s="259">
        <v>114</v>
      </c>
      <c r="AO12" s="259">
        <v>11</v>
      </c>
      <c r="AP12" s="259">
        <v>123</v>
      </c>
      <c r="AQ12" s="259">
        <v>130</v>
      </c>
      <c r="AR12" s="259">
        <v>69</v>
      </c>
      <c r="AS12" s="259">
        <v>125</v>
      </c>
      <c r="AT12" s="259">
        <v>198</v>
      </c>
      <c r="AU12" s="259">
        <v>104</v>
      </c>
      <c r="AV12" s="259">
        <v>138</v>
      </c>
      <c r="AW12" s="259">
        <v>97</v>
      </c>
      <c r="AX12" s="259">
        <v>82</v>
      </c>
      <c r="AY12" s="259">
        <v>13</v>
      </c>
      <c r="AZ12" s="259">
        <v>171</v>
      </c>
      <c r="BA12" s="259">
        <v>169</v>
      </c>
      <c r="BB12" s="259">
        <v>38</v>
      </c>
      <c r="BC12" s="259">
        <v>26</v>
      </c>
      <c r="BD12" s="259">
        <v>191</v>
      </c>
      <c r="BE12" s="259">
        <v>35</v>
      </c>
      <c r="BF12" s="259">
        <v>96</v>
      </c>
      <c r="BG12" s="259">
        <v>131</v>
      </c>
      <c r="BH12" s="259">
        <v>3</v>
      </c>
      <c r="BI12" s="259">
        <v>15</v>
      </c>
      <c r="BJ12" s="259">
        <v>75</v>
      </c>
      <c r="BK12" s="259">
        <v>86</v>
      </c>
      <c r="BL12" s="259">
        <v>216</v>
      </c>
      <c r="BM12" s="259">
        <v>212</v>
      </c>
      <c r="BN12" s="259">
        <v>205</v>
      </c>
      <c r="BO12" s="259">
        <v>24</v>
      </c>
      <c r="BP12" s="259">
        <v>177</v>
      </c>
      <c r="BQ12" s="259">
        <v>39</v>
      </c>
      <c r="BR12" s="259">
        <v>210</v>
      </c>
      <c r="BS12" s="259">
        <v>56</v>
      </c>
      <c r="BT12" s="259">
        <v>189</v>
      </c>
      <c r="BU12" s="279">
        <v>132</v>
      </c>
    </row>
    <row r="13" spans="1:73">
      <c r="A13" s="253">
        <v>1</v>
      </c>
      <c r="B13" s="265">
        <v>60</v>
      </c>
      <c r="C13" s="265">
        <v>81</v>
      </c>
      <c r="D13" s="265">
        <v>180</v>
      </c>
      <c r="E13" s="265">
        <v>58</v>
      </c>
      <c r="F13" s="265">
        <v>91</v>
      </c>
      <c r="G13" s="265">
        <v>76</v>
      </c>
      <c r="H13" s="265">
        <v>11</v>
      </c>
      <c r="I13" s="265">
        <v>207</v>
      </c>
      <c r="J13" s="265">
        <v>42</v>
      </c>
      <c r="K13" s="265">
        <v>151</v>
      </c>
      <c r="L13" s="265">
        <v>183</v>
      </c>
      <c r="M13" s="265">
        <v>182</v>
      </c>
      <c r="N13" s="265">
        <v>52</v>
      </c>
      <c r="O13" s="265">
        <v>120</v>
      </c>
      <c r="P13" s="265">
        <v>57</v>
      </c>
      <c r="Q13" s="265">
        <v>15</v>
      </c>
      <c r="R13" s="265">
        <v>154</v>
      </c>
      <c r="S13" s="265">
        <v>107</v>
      </c>
      <c r="T13" s="265">
        <v>79</v>
      </c>
      <c r="U13" s="265">
        <v>13</v>
      </c>
      <c r="V13" s="265">
        <v>117</v>
      </c>
      <c r="W13" s="265">
        <v>4</v>
      </c>
      <c r="X13" s="265">
        <v>31</v>
      </c>
      <c r="Y13" s="265">
        <v>93</v>
      </c>
      <c r="Z13" s="265">
        <v>164</v>
      </c>
      <c r="AA13" s="265">
        <v>80</v>
      </c>
      <c r="AB13" s="265">
        <v>157</v>
      </c>
      <c r="AC13" s="265">
        <v>140</v>
      </c>
      <c r="AD13" s="265">
        <v>104</v>
      </c>
      <c r="AE13" s="265">
        <v>204</v>
      </c>
      <c r="AF13" s="265">
        <v>92</v>
      </c>
      <c r="AG13" s="265">
        <v>141</v>
      </c>
      <c r="AH13" s="265">
        <v>36</v>
      </c>
      <c r="AI13" s="265">
        <v>37</v>
      </c>
      <c r="AJ13" s="265">
        <v>125</v>
      </c>
      <c r="AK13" s="266">
        <v>165</v>
      </c>
      <c r="AL13" s="278">
        <v>145</v>
      </c>
      <c r="AM13" s="259">
        <v>17</v>
      </c>
      <c r="AN13" s="259">
        <v>68</v>
      </c>
      <c r="AO13" s="259">
        <v>182</v>
      </c>
      <c r="AP13" s="259">
        <v>51</v>
      </c>
      <c r="AQ13" s="259">
        <v>136</v>
      </c>
      <c r="AR13" s="259">
        <v>72</v>
      </c>
      <c r="AS13" s="259">
        <v>1</v>
      </c>
      <c r="AT13" s="259">
        <v>196</v>
      </c>
      <c r="AU13" s="259">
        <v>155</v>
      </c>
      <c r="AV13" s="259">
        <v>58</v>
      </c>
      <c r="AW13" s="259">
        <v>166</v>
      </c>
      <c r="AX13" s="259">
        <v>81</v>
      </c>
      <c r="AY13" s="259">
        <v>36</v>
      </c>
      <c r="AZ13" s="259">
        <v>175</v>
      </c>
      <c r="BA13" s="259">
        <v>183</v>
      </c>
      <c r="BB13" s="259">
        <v>154</v>
      </c>
      <c r="BC13" s="259">
        <v>164</v>
      </c>
      <c r="BD13" s="259">
        <v>73</v>
      </c>
      <c r="BE13" s="259">
        <v>62</v>
      </c>
      <c r="BF13" s="259">
        <v>144</v>
      </c>
      <c r="BG13" s="259">
        <v>85</v>
      </c>
      <c r="BH13" s="259">
        <v>207</v>
      </c>
      <c r="BI13" s="259">
        <v>92</v>
      </c>
      <c r="BJ13" s="259">
        <v>70</v>
      </c>
      <c r="BK13" s="259">
        <v>190</v>
      </c>
      <c r="BL13" s="259">
        <v>74</v>
      </c>
      <c r="BM13" s="259">
        <v>79</v>
      </c>
      <c r="BN13" s="259">
        <v>83</v>
      </c>
      <c r="BO13" s="259">
        <v>46</v>
      </c>
      <c r="BP13" s="259">
        <v>90</v>
      </c>
      <c r="BQ13" s="259">
        <v>9</v>
      </c>
      <c r="BR13" s="259">
        <v>54</v>
      </c>
      <c r="BS13" s="259">
        <v>61</v>
      </c>
      <c r="BT13" s="259">
        <v>8</v>
      </c>
      <c r="BU13" s="279">
        <v>140</v>
      </c>
    </row>
    <row r="14" spans="1:73">
      <c r="A14" s="254" t="s">
        <v>9273</v>
      </c>
      <c r="B14" s="255">
        <v>214</v>
      </c>
      <c r="C14" s="255">
        <v>215</v>
      </c>
      <c r="D14" s="255">
        <v>216</v>
      </c>
      <c r="E14" s="255">
        <v>217</v>
      </c>
      <c r="F14" s="255">
        <v>218</v>
      </c>
      <c r="G14" s="255">
        <v>219</v>
      </c>
      <c r="H14" s="255">
        <v>220</v>
      </c>
      <c r="I14" s="255">
        <v>221</v>
      </c>
      <c r="J14" s="255">
        <v>222</v>
      </c>
      <c r="K14" s="255">
        <v>223</v>
      </c>
      <c r="L14" s="255">
        <v>224</v>
      </c>
      <c r="M14" s="255">
        <v>225</v>
      </c>
      <c r="N14" s="255">
        <v>226</v>
      </c>
      <c r="O14" s="255">
        <v>227</v>
      </c>
      <c r="P14" s="255">
        <v>228</v>
      </c>
      <c r="Q14" s="255">
        <v>229</v>
      </c>
      <c r="R14" s="255">
        <v>230</v>
      </c>
      <c r="S14" s="255">
        <v>231</v>
      </c>
      <c r="T14" s="255">
        <v>232</v>
      </c>
      <c r="U14" s="255">
        <v>233</v>
      </c>
      <c r="V14" s="255">
        <v>234</v>
      </c>
      <c r="W14" s="255">
        <v>235</v>
      </c>
      <c r="X14" s="255">
        <v>236</v>
      </c>
      <c r="Y14" s="255">
        <v>237</v>
      </c>
      <c r="Z14" s="255">
        <v>238</v>
      </c>
      <c r="AA14" s="255">
        <v>239</v>
      </c>
      <c r="AB14" s="255">
        <v>240</v>
      </c>
      <c r="AC14" s="255">
        <v>241</v>
      </c>
      <c r="AD14" s="255">
        <v>242</v>
      </c>
      <c r="AE14" s="255">
        <v>243</v>
      </c>
      <c r="AF14" s="255">
        <v>244</v>
      </c>
      <c r="AG14" s="255">
        <v>245</v>
      </c>
      <c r="AH14" s="255">
        <v>246</v>
      </c>
      <c r="AI14" s="255">
        <v>247</v>
      </c>
      <c r="AJ14" s="255">
        <v>248</v>
      </c>
      <c r="AK14" s="255">
        <v>249</v>
      </c>
      <c r="AL14" s="255">
        <v>250</v>
      </c>
      <c r="AM14" s="255">
        <v>251</v>
      </c>
      <c r="AN14" s="255">
        <v>252</v>
      </c>
      <c r="AO14" s="255">
        <v>253</v>
      </c>
      <c r="AP14" s="255">
        <v>254</v>
      </c>
      <c r="AQ14" s="255">
        <v>255</v>
      </c>
      <c r="AR14" s="255">
        <v>256</v>
      </c>
      <c r="AS14" s="255">
        <v>257</v>
      </c>
      <c r="AT14" s="255">
        <v>258</v>
      </c>
      <c r="AU14" s="255">
        <v>259</v>
      </c>
      <c r="AV14" s="255">
        <v>260</v>
      </c>
      <c r="AW14" s="255">
        <v>261</v>
      </c>
      <c r="AX14" s="255">
        <v>262</v>
      </c>
      <c r="AY14" s="255">
        <v>263</v>
      </c>
      <c r="AZ14" s="255">
        <v>264</v>
      </c>
      <c r="BA14" s="255">
        <v>265</v>
      </c>
      <c r="BB14" s="255">
        <v>266</v>
      </c>
      <c r="BC14" s="255">
        <v>267</v>
      </c>
      <c r="BD14" s="255">
        <v>268</v>
      </c>
      <c r="BE14" s="255">
        <v>269</v>
      </c>
      <c r="BF14" s="255">
        <v>270</v>
      </c>
      <c r="BG14" s="255">
        <v>271</v>
      </c>
      <c r="BH14" s="255">
        <v>272</v>
      </c>
      <c r="BI14" s="255">
        <v>273</v>
      </c>
      <c r="BJ14" s="255">
        <v>274</v>
      </c>
      <c r="BK14" s="255">
        <v>275</v>
      </c>
      <c r="BL14" s="255">
        <v>276</v>
      </c>
      <c r="BM14" s="255">
        <v>277</v>
      </c>
      <c r="BN14" s="255">
        <v>278</v>
      </c>
      <c r="BO14" s="255">
        <v>279</v>
      </c>
      <c r="BP14" s="255">
        <v>280</v>
      </c>
      <c r="BQ14" s="255">
        <v>281</v>
      </c>
      <c r="BR14" s="255">
        <v>282</v>
      </c>
      <c r="BS14" s="255">
        <v>283</v>
      </c>
      <c r="BT14" s="255">
        <v>284</v>
      </c>
      <c r="BU14" s="256">
        <v>285</v>
      </c>
    </row>
    <row r="17" spans="1:4">
      <c r="A17" s="280" t="s">
        <v>9274</v>
      </c>
      <c r="B17" s="281"/>
      <c r="C17" s="281"/>
      <c r="D17" s="281"/>
    </row>
    <row r="18" spans="1:4">
      <c r="A18" s="280" t="s">
        <v>9275</v>
      </c>
      <c r="B18" s="281"/>
      <c r="C18" s="281"/>
      <c r="D18" s="281"/>
    </row>
    <row r="19" spans="1:4">
      <c r="A19" s="280" t="s">
        <v>9276</v>
      </c>
      <c r="B19" s="281"/>
      <c r="C19" s="281"/>
      <c r="D19" s="28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0"/>
  <sheetViews>
    <sheetView workbookViewId="0">
      <selection activeCell="E18" sqref="E18"/>
    </sheetView>
  </sheetViews>
  <sheetFormatPr baseColWidth="10" defaultRowHeight="12"/>
  <cols>
    <col min="1" max="2" width="15" bestFit="1" customWidth="1"/>
    <col min="3" max="3" width="19" bestFit="1" customWidth="1"/>
    <col min="5" max="5" width="75.42578125" bestFit="1" customWidth="1"/>
  </cols>
  <sheetData>
    <row r="1" spans="1:10" ht="15.75">
      <c r="A1" s="346" t="s">
        <v>9090</v>
      </c>
      <c r="B1" s="346" t="s">
        <v>213</v>
      </c>
      <c r="C1" s="346" t="s">
        <v>9091</v>
      </c>
      <c r="D1" s="346" t="s">
        <v>9092</v>
      </c>
      <c r="E1" s="346" t="s">
        <v>9093</v>
      </c>
      <c r="F1" s="222"/>
      <c r="G1" s="222"/>
    </row>
    <row r="2" spans="1:10" ht="15.75">
      <c r="A2" s="347" t="s">
        <v>9287</v>
      </c>
      <c r="B2" s="348" t="s">
        <v>9285</v>
      </c>
      <c r="C2" s="348"/>
      <c r="D2" s="348"/>
      <c r="E2" s="349" t="s">
        <v>9321</v>
      </c>
      <c r="F2" s="222"/>
      <c r="G2" s="222"/>
      <c r="H2" s="142"/>
      <c r="I2" s="142"/>
      <c r="J2" s="142"/>
    </row>
    <row r="3" spans="1:10" ht="15.75">
      <c r="A3" s="347" t="s">
        <v>9286</v>
      </c>
      <c r="B3" s="329">
        <v>41526</v>
      </c>
      <c r="C3" s="350" t="s">
        <v>9292</v>
      </c>
      <c r="D3" s="331"/>
      <c r="E3" s="331" t="s">
        <v>9291</v>
      </c>
      <c r="F3" s="222"/>
      <c r="G3" s="222"/>
      <c r="H3" s="142"/>
      <c r="I3" s="142"/>
      <c r="J3" s="142"/>
    </row>
    <row r="4" spans="1:10" ht="15.75">
      <c r="A4" s="347" t="s">
        <v>9288</v>
      </c>
      <c r="B4" s="329">
        <v>41535</v>
      </c>
      <c r="C4" s="350" t="s">
        <v>9296</v>
      </c>
      <c r="D4" s="331"/>
      <c r="E4" s="331" t="s">
        <v>9295</v>
      </c>
      <c r="F4" s="222"/>
      <c r="G4" s="222"/>
      <c r="H4" s="142"/>
      <c r="I4" s="142"/>
      <c r="J4" s="142"/>
    </row>
    <row r="5" spans="1:10" ht="15.75">
      <c r="A5" s="347" t="s">
        <v>9288</v>
      </c>
      <c r="B5" s="329">
        <v>41541</v>
      </c>
      <c r="C5" s="350" t="s">
        <v>9298</v>
      </c>
      <c r="D5" s="331"/>
      <c r="E5" s="331" t="s">
        <v>9297</v>
      </c>
      <c r="F5" s="222"/>
      <c r="G5" s="222"/>
      <c r="H5" s="142"/>
      <c r="I5" s="142"/>
      <c r="J5" s="142"/>
    </row>
    <row r="6" spans="1:10" ht="15.75">
      <c r="A6" s="347" t="s">
        <v>9286</v>
      </c>
      <c r="B6" s="329">
        <v>41613</v>
      </c>
      <c r="C6" s="350" t="s">
        <v>9294</v>
      </c>
      <c r="D6" s="330"/>
      <c r="E6" s="330" t="s">
        <v>9293</v>
      </c>
      <c r="F6" s="222"/>
      <c r="G6" s="222"/>
      <c r="H6" s="142"/>
      <c r="I6" s="142"/>
      <c r="J6" s="142"/>
    </row>
    <row r="7" spans="1:10" ht="15.75">
      <c r="A7" s="347" t="s">
        <v>9289</v>
      </c>
      <c r="B7" s="329">
        <v>41687</v>
      </c>
      <c r="C7" s="331" t="s">
        <v>9299</v>
      </c>
      <c r="D7" s="331"/>
      <c r="E7" s="351" t="s">
        <v>9318</v>
      </c>
      <c r="F7" s="142"/>
      <c r="G7" s="142"/>
      <c r="H7" s="142"/>
      <c r="I7" s="142"/>
      <c r="J7" s="142"/>
    </row>
    <row r="8" spans="1:10" ht="15.75">
      <c r="A8" s="347" t="s">
        <v>9290</v>
      </c>
      <c r="B8" s="352">
        <v>41713</v>
      </c>
      <c r="C8" s="331" t="s">
        <v>9299</v>
      </c>
      <c r="D8" s="331"/>
      <c r="E8" s="331" t="s">
        <v>9319</v>
      </c>
      <c r="F8" s="142"/>
      <c r="G8" s="142"/>
      <c r="H8" s="142"/>
      <c r="I8" s="142"/>
      <c r="J8" s="142"/>
    </row>
    <row r="9" spans="1:10" ht="15.75">
      <c r="A9" s="347" t="s">
        <v>9300</v>
      </c>
      <c r="B9" s="329">
        <v>41674</v>
      </c>
      <c r="C9" s="331" t="s">
        <v>9301</v>
      </c>
      <c r="D9" s="348"/>
      <c r="E9" s="331" t="s">
        <v>9302</v>
      </c>
    </row>
    <row r="10" spans="1:10" ht="15.75">
      <c r="A10" s="347" t="s">
        <v>9320</v>
      </c>
      <c r="B10" s="353">
        <v>41822</v>
      </c>
      <c r="C10" s="348"/>
      <c r="D10" s="348"/>
      <c r="E10" s="348"/>
    </row>
  </sheetData>
  <dataValidations count="3">
    <dataValidation type="list" allowBlank="1" showInputMessage="1" showErrorMessage="1" sqref="G3">
      <formula1>"Très sec,Sec,Optimum,Humide"</formula1>
    </dataValidation>
    <dataValidation type="list" allowBlank="1" showInputMessage="1" showErrorMessage="1" sqref="G2">
      <formula1>"Très fin,Fin,Motteux,très motteux"</formula1>
    </dataValidation>
    <dataValidation type="list" allowBlank="1" showInputMessage="1" showErrorMessage="1" sqref="G4">
      <formula1>"Précision,Classique"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6</vt:i4>
      </vt:variant>
    </vt:vector>
  </HeadingPairs>
  <TitlesOfParts>
    <vt:vector size="23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Data</vt:lpstr>
      <vt:lpstr>Level</vt:lpstr>
      <vt:lpstr>Files</vt:lpstr>
      <vt:lpstr>ForestComplementaryInfo</vt:lpstr>
      <vt:lpstr>StaticData</vt:lpstr>
      <vt:lpstr>Meteo_data</vt:lpstr>
      <vt:lpstr>Soil_data</vt:lpstr>
      <vt:lpstr>INN_data</vt:lpstr>
      <vt:lpstr>Parcellaire_data</vt:lpstr>
      <vt:lpstr>ITK_data</vt:lpstr>
      <vt:lpstr>Data!_FilterDatabase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Anne-Sophie Bouchet</cp:lastModifiedBy>
  <cp:revision>11</cp:revision>
  <cp:lastPrinted>1601-01-01T00:00:00Z</cp:lastPrinted>
  <dcterms:created xsi:type="dcterms:W3CDTF">2013-10-04T13:51:10Z</dcterms:created>
  <dcterms:modified xsi:type="dcterms:W3CDTF">2015-02-10T08:43:10Z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